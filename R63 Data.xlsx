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brett\Downloads\excel-filter-site\"/>
    </mc:Choice>
  </mc:AlternateContent>
  <xr:revisionPtr revIDLastSave="0" documentId="13_ncr:1_{8B4327EF-625B-4F8B-9FF0-5279F967C876}" xr6:coauthVersionLast="47" xr6:coauthVersionMax="47" xr10:uidLastSave="{00000000-0000-0000-0000-000000000000}"/>
  <bookViews>
    <workbookView xWindow="-28920" yWindow="-120" windowWidth="29040" windowHeight="15720" activeTab="7" xr2:uid="{B81E1BB1-8459-4D85-A2AA-65951E65A37B}"/>
  </bookViews>
  <sheets>
    <sheet name="Old Bow v2" sheetId="11" r:id="rId1"/>
    <sheet name="Old Bow" sheetId="1" state="hidden" r:id="rId2"/>
    <sheet name="Old Bow comments" sheetId="7" state="hidden" r:id="rId3"/>
    <sheet name="Match Analyzer Old Bow" sheetId="4" state="hidden" r:id="rId4"/>
    <sheet name="OB History" sheetId="10" r:id="rId5"/>
    <sheet name="BA v2" sheetId="12" r:id="rId6"/>
    <sheet name="BA" sheetId="3" state="hidden" r:id="rId7"/>
    <sheet name="BA History" sheetId="9" r:id="rId8"/>
    <sheet name="BA comments" sheetId="6" state="hidden" r:id="rId9"/>
    <sheet name="Match Analyzer BA" sheetId="8" state="hidden" r:id="rId10"/>
  </sheets>
  <definedNames>
    <definedName name="_xlnm._FilterDatabase" localSheetId="6" hidden="1">BA!$A$1:$AH$47</definedName>
    <definedName name="_xlnm._FilterDatabase" localSheetId="7" hidden="1">'BA History'!$A$1:$AI$387</definedName>
    <definedName name="_xlnm._FilterDatabase" localSheetId="5" hidden="1">'BA v2'!$A$1:$AH$46</definedName>
    <definedName name="_xlnm._FilterDatabase" localSheetId="4" hidden="1">'OB History'!$A$1:$AC$330</definedName>
    <definedName name="_xlnm._FilterDatabase" localSheetId="1" hidden="1">'Old Bow'!$A$1:$AD$37</definedName>
    <definedName name="_xlnm._FilterDatabase" localSheetId="0" hidden="1">'Old Bow v2'!$A$1:$AD$36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O11" i="12" l="1"/>
  <c r="P11" i="12"/>
  <c r="Q11" i="12"/>
  <c r="R11" i="12"/>
  <c r="S11" i="12"/>
  <c r="T11" i="12"/>
  <c r="U11" i="12"/>
  <c r="V11" i="12"/>
  <c r="W11" i="12"/>
  <c r="X11" i="12"/>
  <c r="Y11" i="12"/>
  <c r="Z11" i="12"/>
  <c r="AA11" i="12"/>
  <c r="AB11" i="12"/>
  <c r="AC11" i="12"/>
  <c r="AD11" i="12"/>
  <c r="AE11" i="12"/>
  <c r="AF11" i="12"/>
  <c r="AG11" i="12"/>
  <c r="AH11" i="12"/>
  <c r="O12" i="12"/>
  <c r="P12" i="12"/>
  <c r="Q12" i="12"/>
  <c r="R12" i="12"/>
  <c r="S12" i="12"/>
  <c r="T12" i="12"/>
  <c r="U12" i="12"/>
  <c r="V12" i="12"/>
  <c r="W12" i="12"/>
  <c r="X12" i="12"/>
  <c r="Y12" i="12"/>
  <c r="Z12" i="12"/>
  <c r="AA12" i="12"/>
  <c r="AB12" i="12"/>
  <c r="AC12" i="12"/>
  <c r="AD12" i="12"/>
  <c r="AE12" i="12"/>
  <c r="AF12" i="12"/>
  <c r="AG12" i="12"/>
  <c r="AH12" i="12"/>
  <c r="O13" i="12"/>
  <c r="P13" i="12"/>
  <c r="Q13" i="12"/>
  <c r="R13" i="12"/>
  <c r="S13" i="12"/>
  <c r="T13" i="12"/>
  <c r="U13" i="12"/>
  <c r="V13" i="12"/>
  <c r="W13" i="12"/>
  <c r="X13" i="12"/>
  <c r="Y13" i="12"/>
  <c r="Z13" i="12"/>
  <c r="AA13" i="12"/>
  <c r="AB13" i="12"/>
  <c r="AC13" i="12"/>
  <c r="AD13" i="12"/>
  <c r="AE13" i="12"/>
  <c r="AF13" i="12"/>
  <c r="AG13" i="12"/>
  <c r="AH13" i="12"/>
  <c r="O14" i="12"/>
  <c r="P14" i="12"/>
  <c r="Q14" i="12"/>
  <c r="R14" i="12"/>
  <c r="S14" i="12"/>
  <c r="T14" i="12"/>
  <c r="U14" i="12"/>
  <c r="V14" i="12"/>
  <c r="W14" i="12"/>
  <c r="X14" i="12"/>
  <c r="Y14" i="12"/>
  <c r="Z14" i="12"/>
  <c r="AA14" i="12"/>
  <c r="AB14" i="12"/>
  <c r="AC14" i="12"/>
  <c r="AD14" i="12"/>
  <c r="AE14" i="12"/>
  <c r="AF14" i="12"/>
  <c r="AG14" i="12"/>
  <c r="AH14" i="12"/>
  <c r="O15" i="12"/>
  <c r="P15" i="12"/>
  <c r="Q15" i="12"/>
  <c r="R15" i="12"/>
  <c r="S15" i="12"/>
  <c r="T15" i="12"/>
  <c r="U15" i="12"/>
  <c r="V15" i="12"/>
  <c r="W15" i="12"/>
  <c r="X15" i="12"/>
  <c r="Y15" i="12"/>
  <c r="Z15" i="12"/>
  <c r="AA15" i="12"/>
  <c r="AB15" i="12"/>
  <c r="AC15" i="12"/>
  <c r="AD15" i="12"/>
  <c r="AE15" i="12"/>
  <c r="AF15" i="12"/>
  <c r="AG15" i="12"/>
  <c r="AH15" i="12"/>
  <c r="O16" i="12"/>
  <c r="P16" i="12"/>
  <c r="Q16" i="12"/>
  <c r="R16" i="12"/>
  <c r="S16" i="12"/>
  <c r="T16" i="12"/>
  <c r="U16" i="12"/>
  <c r="V16" i="12"/>
  <c r="W16" i="12"/>
  <c r="X16" i="12"/>
  <c r="Y16" i="12"/>
  <c r="Z16" i="12"/>
  <c r="AA16" i="12"/>
  <c r="AB16" i="12"/>
  <c r="AC16" i="12"/>
  <c r="AD16" i="12"/>
  <c r="AE16" i="12"/>
  <c r="AF16" i="12"/>
  <c r="AG16" i="12"/>
  <c r="AH16" i="12"/>
  <c r="O17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O18" i="12"/>
  <c r="P18" i="12"/>
  <c r="Q18" i="12"/>
  <c r="R18" i="12"/>
  <c r="S18" i="12"/>
  <c r="T18" i="12"/>
  <c r="U18" i="12"/>
  <c r="V18" i="12"/>
  <c r="W18" i="12"/>
  <c r="X18" i="12"/>
  <c r="Y18" i="12"/>
  <c r="Z18" i="12"/>
  <c r="AA18" i="12"/>
  <c r="AB18" i="12"/>
  <c r="AC18" i="12"/>
  <c r="AD18" i="12"/>
  <c r="AE18" i="12"/>
  <c r="AF18" i="12"/>
  <c r="AG18" i="12"/>
  <c r="AH18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O20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O21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O22" i="12"/>
  <c r="P22" i="12"/>
  <c r="Q22" i="12"/>
  <c r="R22" i="12"/>
  <c r="S22" i="12"/>
  <c r="T22" i="12"/>
  <c r="U22" i="12"/>
  <c r="V22" i="12"/>
  <c r="W22" i="12"/>
  <c r="X22" i="12"/>
  <c r="Y22" i="12"/>
  <c r="Z22" i="12"/>
  <c r="AA22" i="12"/>
  <c r="AB22" i="12"/>
  <c r="AC22" i="12"/>
  <c r="AD22" i="12"/>
  <c r="AE22" i="12"/>
  <c r="AF22" i="12"/>
  <c r="AG22" i="12"/>
  <c r="AH22" i="12"/>
  <c r="O23" i="12"/>
  <c r="P23" i="12"/>
  <c r="Q23" i="12"/>
  <c r="R23" i="12"/>
  <c r="S23" i="12"/>
  <c r="T23" i="12"/>
  <c r="U23" i="12"/>
  <c r="V23" i="12"/>
  <c r="W23" i="12"/>
  <c r="X23" i="12"/>
  <c r="Y23" i="12"/>
  <c r="Z23" i="12"/>
  <c r="AA23" i="12"/>
  <c r="AB23" i="12"/>
  <c r="AC23" i="12"/>
  <c r="AD23" i="12"/>
  <c r="AE23" i="12"/>
  <c r="AF23" i="12"/>
  <c r="AG23" i="12"/>
  <c r="AH23" i="12"/>
  <c r="O24" i="12"/>
  <c r="P24" i="12"/>
  <c r="Q24" i="12"/>
  <c r="R24" i="12"/>
  <c r="S24" i="12"/>
  <c r="T24" i="12"/>
  <c r="U24" i="12"/>
  <c r="V24" i="12"/>
  <c r="W24" i="12"/>
  <c r="X24" i="12"/>
  <c r="Y24" i="12"/>
  <c r="Z24" i="12"/>
  <c r="AA24" i="12"/>
  <c r="AB24" i="12"/>
  <c r="AC24" i="12"/>
  <c r="AD24" i="12"/>
  <c r="AE24" i="12"/>
  <c r="AF24" i="12"/>
  <c r="AG24" i="12"/>
  <c r="AH24" i="12"/>
  <c r="O25" i="12"/>
  <c r="P25" i="12"/>
  <c r="Q25" i="12"/>
  <c r="R25" i="12"/>
  <c r="S25" i="12"/>
  <c r="T25" i="12"/>
  <c r="U25" i="12"/>
  <c r="V25" i="12"/>
  <c r="W25" i="12"/>
  <c r="X25" i="12"/>
  <c r="Y25" i="12"/>
  <c r="Z25" i="12"/>
  <c r="AA25" i="12"/>
  <c r="AB25" i="12"/>
  <c r="AC25" i="12"/>
  <c r="AD25" i="12"/>
  <c r="AE25" i="12"/>
  <c r="AF25" i="12"/>
  <c r="AG25" i="12"/>
  <c r="AH25" i="12"/>
  <c r="O26" i="12"/>
  <c r="P26" i="12"/>
  <c r="Q26" i="12"/>
  <c r="R26" i="12"/>
  <c r="S26" i="12"/>
  <c r="T26" i="12"/>
  <c r="U26" i="12"/>
  <c r="V26" i="12"/>
  <c r="W26" i="12"/>
  <c r="X26" i="12"/>
  <c r="Y26" i="12"/>
  <c r="Z26" i="12"/>
  <c r="AA26" i="12"/>
  <c r="AB26" i="12"/>
  <c r="AC26" i="12"/>
  <c r="AD26" i="12"/>
  <c r="AE26" i="12"/>
  <c r="AF26" i="12"/>
  <c r="AG26" i="12"/>
  <c r="AH26" i="12"/>
  <c r="O27" i="12"/>
  <c r="P27" i="12"/>
  <c r="Q27" i="12"/>
  <c r="R27" i="12"/>
  <c r="S27" i="12"/>
  <c r="T27" i="12"/>
  <c r="U27" i="12"/>
  <c r="V27" i="12"/>
  <c r="W27" i="12"/>
  <c r="X27" i="12"/>
  <c r="Y27" i="12"/>
  <c r="Z27" i="12"/>
  <c r="AA27" i="12"/>
  <c r="AB27" i="12"/>
  <c r="AC27" i="12"/>
  <c r="AD27" i="12"/>
  <c r="AE27" i="12"/>
  <c r="AF27" i="12"/>
  <c r="AG27" i="12"/>
  <c r="AH27" i="12"/>
  <c r="O28" i="12"/>
  <c r="P28" i="12"/>
  <c r="Q28" i="12"/>
  <c r="R28" i="12"/>
  <c r="S28" i="12"/>
  <c r="T28" i="12"/>
  <c r="U28" i="12"/>
  <c r="V28" i="12"/>
  <c r="W28" i="12"/>
  <c r="X28" i="12"/>
  <c r="Y28" i="12"/>
  <c r="Z28" i="12"/>
  <c r="AA28" i="12"/>
  <c r="AB28" i="12"/>
  <c r="AC28" i="12"/>
  <c r="AD28" i="12"/>
  <c r="AE28" i="12"/>
  <c r="AF28" i="12"/>
  <c r="AG28" i="12"/>
  <c r="AH28" i="12"/>
  <c r="O29" i="12"/>
  <c r="P29" i="12"/>
  <c r="Q29" i="12"/>
  <c r="R29" i="12"/>
  <c r="S29" i="12"/>
  <c r="T29" i="12"/>
  <c r="U29" i="12"/>
  <c r="V29" i="12"/>
  <c r="W29" i="12"/>
  <c r="X29" i="12"/>
  <c r="Y29" i="12"/>
  <c r="Z29" i="12"/>
  <c r="AA29" i="12"/>
  <c r="AB29" i="12"/>
  <c r="AC29" i="12"/>
  <c r="AD29" i="12"/>
  <c r="AE29" i="12"/>
  <c r="AF29" i="12"/>
  <c r="AG29" i="12"/>
  <c r="AH29" i="12"/>
  <c r="O30" i="12"/>
  <c r="P30" i="12"/>
  <c r="Q30" i="12"/>
  <c r="R30" i="12"/>
  <c r="S30" i="12"/>
  <c r="T30" i="12"/>
  <c r="U30" i="12"/>
  <c r="V30" i="12"/>
  <c r="W30" i="12"/>
  <c r="X30" i="12"/>
  <c r="Y30" i="12"/>
  <c r="Z30" i="12"/>
  <c r="AA30" i="12"/>
  <c r="AB30" i="12"/>
  <c r="AC30" i="12"/>
  <c r="AD30" i="12"/>
  <c r="AE30" i="12"/>
  <c r="AF30" i="12"/>
  <c r="AG30" i="12"/>
  <c r="AH30" i="12"/>
  <c r="O31" i="12"/>
  <c r="P31" i="12"/>
  <c r="Q31" i="12"/>
  <c r="R31" i="12"/>
  <c r="S31" i="12"/>
  <c r="T31" i="12"/>
  <c r="U31" i="12"/>
  <c r="V31" i="12"/>
  <c r="W31" i="12"/>
  <c r="X31" i="12"/>
  <c r="Y31" i="12"/>
  <c r="Z31" i="12"/>
  <c r="AA31" i="12"/>
  <c r="AB31" i="12"/>
  <c r="AC31" i="12"/>
  <c r="AD31" i="12"/>
  <c r="AE31" i="12"/>
  <c r="AF31" i="12"/>
  <c r="AG31" i="12"/>
  <c r="AH31" i="12"/>
  <c r="O32" i="12"/>
  <c r="P32" i="12"/>
  <c r="Q32" i="12"/>
  <c r="R32" i="12"/>
  <c r="S32" i="12"/>
  <c r="T32" i="12"/>
  <c r="U32" i="12"/>
  <c r="V32" i="12"/>
  <c r="W32" i="12"/>
  <c r="X32" i="12"/>
  <c r="Y32" i="12"/>
  <c r="Z32" i="12"/>
  <c r="AA32" i="12"/>
  <c r="AB32" i="12"/>
  <c r="AC32" i="12"/>
  <c r="AD32" i="12"/>
  <c r="AE32" i="12"/>
  <c r="AF32" i="12"/>
  <c r="AG32" i="12"/>
  <c r="AH32" i="12"/>
  <c r="O33" i="12"/>
  <c r="P33" i="12"/>
  <c r="Q33" i="12"/>
  <c r="R33" i="12"/>
  <c r="S33" i="12"/>
  <c r="T33" i="12"/>
  <c r="U33" i="12"/>
  <c r="V33" i="12"/>
  <c r="W33" i="12"/>
  <c r="X33" i="12"/>
  <c r="Y33" i="12"/>
  <c r="Z33" i="12"/>
  <c r="AA33" i="12"/>
  <c r="AB33" i="12"/>
  <c r="AC33" i="12"/>
  <c r="AD33" i="12"/>
  <c r="AE33" i="12"/>
  <c r="AF33" i="12"/>
  <c r="AG33" i="12"/>
  <c r="AH33" i="12"/>
  <c r="O34" i="12"/>
  <c r="P34" i="12"/>
  <c r="Q34" i="12"/>
  <c r="R34" i="12"/>
  <c r="S34" i="12"/>
  <c r="T34" i="12"/>
  <c r="U34" i="12"/>
  <c r="V34" i="12"/>
  <c r="W34" i="12"/>
  <c r="X34" i="12"/>
  <c r="Y34" i="12"/>
  <c r="Z34" i="12"/>
  <c r="AA34" i="12"/>
  <c r="AB34" i="12"/>
  <c r="AC34" i="12"/>
  <c r="AD34" i="12"/>
  <c r="AE34" i="12"/>
  <c r="AF34" i="12"/>
  <c r="AG34" i="12"/>
  <c r="AH34" i="12"/>
  <c r="O35" i="12"/>
  <c r="P35" i="12"/>
  <c r="Q35" i="12"/>
  <c r="R35" i="12"/>
  <c r="S35" i="12"/>
  <c r="T35" i="12"/>
  <c r="U35" i="12"/>
  <c r="V35" i="12"/>
  <c r="W35" i="12"/>
  <c r="X35" i="12"/>
  <c r="Y35" i="12"/>
  <c r="Z35" i="12"/>
  <c r="AA35" i="12"/>
  <c r="AB35" i="12"/>
  <c r="AC35" i="12"/>
  <c r="AD35" i="12"/>
  <c r="AE35" i="12"/>
  <c r="AF35" i="12"/>
  <c r="AG35" i="12"/>
  <c r="AH35" i="12"/>
  <c r="O36" i="12"/>
  <c r="P36" i="12"/>
  <c r="Q36" i="12"/>
  <c r="R36" i="12"/>
  <c r="S36" i="12"/>
  <c r="T36" i="12"/>
  <c r="U36" i="12"/>
  <c r="V36" i="12"/>
  <c r="W36" i="12"/>
  <c r="X36" i="12"/>
  <c r="Y36" i="12"/>
  <c r="Z36" i="12"/>
  <c r="AA36" i="12"/>
  <c r="AB36" i="12"/>
  <c r="AC36" i="12"/>
  <c r="AD36" i="12"/>
  <c r="AE36" i="12"/>
  <c r="AF36" i="12"/>
  <c r="AG36" i="12"/>
  <c r="AH36" i="12"/>
  <c r="O37" i="12"/>
  <c r="P37" i="12"/>
  <c r="Q37" i="12"/>
  <c r="R37" i="12"/>
  <c r="S37" i="12"/>
  <c r="T37" i="12"/>
  <c r="U37" i="12"/>
  <c r="V37" i="12"/>
  <c r="W37" i="12"/>
  <c r="X37" i="12"/>
  <c r="Y37" i="12"/>
  <c r="Z37" i="12"/>
  <c r="AA37" i="12"/>
  <c r="AB37" i="12"/>
  <c r="AC37" i="12"/>
  <c r="AD37" i="12"/>
  <c r="AE37" i="12"/>
  <c r="AF37" i="12"/>
  <c r="AG37" i="12"/>
  <c r="AH37" i="12"/>
  <c r="O38" i="12"/>
  <c r="P38" i="12"/>
  <c r="Q38" i="12"/>
  <c r="R38" i="12"/>
  <c r="S38" i="12"/>
  <c r="T38" i="12"/>
  <c r="U38" i="12"/>
  <c r="V38" i="12"/>
  <c r="W38" i="12"/>
  <c r="X38" i="12"/>
  <c r="Y38" i="12"/>
  <c r="Z38" i="12"/>
  <c r="AA38" i="12"/>
  <c r="AB38" i="12"/>
  <c r="AC38" i="12"/>
  <c r="AD38" i="12"/>
  <c r="AE38" i="12"/>
  <c r="AF38" i="12"/>
  <c r="AG38" i="12"/>
  <c r="AH38" i="12"/>
  <c r="O39" i="12"/>
  <c r="P39" i="12"/>
  <c r="Q39" i="12"/>
  <c r="R39" i="12"/>
  <c r="S39" i="12"/>
  <c r="T39" i="12"/>
  <c r="U39" i="12"/>
  <c r="V39" i="12"/>
  <c r="W39" i="12"/>
  <c r="X39" i="12"/>
  <c r="Y39" i="12"/>
  <c r="Z39" i="12"/>
  <c r="AA39" i="12"/>
  <c r="AB39" i="12"/>
  <c r="AC39" i="12"/>
  <c r="AD39" i="12"/>
  <c r="AE39" i="12"/>
  <c r="AF39" i="12"/>
  <c r="AG39" i="12"/>
  <c r="AH39" i="12"/>
  <c r="O40" i="12"/>
  <c r="P40" i="12"/>
  <c r="Q40" i="12"/>
  <c r="R40" i="12"/>
  <c r="S40" i="12"/>
  <c r="T40" i="12"/>
  <c r="U40" i="12"/>
  <c r="V40" i="12"/>
  <c r="W40" i="12"/>
  <c r="X40" i="12"/>
  <c r="Y40" i="12"/>
  <c r="Z40" i="12"/>
  <c r="AA40" i="12"/>
  <c r="AB40" i="12"/>
  <c r="AC40" i="12"/>
  <c r="AD40" i="12"/>
  <c r="AE40" i="12"/>
  <c r="AF40" i="12"/>
  <c r="AG40" i="12"/>
  <c r="AH40" i="12"/>
  <c r="O41" i="12"/>
  <c r="P41" i="12"/>
  <c r="Q41" i="12"/>
  <c r="R41" i="12"/>
  <c r="S41" i="12"/>
  <c r="T41" i="12"/>
  <c r="U41" i="12"/>
  <c r="V41" i="12"/>
  <c r="W41" i="12"/>
  <c r="X41" i="12"/>
  <c r="Y41" i="12"/>
  <c r="Z41" i="12"/>
  <c r="AA41" i="12"/>
  <c r="AB41" i="12"/>
  <c r="AC41" i="12"/>
  <c r="AD41" i="12"/>
  <c r="AE41" i="12"/>
  <c r="AF41" i="12"/>
  <c r="AG41" i="12"/>
  <c r="AH41" i="12"/>
  <c r="O42" i="12"/>
  <c r="P42" i="12"/>
  <c r="Q42" i="12"/>
  <c r="R42" i="12"/>
  <c r="S42" i="12"/>
  <c r="T42" i="12"/>
  <c r="U42" i="12"/>
  <c r="V42" i="12"/>
  <c r="W42" i="12"/>
  <c r="X42" i="12"/>
  <c r="Y42" i="12"/>
  <c r="Z42" i="12"/>
  <c r="AA42" i="12"/>
  <c r="AB42" i="12"/>
  <c r="AC42" i="12"/>
  <c r="AD42" i="12"/>
  <c r="AE42" i="12"/>
  <c r="AF42" i="12"/>
  <c r="AG42" i="12"/>
  <c r="AH42" i="12"/>
  <c r="O43" i="12"/>
  <c r="P43" i="12"/>
  <c r="Q43" i="12"/>
  <c r="R43" i="12"/>
  <c r="S43" i="12"/>
  <c r="T43" i="12"/>
  <c r="U43" i="12"/>
  <c r="V43" i="12"/>
  <c r="W43" i="12"/>
  <c r="X43" i="12"/>
  <c r="Y43" i="12"/>
  <c r="Z43" i="12"/>
  <c r="AA43" i="12"/>
  <c r="AB43" i="12"/>
  <c r="AC43" i="12"/>
  <c r="AD43" i="12"/>
  <c r="AE43" i="12"/>
  <c r="AF43" i="12"/>
  <c r="AG43" i="12"/>
  <c r="AH43" i="12"/>
  <c r="O44" i="12"/>
  <c r="P44" i="12"/>
  <c r="Q44" i="12"/>
  <c r="R44" i="12"/>
  <c r="S44" i="12"/>
  <c r="T44" i="12"/>
  <c r="U44" i="12"/>
  <c r="V44" i="12"/>
  <c r="W44" i="12"/>
  <c r="X44" i="12"/>
  <c r="Y44" i="12"/>
  <c r="Z44" i="12"/>
  <c r="AA44" i="12"/>
  <c r="AB44" i="12"/>
  <c r="AC44" i="12"/>
  <c r="AD44" i="12"/>
  <c r="AE44" i="12"/>
  <c r="AF44" i="12"/>
  <c r="AG44" i="12"/>
  <c r="AH44" i="12"/>
  <c r="O45" i="12"/>
  <c r="P45" i="12"/>
  <c r="Q45" i="12"/>
  <c r="R45" i="12"/>
  <c r="S45" i="12"/>
  <c r="T45" i="12"/>
  <c r="U45" i="12"/>
  <c r="V45" i="12"/>
  <c r="W45" i="12"/>
  <c r="X45" i="12"/>
  <c r="Y45" i="12"/>
  <c r="Z45" i="12"/>
  <c r="AA45" i="12"/>
  <c r="AB45" i="12"/>
  <c r="AC45" i="12"/>
  <c r="AD45" i="12"/>
  <c r="AE45" i="12"/>
  <c r="AF45" i="12"/>
  <c r="AG45" i="12"/>
  <c r="AH45" i="12"/>
  <c r="O46" i="12"/>
  <c r="P46" i="12"/>
  <c r="Q46" i="12"/>
  <c r="R46" i="12"/>
  <c r="S46" i="12"/>
  <c r="T46" i="12"/>
  <c r="U46" i="12"/>
  <c r="V46" i="12"/>
  <c r="W46" i="12"/>
  <c r="X46" i="12"/>
  <c r="Y46" i="12"/>
  <c r="Z46" i="12"/>
  <c r="AA46" i="12"/>
  <c r="AB46" i="12"/>
  <c r="AC46" i="12"/>
  <c r="AD46" i="12"/>
  <c r="AE46" i="12"/>
  <c r="AF46" i="12"/>
  <c r="AG46" i="12"/>
  <c r="AH46" i="12"/>
  <c r="N46" i="12"/>
  <c r="N45" i="12"/>
  <c r="N44" i="12"/>
  <c r="N43" i="12"/>
  <c r="N42" i="12"/>
  <c r="N41" i="12"/>
  <c r="N40" i="12"/>
  <c r="N39" i="12"/>
  <c r="N38" i="12"/>
  <c r="N37" i="12"/>
  <c r="N36" i="12"/>
  <c r="N35" i="12"/>
  <c r="N34" i="12"/>
  <c r="N33" i="12"/>
  <c r="N32" i="12"/>
  <c r="N31" i="12"/>
  <c r="N30" i="12"/>
  <c r="N29" i="12"/>
  <c r="N28" i="12"/>
  <c r="N27" i="12"/>
  <c r="N26" i="12"/>
  <c r="N25" i="12"/>
  <c r="N24" i="12"/>
  <c r="N23" i="12"/>
  <c r="N22" i="12"/>
  <c r="N21" i="12"/>
  <c r="N20" i="12"/>
  <c r="N19" i="12"/>
  <c r="N18" i="12"/>
  <c r="N17" i="12"/>
  <c r="N16" i="12"/>
  <c r="N15" i="12"/>
  <c r="N14" i="12"/>
  <c r="N13" i="12"/>
  <c r="N12" i="12"/>
  <c r="N11" i="12"/>
  <c r="O10" i="12"/>
  <c r="P10" i="12"/>
  <c r="Q10" i="12"/>
  <c r="R10" i="12"/>
  <c r="S10" i="12"/>
  <c r="T10" i="12"/>
  <c r="U10" i="12"/>
  <c r="V10" i="12"/>
  <c r="W10" i="12"/>
  <c r="X10" i="12"/>
  <c r="Y10" i="12"/>
  <c r="Z10" i="12"/>
  <c r="AA10" i="12"/>
  <c r="AB10" i="12"/>
  <c r="AC10" i="12"/>
  <c r="AD10" i="12"/>
  <c r="AE10" i="12"/>
  <c r="AF10" i="12"/>
  <c r="AG10" i="12"/>
  <c r="AH10" i="12"/>
  <c r="N10" i="12"/>
  <c r="O9" i="12"/>
  <c r="P9" i="12"/>
  <c r="Q9" i="12"/>
  <c r="R9" i="12"/>
  <c r="S9" i="12"/>
  <c r="T9" i="12"/>
  <c r="U9" i="12"/>
  <c r="V9" i="12"/>
  <c r="W9" i="12"/>
  <c r="X9" i="12"/>
  <c r="Y9" i="12"/>
  <c r="Z9" i="12"/>
  <c r="AA9" i="12"/>
  <c r="AB9" i="12"/>
  <c r="AC9" i="12"/>
  <c r="AD9" i="12"/>
  <c r="AE9" i="12"/>
  <c r="AF9" i="12"/>
  <c r="AG9" i="12"/>
  <c r="AH9" i="12"/>
  <c r="N9" i="12"/>
  <c r="O8" i="12"/>
  <c r="P8" i="12"/>
  <c r="Q8" i="12"/>
  <c r="R8" i="12"/>
  <c r="S8" i="12"/>
  <c r="T8" i="12"/>
  <c r="U8" i="12"/>
  <c r="V8" i="12"/>
  <c r="W8" i="12"/>
  <c r="X8" i="12"/>
  <c r="Y8" i="12"/>
  <c r="Z8" i="12"/>
  <c r="AA8" i="12"/>
  <c r="AB8" i="12"/>
  <c r="AC8" i="12"/>
  <c r="AD8" i="12"/>
  <c r="AE8" i="12"/>
  <c r="AF8" i="12"/>
  <c r="AG8" i="12"/>
  <c r="AH8" i="12"/>
  <c r="N8" i="12"/>
  <c r="O7" i="12"/>
  <c r="P7" i="12"/>
  <c r="Q7" i="12"/>
  <c r="R7" i="12"/>
  <c r="S7" i="12"/>
  <c r="T7" i="12"/>
  <c r="U7" i="12"/>
  <c r="V7" i="12"/>
  <c r="W7" i="12"/>
  <c r="X7" i="12"/>
  <c r="Y7" i="12"/>
  <c r="Z7" i="12"/>
  <c r="AA7" i="12"/>
  <c r="AB7" i="12"/>
  <c r="AC7" i="12"/>
  <c r="AD7" i="12"/>
  <c r="AE7" i="12"/>
  <c r="AF7" i="12"/>
  <c r="AG7" i="12"/>
  <c r="AH7" i="12"/>
  <c r="N7" i="12"/>
  <c r="O6" i="12"/>
  <c r="P6" i="12"/>
  <c r="Q6" i="12"/>
  <c r="R6" i="12"/>
  <c r="S6" i="12"/>
  <c r="T6" i="12"/>
  <c r="U6" i="12"/>
  <c r="V6" i="12"/>
  <c r="W6" i="12"/>
  <c r="X6" i="12"/>
  <c r="Y6" i="12"/>
  <c r="Z6" i="12"/>
  <c r="AA6" i="12"/>
  <c r="AB6" i="12"/>
  <c r="AC6" i="12"/>
  <c r="AD6" i="12"/>
  <c r="AE6" i="12"/>
  <c r="AF6" i="12"/>
  <c r="AG6" i="12"/>
  <c r="AH6" i="12"/>
  <c r="N6" i="12"/>
  <c r="O5" i="12"/>
  <c r="P5" i="12"/>
  <c r="Q5" i="12"/>
  <c r="R5" i="12"/>
  <c r="S5" i="12"/>
  <c r="T5" i="12"/>
  <c r="U5" i="12"/>
  <c r="V5" i="12"/>
  <c r="W5" i="12"/>
  <c r="X5" i="12"/>
  <c r="Y5" i="12"/>
  <c r="Z5" i="12"/>
  <c r="AA5" i="12"/>
  <c r="AB5" i="12"/>
  <c r="AC5" i="12"/>
  <c r="AD5" i="12"/>
  <c r="AE5" i="12"/>
  <c r="AF5" i="12"/>
  <c r="AG5" i="12"/>
  <c r="AH5" i="12"/>
  <c r="N5" i="12"/>
  <c r="O4" i="12"/>
  <c r="P4" i="12"/>
  <c r="Q4" i="12"/>
  <c r="R4" i="12"/>
  <c r="S4" i="12"/>
  <c r="T4" i="12"/>
  <c r="U4" i="12"/>
  <c r="V4" i="12"/>
  <c r="W4" i="12"/>
  <c r="X4" i="12"/>
  <c r="Y4" i="12"/>
  <c r="Z4" i="12"/>
  <c r="AA4" i="12"/>
  <c r="AB4" i="12"/>
  <c r="AC4" i="12"/>
  <c r="AD4" i="12"/>
  <c r="AE4" i="12"/>
  <c r="AF4" i="12"/>
  <c r="AG4" i="12"/>
  <c r="AH4" i="12"/>
  <c r="O3" i="12"/>
  <c r="P3" i="12"/>
  <c r="Q3" i="12"/>
  <c r="R3" i="12"/>
  <c r="S3" i="12"/>
  <c r="T3" i="12"/>
  <c r="U3" i="12"/>
  <c r="V3" i="12"/>
  <c r="W3" i="12"/>
  <c r="X3" i="12"/>
  <c r="Y3" i="12"/>
  <c r="Z3" i="12"/>
  <c r="AA3" i="12"/>
  <c r="AB3" i="12"/>
  <c r="AC3" i="12"/>
  <c r="AD3" i="12"/>
  <c r="AE3" i="12"/>
  <c r="AF3" i="12"/>
  <c r="AG3" i="12"/>
  <c r="AH3" i="12"/>
  <c r="N4" i="12"/>
  <c r="N3" i="12"/>
  <c r="O2" i="12"/>
  <c r="P2" i="12"/>
  <c r="Q2" i="12"/>
  <c r="R2" i="12"/>
  <c r="S2" i="12"/>
  <c r="T2" i="12"/>
  <c r="U2" i="12"/>
  <c r="V2" i="12"/>
  <c r="W2" i="12"/>
  <c r="X2" i="12"/>
  <c r="Y2" i="12"/>
  <c r="Z2" i="12"/>
  <c r="AA2" i="12"/>
  <c r="AB2" i="12"/>
  <c r="AC2" i="12"/>
  <c r="AD2" i="12"/>
  <c r="AE2" i="12"/>
  <c r="AF2" i="12"/>
  <c r="AG2" i="12"/>
  <c r="AH2" i="12"/>
  <c r="N2" i="12"/>
  <c r="K3" i="12"/>
  <c r="L3" i="12" s="1"/>
  <c r="M3" i="12" s="1"/>
  <c r="K4" i="12"/>
  <c r="L4" i="12" s="1"/>
  <c r="M4" i="12" s="1"/>
  <c r="K5" i="12"/>
  <c r="L5" i="12" s="1"/>
  <c r="M5" i="12" s="1"/>
  <c r="K6" i="12"/>
  <c r="L6" i="12" s="1"/>
  <c r="M6" i="12" s="1"/>
  <c r="K7" i="12"/>
  <c r="L7" i="12" s="1"/>
  <c r="M7" i="12" s="1"/>
  <c r="K8" i="12"/>
  <c r="L8" i="12" s="1"/>
  <c r="M8" i="12" s="1"/>
  <c r="K9" i="12"/>
  <c r="L9" i="12" s="1"/>
  <c r="K10" i="12"/>
  <c r="L10" i="12" s="1"/>
  <c r="M10" i="12" s="1"/>
  <c r="K11" i="12"/>
  <c r="L11" i="12" s="1"/>
  <c r="M11" i="12" s="1"/>
  <c r="K12" i="12"/>
  <c r="L12" i="12" s="1"/>
  <c r="M12" i="12" s="1"/>
  <c r="K13" i="12"/>
  <c r="L13" i="12" s="1"/>
  <c r="M13" i="12" s="1"/>
  <c r="K14" i="12"/>
  <c r="L14" i="12" s="1"/>
  <c r="M14" i="12" s="1"/>
  <c r="K15" i="12"/>
  <c r="L15" i="12" s="1"/>
  <c r="M15" i="12" s="1"/>
  <c r="K16" i="12"/>
  <c r="L16" i="12" s="1"/>
  <c r="M16" i="12" s="1"/>
  <c r="K17" i="12"/>
  <c r="L17" i="12" s="1"/>
  <c r="M17" i="12" s="1"/>
  <c r="K18" i="12"/>
  <c r="L18" i="12" s="1"/>
  <c r="K19" i="12"/>
  <c r="L19" i="12" s="1"/>
  <c r="M19" i="12" s="1"/>
  <c r="K20" i="12"/>
  <c r="L20" i="12" s="1"/>
  <c r="M20" i="12" s="1"/>
  <c r="K21" i="12"/>
  <c r="L21" i="12" s="1"/>
  <c r="M21" i="12" s="1"/>
  <c r="K22" i="12"/>
  <c r="L22" i="12" s="1"/>
  <c r="M22" i="12" s="1"/>
  <c r="K23" i="12"/>
  <c r="L23" i="12" s="1"/>
  <c r="M23" i="12" s="1"/>
  <c r="K24" i="12"/>
  <c r="L24" i="12" s="1"/>
  <c r="M24" i="12" s="1"/>
  <c r="K25" i="12"/>
  <c r="L25" i="12" s="1"/>
  <c r="K26" i="12"/>
  <c r="L26" i="12" s="1"/>
  <c r="M26" i="12" s="1"/>
  <c r="K27" i="12"/>
  <c r="L27" i="12" s="1"/>
  <c r="M27" i="12" s="1"/>
  <c r="K28" i="12"/>
  <c r="L28" i="12" s="1"/>
  <c r="M28" i="12" s="1"/>
  <c r="K29" i="12"/>
  <c r="L29" i="12" s="1"/>
  <c r="M29" i="12" s="1"/>
  <c r="K30" i="12"/>
  <c r="L30" i="12" s="1"/>
  <c r="M30" i="12" s="1"/>
  <c r="K31" i="12"/>
  <c r="L31" i="12" s="1"/>
  <c r="M31" i="12" s="1"/>
  <c r="K32" i="12"/>
  <c r="L32" i="12" s="1"/>
  <c r="M32" i="12" s="1"/>
  <c r="K33" i="12"/>
  <c r="L33" i="12" s="1"/>
  <c r="M33" i="12" s="1"/>
  <c r="K34" i="12"/>
  <c r="L34" i="12" s="1"/>
  <c r="K35" i="12"/>
  <c r="L35" i="12" s="1"/>
  <c r="K36" i="12"/>
  <c r="L36" i="12" s="1"/>
  <c r="K37" i="12"/>
  <c r="L37" i="12" s="1"/>
  <c r="M37" i="12" s="1"/>
  <c r="K38" i="12"/>
  <c r="L38" i="12" s="1"/>
  <c r="M38" i="12" s="1"/>
  <c r="K39" i="12"/>
  <c r="L39" i="12" s="1"/>
  <c r="M39" i="12" s="1"/>
  <c r="K40" i="12"/>
  <c r="L40" i="12" s="1"/>
  <c r="M40" i="12" s="1"/>
  <c r="K41" i="12"/>
  <c r="L41" i="12" s="1"/>
  <c r="K42" i="12"/>
  <c r="L42" i="12" s="1"/>
  <c r="M42" i="12" s="1"/>
  <c r="K43" i="12"/>
  <c r="L43" i="12" s="1"/>
  <c r="M43" i="12" s="1"/>
  <c r="K44" i="12"/>
  <c r="L44" i="12" s="1"/>
  <c r="K45" i="12"/>
  <c r="L45" i="12" s="1"/>
  <c r="K46" i="12"/>
  <c r="K2" i="12"/>
  <c r="L2" i="12" s="1"/>
  <c r="H3" i="12"/>
  <c r="I3" i="12" s="1"/>
  <c r="J3" i="12" s="1"/>
  <c r="H4" i="12"/>
  <c r="I4" i="12" s="1"/>
  <c r="J4" i="12" s="1"/>
  <c r="H5" i="12"/>
  <c r="I5" i="12" s="1"/>
  <c r="J5" i="12" s="1"/>
  <c r="H6" i="12"/>
  <c r="I6" i="12" s="1"/>
  <c r="J6" i="12" s="1"/>
  <c r="H7" i="12"/>
  <c r="I7" i="12" s="1"/>
  <c r="J7" i="12" s="1"/>
  <c r="H8" i="12"/>
  <c r="I8" i="12" s="1"/>
  <c r="J8" i="12" s="1"/>
  <c r="H9" i="12"/>
  <c r="I9" i="12" s="1"/>
  <c r="J9" i="12" s="1"/>
  <c r="H10" i="12"/>
  <c r="I10" i="12" s="1"/>
  <c r="J10" i="12" s="1"/>
  <c r="H11" i="12"/>
  <c r="I11" i="12" s="1"/>
  <c r="J11" i="12" s="1"/>
  <c r="H12" i="12"/>
  <c r="I12" i="12" s="1"/>
  <c r="J12" i="12" s="1"/>
  <c r="H13" i="12"/>
  <c r="H14" i="12"/>
  <c r="I14" i="12" s="1"/>
  <c r="J14" i="12" s="1"/>
  <c r="H15" i="12"/>
  <c r="I15" i="12" s="1"/>
  <c r="J15" i="12" s="1"/>
  <c r="H16" i="12"/>
  <c r="I16" i="12" s="1"/>
  <c r="J16" i="12" s="1"/>
  <c r="H17" i="12"/>
  <c r="I17" i="12" s="1"/>
  <c r="J17" i="12" s="1"/>
  <c r="H18" i="12"/>
  <c r="I18" i="12" s="1"/>
  <c r="H19" i="12"/>
  <c r="I19" i="12" s="1"/>
  <c r="J19" i="12" s="1"/>
  <c r="H20" i="12"/>
  <c r="I20" i="12" s="1"/>
  <c r="J20" i="12" s="1"/>
  <c r="H21" i="12"/>
  <c r="I21" i="12" s="1"/>
  <c r="J21" i="12" s="1"/>
  <c r="H22" i="12"/>
  <c r="I22" i="12" s="1"/>
  <c r="J22" i="12" s="1"/>
  <c r="H23" i="12"/>
  <c r="I23" i="12" s="1"/>
  <c r="J23" i="12" s="1"/>
  <c r="H24" i="12"/>
  <c r="I24" i="12" s="1"/>
  <c r="J24" i="12" s="1"/>
  <c r="H25" i="12"/>
  <c r="I25" i="12" s="1"/>
  <c r="J25" i="12" s="1"/>
  <c r="H26" i="12"/>
  <c r="I26" i="12" s="1"/>
  <c r="J26" i="12" s="1"/>
  <c r="H27" i="12"/>
  <c r="I27" i="12" s="1"/>
  <c r="J27" i="12" s="1"/>
  <c r="H28" i="12"/>
  <c r="I28" i="12" s="1"/>
  <c r="J28" i="12" s="1"/>
  <c r="H29" i="12"/>
  <c r="I29" i="12" s="1"/>
  <c r="J29" i="12" s="1"/>
  <c r="H30" i="12"/>
  <c r="I30" i="12" s="1"/>
  <c r="J30" i="12" s="1"/>
  <c r="H31" i="12"/>
  <c r="I31" i="12" s="1"/>
  <c r="J31" i="12" s="1"/>
  <c r="H32" i="12"/>
  <c r="I32" i="12" s="1"/>
  <c r="J32" i="12" s="1"/>
  <c r="H33" i="12"/>
  <c r="I33" i="12" s="1"/>
  <c r="J33" i="12" s="1"/>
  <c r="H34" i="12"/>
  <c r="I34" i="12" s="1"/>
  <c r="H35" i="12"/>
  <c r="I35" i="12" s="1"/>
  <c r="H36" i="12"/>
  <c r="I36" i="12" s="1"/>
  <c r="J36" i="12" s="1"/>
  <c r="H37" i="12"/>
  <c r="I37" i="12" s="1"/>
  <c r="J37" i="12" s="1"/>
  <c r="H38" i="12"/>
  <c r="I38" i="12" s="1"/>
  <c r="J38" i="12" s="1"/>
  <c r="H39" i="12"/>
  <c r="I39" i="12" s="1"/>
  <c r="H40" i="12"/>
  <c r="I40" i="12" s="1"/>
  <c r="H41" i="12"/>
  <c r="I41" i="12" s="1"/>
  <c r="J41" i="12" s="1"/>
  <c r="H42" i="12"/>
  <c r="I42" i="12" s="1"/>
  <c r="J42" i="12" s="1"/>
  <c r="H43" i="12"/>
  <c r="I43" i="12" s="1"/>
  <c r="J43" i="12" s="1"/>
  <c r="H44" i="12"/>
  <c r="I44" i="12" s="1"/>
  <c r="J44" i="12" s="1"/>
  <c r="H45" i="12"/>
  <c r="I45" i="12" s="1"/>
  <c r="J45" i="12" s="1"/>
  <c r="H46" i="12"/>
  <c r="I46" i="12" s="1"/>
  <c r="J46" i="12" s="1"/>
  <c r="H2" i="12"/>
  <c r="I2" i="12" s="1"/>
  <c r="F3" i="12"/>
  <c r="F4" i="12"/>
  <c r="F5" i="12"/>
  <c r="F6" i="12"/>
  <c r="F7" i="12"/>
  <c r="F8" i="12"/>
  <c r="F9" i="12"/>
  <c r="F10" i="12"/>
  <c r="F11" i="12"/>
  <c r="F12" i="12"/>
  <c r="F13" i="12"/>
  <c r="F14" i="12"/>
  <c r="F15" i="12"/>
  <c r="F16" i="12"/>
  <c r="F17" i="12"/>
  <c r="F18" i="12"/>
  <c r="F19" i="12"/>
  <c r="F20" i="12"/>
  <c r="F21" i="12"/>
  <c r="F22" i="12"/>
  <c r="F23" i="12"/>
  <c r="F24" i="12"/>
  <c r="F25" i="12"/>
  <c r="F26" i="12"/>
  <c r="F27" i="12"/>
  <c r="F28" i="12"/>
  <c r="F29" i="12"/>
  <c r="F30" i="12"/>
  <c r="F31" i="12"/>
  <c r="F32" i="12"/>
  <c r="F33" i="12"/>
  <c r="F34" i="12"/>
  <c r="F35" i="12"/>
  <c r="F36" i="12"/>
  <c r="F37" i="12"/>
  <c r="F38" i="12"/>
  <c r="F39" i="12"/>
  <c r="F40" i="12"/>
  <c r="F41" i="12"/>
  <c r="F42" i="12"/>
  <c r="F43" i="12"/>
  <c r="F44" i="12"/>
  <c r="F45" i="12"/>
  <c r="F46" i="12"/>
  <c r="F2" i="12"/>
  <c r="E13" i="12"/>
  <c r="E14" i="12"/>
  <c r="E15" i="12"/>
  <c r="E16" i="12"/>
  <c r="E17" i="12"/>
  <c r="E18" i="12"/>
  <c r="E19" i="12"/>
  <c r="E20" i="12"/>
  <c r="E21" i="12"/>
  <c r="E22" i="12"/>
  <c r="E23" i="12"/>
  <c r="E24" i="12"/>
  <c r="E25" i="12"/>
  <c r="E26" i="12"/>
  <c r="E27" i="12"/>
  <c r="E28" i="12"/>
  <c r="E29" i="12"/>
  <c r="E30" i="12"/>
  <c r="E31" i="12"/>
  <c r="E32" i="12"/>
  <c r="E33" i="12"/>
  <c r="E34" i="12"/>
  <c r="E35" i="12"/>
  <c r="E36" i="12"/>
  <c r="E37" i="12"/>
  <c r="E38" i="12"/>
  <c r="E39" i="12"/>
  <c r="E40" i="12"/>
  <c r="E41" i="12"/>
  <c r="E42" i="12"/>
  <c r="E43" i="12"/>
  <c r="E44" i="12"/>
  <c r="E45" i="12"/>
  <c r="E46" i="12"/>
  <c r="E3" i="12"/>
  <c r="G3" i="12" s="1"/>
  <c r="E4" i="12"/>
  <c r="E5" i="12"/>
  <c r="G5" i="12" s="1"/>
  <c r="E6" i="12"/>
  <c r="E7" i="12"/>
  <c r="G7" i="12" s="1"/>
  <c r="E8" i="12"/>
  <c r="E9" i="12"/>
  <c r="G9" i="12" s="1"/>
  <c r="E10" i="12"/>
  <c r="G10" i="12" s="1"/>
  <c r="E11" i="12"/>
  <c r="G11" i="12" s="1"/>
  <c r="E12" i="12"/>
  <c r="G12" i="12" s="1"/>
  <c r="E2" i="12"/>
  <c r="D3" i="12" a="1"/>
  <c r="D3" i="12" s="1"/>
  <c r="D4" i="12" a="1"/>
  <c r="D4" i="12" s="1"/>
  <c r="D5" i="12" a="1"/>
  <c r="D5" i="12" s="1"/>
  <c r="D6" i="12" a="1"/>
  <c r="D6" i="12" s="1"/>
  <c r="D7" i="12" a="1"/>
  <c r="D7" i="12" s="1"/>
  <c r="D8" i="12" a="1"/>
  <c r="D8" i="12" s="1"/>
  <c r="D9" i="12" a="1"/>
  <c r="D9" i="12" s="1"/>
  <c r="D10" i="12" a="1"/>
  <c r="D10" i="12" s="1"/>
  <c r="D11" i="12" a="1"/>
  <c r="D11" i="12" s="1"/>
  <c r="D12" i="12" a="1"/>
  <c r="D12" i="12" s="1"/>
  <c r="D13" i="12" a="1"/>
  <c r="D13" i="12" s="1"/>
  <c r="D14" i="12" a="1"/>
  <c r="D14" i="12" s="1"/>
  <c r="D15" i="12" a="1"/>
  <c r="D15" i="12" s="1"/>
  <c r="D16" i="12" a="1"/>
  <c r="D16" i="12" s="1"/>
  <c r="D17" i="12" a="1"/>
  <c r="D17" i="12" s="1"/>
  <c r="D18" i="12" a="1"/>
  <c r="D18" i="12" s="1"/>
  <c r="D19" i="12" a="1"/>
  <c r="D19" i="12" s="1"/>
  <c r="D20" i="12" a="1"/>
  <c r="D20" i="12" s="1"/>
  <c r="D21" i="12" a="1"/>
  <c r="D21" i="12" s="1"/>
  <c r="D22" i="12" a="1"/>
  <c r="D22" i="12" s="1"/>
  <c r="D23" i="12" a="1"/>
  <c r="D23" i="12" s="1"/>
  <c r="D24" i="12" a="1"/>
  <c r="D24" i="12" s="1"/>
  <c r="D25" i="12" a="1"/>
  <c r="D25" i="12" s="1"/>
  <c r="D26" i="12" a="1"/>
  <c r="D26" i="12" s="1"/>
  <c r="D27" i="12" a="1"/>
  <c r="D27" i="12" s="1"/>
  <c r="D28" i="12" a="1"/>
  <c r="D28" i="12" s="1"/>
  <c r="D29" i="12" a="1"/>
  <c r="D29" i="12" s="1"/>
  <c r="D30" i="12" a="1"/>
  <c r="D30" i="12" s="1"/>
  <c r="D31" i="12" a="1"/>
  <c r="D31" i="12" s="1"/>
  <c r="D32" i="12" a="1"/>
  <c r="D32" i="12" s="1"/>
  <c r="D33" i="12" a="1"/>
  <c r="D33" i="12" s="1"/>
  <c r="D34" i="12" a="1"/>
  <c r="D34" i="12" s="1"/>
  <c r="D35" i="12" a="1"/>
  <c r="D35" i="12" s="1"/>
  <c r="D36" i="12" a="1"/>
  <c r="D36" i="12" s="1"/>
  <c r="D37" i="12" a="1"/>
  <c r="D37" i="12" s="1"/>
  <c r="D38" i="12" a="1"/>
  <c r="D38" i="12" s="1"/>
  <c r="D39" i="12" a="1"/>
  <c r="D39" i="12" s="1"/>
  <c r="D40" i="12" a="1"/>
  <c r="D40" i="12" s="1"/>
  <c r="D41" i="12" a="1"/>
  <c r="D41" i="12" s="1"/>
  <c r="D42" i="12" a="1"/>
  <c r="D42" i="12" s="1"/>
  <c r="D43" i="12" a="1"/>
  <c r="D43" i="12" s="1"/>
  <c r="D44" i="12" a="1"/>
  <c r="D44" i="12" s="1"/>
  <c r="D45" i="12" a="1"/>
  <c r="D45" i="12" s="1"/>
  <c r="D46" i="12" a="1"/>
  <c r="D46" i="12" s="1"/>
  <c r="D2" i="12" a="1"/>
  <c r="D2" i="12" s="1"/>
  <c r="C13" i="12"/>
  <c r="C14" i="12"/>
  <c r="C15" i="12"/>
  <c r="C16" i="12"/>
  <c r="C17" i="12"/>
  <c r="C18" i="12"/>
  <c r="C19" i="12"/>
  <c r="C20" i="12"/>
  <c r="C21" i="12"/>
  <c r="C22" i="12"/>
  <c r="C23" i="12"/>
  <c r="C24" i="12"/>
  <c r="C25" i="12"/>
  <c r="C26" i="12"/>
  <c r="C27" i="12"/>
  <c r="C28" i="12"/>
  <c r="C29" i="12"/>
  <c r="C30" i="12"/>
  <c r="C31" i="12"/>
  <c r="C32" i="12"/>
  <c r="C33" i="12"/>
  <c r="C34" i="12"/>
  <c r="C35" i="12"/>
  <c r="C36" i="12"/>
  <c r="C37" i="12"/>
  <c r="C38" i="12"/>
  <c r="C39" i="12"/>
  <c r="C40" i="12"/>
  <c r="C41" i="12"/>
  <c r="C42" i="12"/>
  <c r="C43" i="12"/>
  <c r="C44" i="12"/>
  <c r="C45" i="12"/>
  <c r="C46" i="12"/>
  <c r="C3" i="12"/>
  <c r="C4" i="12"/>
  <c r="C5" i="12"/>
  <c r="C6" i="12"/>
  <c r="C7" i="12"/>
  <c r="C8" i="12"/>
  <c r="C9" i="12"/>
  <c r="C10" i="12"/>
  <c r="C11" i="12"/>
  <c r="C12" i="12"/>
  <c r="C2" i="12"/>
  <c r="B3" i="12"/>
  <c r="B4" i="12"/>
  <c r="B5" i="12"/>
  <c r="B6" i="12"/>
  <c r="B7" i="12"/>
  <c r="B8" i="12"/>
  <c r="B9" i="12"/>
  <c r="B10" i="12"/>
  <c r="B11" i="12"/>
  <c r="B12" i="12"/>
  <c r="B13" i="12"/>
  <c r="B14" i="12"/>
  <c r="B15" i="12"/>
  <c r="B16" i="12"/>
  <c r="B17" i="12"/>
  <c r="B18" i="12"/>
  <c r="B19" i="12"/>
  <c r="B20" i="12"/>
  <c r="B21" i="12"/>
  <c r="B22" i="12"/>
  <c r="B23" i="12"/>
  <c r="B24" i="12"/>
  <c r="B25" i="12"/>
  <c r="B26" i="12"/>
  <c r="B27" i="12"/>
  <c r="B28" i="12"/>
  <c r="B29" i="12"/>
  <c r="B30" i="12"/>
  <c r="B31" i="12"/>
  <c r="B32" i="12"/>
  <c r="B33" i="12"/>
  <c r="B34" i="12"/>
  <c r="B35" i="12"/>
  <c r="B36" i="12"/>
  <c r="B37" i="12"/>
  <c r="B38" i="12"/>
  <c r="B39" i="12"/>
  <c r="B40" i="12"/>
  <c r="B41" i="12"/>
  <c r="B42" i="12"/>
  <c r="B43" i="12"/>
  <c r="B44" i="12"/>
  <c r="B45" i="12"/>
  <c r="B46" i="12"/>
  <c r="B2" i="12"/>
  <c r="M46" i="12"/>
  <c r="G28" i="12"/>
  <c r="G26" i="12"/>
  <c r="G25" i="12"/>
  <c r="G24" i="12"/>
  <c r="G23" i="12"/>
  <c r="G22" i="12"/>
  <c r="G21" i="12"/>
  <c r="G19" i="12"/>
  <c r="G18" i="12"/>
  <c r="G17" i="12"/>
  <c r="G16" i="12"/>
  <c r="G15" i="12"/>
  <c r="G14" i="12"/>
  <c r="AF376" i="9"/>
  <c r="AG376" i="9"/>
  <c r="AH376" i="9"/>
  <c r="AI376" i="9"/>
  <c r="AF377" i="9"/>
  <c r="AG377" i="9"/>
  <c r="AH377" i="9"/>
  <c r="AI377" i="9"/>
  <c r="AF378" i="9"/>
  <c r="AG378" i="9"/>
  <c r="AH378" i="9"/>
  <c r="AI378" i="9"/>
  <c r="AF379" i="9"/>
  <c r="AG379" i="9"/>
  <c r="AH379" i="9"/>
  <c r="AI379" i="9"/>
  <c r="AF380" i="9"/>
  <c r="AG380" i="9"/>
  <c r="AH380" i="9"/>
  <c r="AI380" i="9"/>
  <c r="AF381" i="9"/>
  <c r="AG381" i="9"/>
  <c r="AH381" i="9"/>
  <c r="AI381" i="9"/>
  <c r="AF382" i="9"/>
  <c r="AG382" i="9"/>
  <c r="AH382" i="9"/>
  <c r="AI382" i="9"/>
  <c r="AF383" i="9"/>
  <c r="AG383" i="9"/>
  <c r="AH383" i="9"/>
  <c r="AI383" i="9"/>
  <c r="AF384" i="9"/>
  <c r="AG384" i="9"/>
  <c r="AH384" i="9"/>
  <c r="AI384" i="9"/>
  <c r="AF385" i="9"/>
  <c r="AG385" i="9"/>
  <c r="AH385" i="9"/>
  <c r="AI385" i="9"/>
  <c r="AF386" i="9"/>
  <c r="AG386" i="9"/>
  <c r="AH386" i="9"/>
  <c r="AI386" i="9"/>
  <c r="AF387" i="9"/>
  <c r="AG387" i="9"/>
  <c r="AH387" i="9"/>
  <c r="AI387" i="9"/>
  <c r="AF360" i="9"/>
  <c r="AG360" i="9"/>
  <c r="AH360" i="9"/>
  <c r="AI360" i="9"/>
  <c r="AF361" i="9"/>
  <c r="AG361" i="9"/>
  <c r="AH361" i="9"/>
  <c r="AI361" i="9"/>
  <c r="AF362" i="9"/>
  <c r="AG362" i="9"/>
  <c r="AH362" i="9"/>
  <c r="AI362" i="9"/>
  <c r="AF363" i="9"/>
  <c r="AG363" i="9"/>
  <c r="AH363" i="9"/>
  <c r="AI363" i="9"/>
  <c r="AF364" i="9"/>
  <c r="AG364" i="9"/>
  <c r="AH364" i="9"/>
  <c r="AI364" i="9"/>
  <c r="AF365" i="9"/>
  <c r="AG365" i="9"/>
  <c r="AH365" i="9"/>
  <c r="AI365" i="9"/>
  <c r="AF366" i="9"/>
  <c r="AG366" i="9"/>
  <c r="AH366" i="9"/>
  <c r="AI366" i="9"/>
  <c r="AF367" i="9"/>
  <c r="AG367" i="9"/>
  <c r="AH367" i="9"/>
  <c r="AI367" i="9"/>
  <c r="AF368" i="9"/>
  <c r="AG368" i="9"/>
  <c r="AH368" i="9"/>
  <c r="AI368" i="9"/>
  <c r="AF369" i="9"/>
  <c r="AG369" i="9"/>
  <c r="AH369" i="9"/>
  <c r="AI369" i="9"/>
  <c r="AF370" i="9"/>
  <c r="AG370" i="9"/>
  <c r="AH370" i="9"/>
  <c r="AI370" i="9"/>
  <c r="AF371" i="9"/>
  <c r="AG371" i="9"/>
  <c r="AH371" i="9"/>
  <c r="AI371" i="9"/>
  <c r="AF372" i="9"/>
  <c r="AG372" i="9"/>
  <c r="AH372" i="9"/>
  <c r="AI372" i="9"/>
  <c r="AF373" i="9"/>
  <c r="AG373" i="9"/>
  <c r="AH373" i="9"/>
  <c r="AI373" i="9"/>
  <c r="AF374" i="9"/>
  <c r="AG374" i="9"/>
  <c r="AH374" i="9"/>
  <c r="AI374" i="9"/>
  <c r="AF375" i="9"/>
  <c r="AG375" i="9"/>
  <c r="AH375" i="9"/>
  <c r="AI375" i="9"/>
  <c r="AF350" i="9"/>
  <c r="AG350" i="9"/>
  <c r="AH350" i="9"/>
  <c r="AI350" i="9"/>
  <c r="AF351" i="9"/>
  <c r="AG351" i="9"/>
  <c r="AH351" i="9"/>
  <c r="AI351" i="9"/>
  <c r="AF352" i="9"/>
  <c r="AG352" i="9"/>
  <c r="AH352" i="9"/>
  <c r="AI352" i="9"/>
  <c r="AF353" i="9"/>
  <c r="AG353" i="9"/>
  <c r="AH353" i="9"/>
  <c r="AI353" i="9"/>
  <c r="AF354" i="9"/>
  <c r="AG354" i="9"/>
  <c r="AH354" i="9"/>
  <c r="AI354" i="9"/>
  <c r="AF355" i="9"/>
  <c r="AG355" i="9"/>
  <c r="AH355" i="9"/>
  <c r="AI355" i="9"/>
  <c r="AF356" i="9"/>
  <c r="AG356" i="9"/>
  <c r="AH356" i="9"/>
  <c r="AI356" i="9"/>
  <c r="AF357" i="9"/>
  <c r="AG357" i="9"/>
  <c r="AH357" i="9"/>
  <c r="AI357" i="9"/>
  <c r="AF358" i="9"/>
  <c r="AG358" i="9"/>
  <c r="AH358" i="9"/>
  <c r="AI358" i="9"/>
  <c r="AF359" i="9"/>
  <c r="AG359" i="9"/>
  <c r="AH359" i="9"/>
  <c r="AI359" i="9"/>
  <c r="AF338" i="9"/>
  <c r="AG338" i="9"/>
  <c r="AH338" i="9"/>
  <c r="AI338" i="9"/>
  <c r="AF339" i="9"/>
  <c r="AG339" i="9"/>
  <c r="AH339" i="9"/>
  <c r="AI339" i="9"/>
  <c r="AF340" i="9"/>
  <c r="AG340" i="9"/>
  <c r="AH340" i="9"/>
  <c r="AI340" i="9"/>
  <c r="AF341" i="9"/>
  <c r="AG341" i="9"/>
  <c r="AH341" i="9"/>
  <c r="AI341" i="9"/>
  <c r="AF342" i="9"/>
  <c r="AG342" i="9"/>
  <c r="AH342" i="9"/>
  <c r="AI342" i="9"/>
  <c r="AF343" i="9"/>
  <c r="AG343" i="9"/>
  <c r="AH343" i="9"/>
  <c r="AI343" i="9"/>
  <c r="AF344" i="9"/>
  <c r="AG344" i="9"/>
  <c r="AH344" i="9"/>
  <c r="AI344" i="9"/>
  <c r="AF345" i="9"/>
  <c r="AG345" i="9"/>
  <c r="AH345" i="9"/>
  <c r="AI345" i="9"/>
  <c r="AF346" i="9"/>
  <c r="AG346" i="9"/>
  <c r="AH346" i="9"/>
  <c r="AI346" i="9"/>
  <c r="AF347" i="9"/>
  <c r="AG347" i="9"/>
  <c r="AH347" i="9"/>
  <c r="AI347" i="9"/>
  <c r="AF348" i="9"/>
  <c r="AG348" i="9"/>
  <c r="AH348" i="9"/>
  <c r="AI348" i="9"/>
  <c r="AF349" i="9"/>
  <c r="AG349" i="9"/>
  <c r="AH349" i="9"/>
  <c r="AI349" i="9"/>
  <c r="AF326" i="9"/>
  <c r="AG326" i="9"/>
  <c r="AH326" i="9"/>
  <c r="AI326" i="9"/>
  <c r="AF327" i="9"/>
  <c r="AG327" i="9"/>
  <c r="AH327" i="9"/>
  <c r="AI327" i="9"/>
  <c r="AF328" i="9"/>
  <c r="AG328" i="9"/>
  <c r="AH328" i="9"/>
  <c r="AI328" i="9"/>
  <c r="AF329" i="9"/>
  <c r="AG329" i="9"/>
  <c r="AH329" i="9"/>
  <c r="AI329" i="9"/>
  <c r="AF330" i="9"/>
  <c r="AG330" i="9"/>
  <c r="AH330" i="9"/>
  <c r="AI330" i="9"/>
  <c r="AF331" i="9"/>
  <c r="AG331" i="9"/>
  <c r="AH331" i="9"/>
  <c r="AI331" i="9"/>
  <c r="AF332" i="9"/>
  <c r="AG332" i="9"/>
  <c r="AH332" i="9"/>
  <c r="AI332" i="9"/>
  <c r="AF333" i="9"/>
  <c r="AG333" i="9"/>
  <c r="AH333" i="9"/>
  <c r="AI333" i="9"/>
  <c r="AF334" i="9"/>
  <c r="AG334" i="9"/>
  <c r="AH334" i="9"/>
  <c r="AI334" i="9"/>
  <c r="AF335" i="9"/>
  <c r="AG335" i="9"/>
  <c r="AH335" i="9"/>
  <c r="AI335" i="9"/>
  <c r="AF336" i="9"/>
  <c r="AG336" i="9"/>
  <c r="AH336" i="9"/>
  <c r="AI336" i="9"/>
  <c r="AF337" i="9"/>
  <c r="AG337" i="9"/>
  <c r="AH337" i="9"/>
  <c r="AI337" i="9"/>
  <c r="AF312" i="9"/>
  <c r="AG312" i="9"/>
  <c r="AH312" i="9"/>
  <c r="AI312" i="9"/>
  <c r="AF313" i="9"/>
  <c r="AG313" i="9"/>
  <c r="AH313" i="9"/>
  <c r="AI313" i="9"/>
  <c r="AF314" i="9"/>
  <c r="AG314" i="9"/>
  <c r="AH314" i="9"/>
  <c r="AI314" i="9"/>
  <c r="AF315" i="9"/>
  <c r="AG315" i="9"/>
  <c r="AH315" i="9"/>
  <c r="AI315" i="9"/>
  <c r="AF316" i="9"/>
  <c r="AG316" i="9"/>
  <c r="AH316" i="9"/>
  <c r="AI316" i="9"/>
  <c r="AF317" i="9"/>
  <c r="AG317" i="9"/>
  <c r="AH317" i="9"/>
  <c r="AI317" i="9"/>
  <c r="AF318" i="9"/>
  <c r="AG318" i="9"/>
  <c r="AH318" i="9"/>
  <c r="AI318" i="9"/>
  <c r="AF319" i="9"/>
  <c r="AG319" i="9"/>
  <c r="AH319" i="9"/>
  <c r="AI319" i="9"/>
  <c r="AF320" i="9"/>
  <c r="AG320" i="9"/>
  <c r="AH320" i="9"/>
  <c r="AI320" i="9"/>
  <c r="AF321" i="9"/>
  <c r="AG321" i="9"/>
  <c r="AH321" i="9"/>
  <c r="AI321" i="9"/>
  <c r="AF322" i="9"/>
  <c r="AG322" i="9"/>
  <c r="AH322" i="9"/>
  <c r="AI322" i="9"/>
  <c r="AF323" i="9"/>
  <c r="AG323" i="9"/>
  <c r="AH323" i="9"/>
  <c r="AI323" i="9"/>
  <c r="AF324" i="9"/>
  <c r="AG324" i="9"/>
  <c r="AH324" i="9"/>
  <c r="AI324" i="9"/>
  <c r="AF325" i="9"/>
  <c r="AG325" i="9"/>
  <c r="AH325" i="9"/>
  <c r="AI325" i="9"/>
  <c r="AF300" i="9"/>
  <c r="AG300" i="9"/>
  <c r="AH300" i="9"/>
  <c r="AI300" i="9"/>
  <c r="AF301" i="9"/>
  <c r="AG301" i="9"/>
  <c r="AH301" i="9"/>
  <c r="AI301" i="9"/>
  <c r="AF302" i="9"/>
  <c r="AG302" i="9"/>
  <c r="AH302" i="9"/>
  <c r="AI302" i="9"/>
  <c r="AF303" i="9"/>
  <c r="AG303" i="9"/>
  <c r="AH303" i="9"/>
  <c r="AI303" i="9"/>
  <c r="AF304" i="9"/>
  <c r="AG304" i="9"/>
  <c r="AH304" i="9"/>
  <c r="AI304" i="9"/>
  <c r="AF305" i="9"/>
  <c r="AG305" i="9"/>
  <c r="AH305" i="9"/>
  <c r="AI305" i="9"/>
  <c r="AF306" i="9"/>
  <c r="AG306" i="9"/>
  <c r="AH306" i="9"/>
  <c r="AI306" i="9"/>
  <c r="AF307" i="9"/>
  <c r="AG307" i="9"/>
  <c r="AH307" i="9"/>
  <c r="AI307" i="9"/>
  <c r="AF308" i="9"/>
  <c r="AG308" i="9"/>
  <c r="AH308" i="9"/>
  <c r="AI308" i="9"/>
  <c r="AF309" i="9"/>
  <c r="AG309" i="9"/>
  <c r="AH309" i="9"/>
  <c r="AI309" i="9"/>
  <c r="AF310" i="9"/>
  <c r="AG310" i="9"/>
  <c r="AH310" i="9"/>
  <c r="AI310" i="9"/>
  <c r="AF311" i="9"/>
  <c r="AG311" i="9"/>
  <c r="AH311" i="9"/>
  <c r="AI311" i="9"/>
  <c r="AF293" i="9"/>
  <c r="AG293" i="9"/>
  <c r="AH293" i="9"/>
  <c r="AI293" i="9"/>
  <c r="AF294" i="9"/>
  <c r="AG294" i="9"/>
  <c r="AH294" i="9"/>
  <c r="AI294" i="9"/>
  <c r="AF295" i="9"/>
  <c r="AG295" i="9"/>
  <c r="AH295" i="9"/>
  <c r="AI295" i="9"/>
  <c r="AF296" i="9"/>
  <c r="AG296" i="9"/>
  <c r="AH296" i="9"/>
  <c r="AI296" i="9"/>
  <c r="AF297" i="9"/>
  <c r="AG297" i="9"/>
  <c r="AH297" i="9"/>
  <c r="AI297" i="9"/>
  <c r="AF298" i="9"/>
  <c r="AG298" i="9"/>
  <c r="AH298" i="9"/>
  <c r="AI298" i="9"/>
  <c r="AF299" i="9"/>
  <c r="AG299" i="9"/>
  <c r="AH299" i="9"/>
  <c r="AI299" i="9"/>
  <c r="AF281" i="9"/>
  <c r="AG281" i="9"/>
  <c r="AH281" i="9"/>
  <c r="AI281" i="9"/>
  <c r="AF282" i="9"/>
  <c r="AG282" i="9"/>
  <c r="AH282" i="9"/>
  <c r="AI282" i="9"/>
  <c r="AF283" i="9"/>
  <c r="AG283" i="9"/>
  <c r="AH283" i="9"/>
  <c r="AI283" i="9"/>
  <c r="AF284" i="9"/>
  <c r="AG284" i="9"/>
  <c r="AH284" i="9"/>
  <c r="AI284" i="9"/>
  <c r="AF285" i="9"/>
  <c r="AG285" i="9"/>
  <c r="AH285" i="9"/>
  <c r="AI285" i="9"/>
  <c r="AF286" i="9"/>
  <c r="AG286" i="9"/>
  <c r="AH286" i="9"/>
  <c r="AI286" i="9"/>
  <c r="AF287" i="9"/>
  <c r="AG287" i="9"/>
  <c r="AH287" i="9"/>
  <c r="AI287" i="9"/>
  <c r="AF288" i="9"/>
  <c r="AG288" i="9"/>
  <c r="AH288" i="9"/>
  <c r="AI288" i="9"/>
  <c r="AF289" i="9"/>
  <c r="AG289" i="9"/>
  <c r="AH289" i="9"/>
  <c r="AI289" i="9"/>
  <c r="AF290" i="9"/>
  <c r="AG290" i="9"/>
  <c r="AH290" i="9"/>
  <c r="AI290" i="9"/>
  <c r="AF291" i="9"/>
  <c r="AG291" i="9"/>
  <c r="AH291" i="9"/>
  <c r="AI291" i="9"/>
  <c r="AF292" i="9"/>
  <c r="AG292" i="9"/>
  <c r="AH292" i="9"/>
  <c r="AI292" i="9"/>
  <c r="AF269" i="9"/>
  <c r="AG269" i="9"/>
  <c r="AH269" i="9"/>
  <c r="AI269" i="9"/>
  <c r="AF270" i="9"/>
  <c r="AG270" i="9"/>
  <c r="AH270" i="9"/>
  <c r="AI270" i="9"/>
  <c r="AF271" i="9"/>
  <c r="AG271" i="9"/>
  <c r="AH271" i="9"/>
  <c r="AI271" i="9"/>
  <c r="AF272" i="9"/>
  <c r="AG272" i="9"/>
  <c r="AH272" i="9"/>
  <c r="AI272" i="9"/>
  <c r="AF273" i="9"/>
  <c r="AG273" i="9"/>
  <c r="AH273" i="9"/>
  <c r="AI273" i="9"/>
  <c r="AF274" i="9"/>
  <c r="AG274" i="9"/>
  <c r="AH274" i="9"/>
  <c r="AI274" i="9"/>
  <c r="AF275" i="9"/>
  <c r="AG275" i="9"/>
  <c r="AH275" i="9"/>
  <c r="AI275" i="9"/>
  <c r="AF276" i="9"/>
  <c r="AG276" i="9"/>
  <c r="AH276" i="9"/>
  <c r="AI276" i="9"/>
  <c r="AF277" i="9"/>
  <c r="AG277" i="9"/>
  <c r="AH277" i="9"/>
  <c r="AI277" i="9"/>
  <c r="AF278" i="9"/>
  <c r="AG278" i="9"/>
  <c r="AH278" i="9"/>
  <c r="AI278" i="9"/>
  <c r="AF279" i="9"/>
  <c r="AG279" i="9"/>
  <c r="AH279" i="9"/>
  <c r="AI279" i="9"/>
  <c r="AF280" i="9"/>
  <c r="AG280" i="9"/>
  <c r="AH280" i="9"/>
  <c r="AI280" i="9"/>
  <c r="AF268" i="9"/>
  <c r="AG268" i="9"/>
  <c r="AH268" i="9"/>
  <c r="AI268" i="9"/>
  <c r="AF255" i="9"/>
  <c r="AG255" i="9"/>
  <c r="AH255" i="9"/>
  <c r="AI255" i="9"/>
  <c r="AF256" i="9"/>
  <c r="AG256" i="9"/>
  <c r="AH256" i="9"/>
  <c r="AI256" i="9"/>
  <c r="AF257" i="9"/>
  <c r="AG257" i="9"/>
  <c r="AH257" i="9"/>
  <c r="AI257" i="9"/>
  <c r="AF258" i="9"/>
  <c r="AG258" i="9"/>
  <c r="AH258" i="9"/>
  <c r="AI258" i="9"/>
  <c r="AF259" i="9"/>
  <c r="AG259" i="9"/>
  <c r="AH259" i="9"/>
  <c r="AI259" i="9"/>
  <c r="AF260" i="9"/>
  <c r="AG260" i="9"/>
  <c r="AH260" i="9"/>
  <c r="AI260" i="9"/>
  <c r="AF261" i="9"/>
  <c r="AG261" i="9"/>
  <c r="AH261" i="9"/>
  <c r="AI261" i="9"/>
  <c r="AF262" i="9"/>
  <c r="AG262" i="9"/>
  <c r="AH262" i="9"/>
  <c r="AI262" i="9"/>
  <c r="AF263" i="9"/>
  <c r="AG263" i="9"/>
  <c r="AH263" i="9"/>
  <c r="AI263" i="9"/>
  <c r="AF264" i="9"/>
  <c r="AG264" i="9"/>
  <c r="AH264" i="9"/>
  <c r="AI264" i="9"/>
  <c r="AF265" i="9"/>
  <c r="AG265" i="9"/>
  <c r="AH265" i="9"/>
  <c r="AI265" i="9"/>
  <c r="AF266" i="9"/>
  <c r="AG266" i="9"/>
  <c r="AH266" i="9"/>
  <c r="AI266" i="9"/>
  <c r="AF267" i="9"/>
  <c r="AG267" i="9"/>
  <c r="AH267" i="9"/>
  <c r="AI267" i="9"/>
  <c r="AF241" i="9"/>
  <c r="AG241" i="9"/>
  <c r="AH241" i="9"/>
  <c r="AI241" i="9"/>
  <c r="AF242" i="9"/>
  <c r="AG242" i="9"/>
  <c r="AH242" i="9"/>
  <c r="AI242" i="9"/>
  <c r="AF243" i="9"/>
  <c r="AG243" i="9"/>
  <c r="AH243" i="9"/>
  <c r="AI243" i="9"/>
  <c r="AF244" i="9"/>
  <c r="AG244" i="9"/>
  <c r="AH244" i="9"/>
  <c r="AI244" i="9"/>
  <c r="AF245" i="9"/>
  <c r="AG245" i="9"/>
  <c r="AH245" i="9"/>
  <c r="AI245" i="9"/>
  <c r="AF246" i="9"/>
  <c r="AG246" i="9"/>
  <c r="AH246" i="9"/>
  <c r="AI246" i="9"/>
  <c r="AF247" i="9"/>
  <c r="AG247" i="9"/>
  <c r="AH247" i="9"/>
  <c r="AI247" i="9"/>
  <c r="AF248" i="9"/>
  <c r="AG248" i="9"/>
  <c r="AH248" i="9"/>
  <c r="AI248" i="9"/>
  <c r="AF249" i="9"/>
  <c r="AG249" i="9"/>
  <c r="AH249" i="9"/>
  <c r="AI249" i="9"/>
  <c r="AF250" i="9"/>
  <c r="AG250" i="9"/>
  <c r="AH250" i="9"/>
  <c r="AI250" i="9"/>
  <c r="AF251" i="9"/>
  <c r="AG251" i="9"/>
  <c r="AH251" i="9"/>
  <c r="AI251" i="9"/>
  <c r="AF252" i="9"/>
  <c r="AG252" i="9"/>
  <c r="AH252" i="9"/>
  <c r="AI252" i="9"/>
  <c r="AF253" i="9"/>
  <c r="AG253" i="9"/>
  <c r="AH253" i="9"/>
  <c r="AI253" i="9"/>
  <c r="AF254" i="9"/>
  <c r="AG254" i="9"/>
  <c r="AH254" i="9"/>
  <c r="AI254" i="9"/>
  <c r="AF231" i="9"/>
  <c r="AG231" i="9"/>
  <c r="AH231" i="9"/>
  <c r="AI231" i="9"/>
  <c r="AF232" i="9"/>
  <c r="AG232" i="9"/>
  <c r="AH232" i="9"/>
  <c r="AI232" i="9"/>
  <c r="AF233" i="9"/>
  <c r="AG233" i="9"/>
  <c r="AH233" i="9"/>
  <c r="AI233" i="9"/>
  <c r="AF234" i="9"/>
  <c r="AG234" i="9"/>
  <c r="AH234" i="9"/>
  <c r="AI234" i="9"/>
  <c r="AF235" i="9"/>
  <c r="AG235" i="9"/>
  <c r="AH235" i="9"/>
  <c r="AI235" i="9"/>
  <c r="AF236" i="9"/>
  <c r="AG236" i="9"/>
  <c r="AH236" i="9"/>
  <c r="AI236" i="9"/>
  <c r="AF237" i="9"/>
  <c r="AG237" i="9"/>
  <c r="AH237" i="9"/>
  <c r="AI237" i="9"/>
  <c r="AF238" i="9"/>
  <c r="AG238" i="9"/>
  <c r="AH238" i="9"/>
  <c r="AI238" i="9"/>
  <c r="AF239" i="9"/>
  <c r="AG239" i="9"/>
  <c r="AH239" i="9"/>
  <c r="AI239" i="9"/>
  <c r="AF240" i="9"/>
  <c r="AG240" i="9"/>
  <c r="AH240" i="9"/>
  <c r="AI240" i="9"/>
  <c r="AF215" i="9"/>
  <c r="AG215" i="9"/>
  <c r="AH215" i="9"/>
  <c r="AI215" i="9"/>
  <c r="AF216" i="9"/>
  <c r="AG216" i="9"/>
  <c r="AH216" i="9"/>
  <c r="AI216" i="9"/>
  <c r="AF217" i="9"/>
  <c r="AG217" i="9"/>
  <c r="AH217" i="9"/>
  <c r="AI217" i="9"/>
  <c r="AF218" i="9"/>
  <c r="AG218" i="9"/>
  <c r="AH218" i="9"/>
  <c r="AI218" i="9"/>
  <c r="AF219" i="9"/>
  <c r="AG219" i="9"/>
  <c r="AH219" i="9"/>
  <c r="AI219" i="9"/>
  <c r="AF220" i="9"/>
  <c r="AG220" i="9"/>
  <c r="AH220" i="9"/>
  <c r="AI220" i="9"/>
  <c r="AF221" i="9"/>
  <c r="AG221" i="9"/>
  <c r="AH221" i="9"/>
  <c r="AI221" i="9"/>
  <c r="AF222" i="9"/>
  <c r="AG222" i="9"/>
  <c r="AH222" i="9"/>
  <c r="AI222" i="9"/>
  <c r="AF223" i="9"/>
  <c r="AG223" i="9"/>
  <c r="AH223" i="9"/>
  <c r="AI223" i="9"/>
  <c r="AF224" i="9"/>
  <c r="AG224" i="9"/>
  <c r="AH224" i="9"/>
  <c r="AI224" i="9"/>
  <c r="AF225" i="9"/>
  <c r="AG225" i="9"/>
  <c r="AH225" i="9"/>
  <c r="AI225" i="9"/>
  <c r="AF226" i="9"/>
  <c r="AG226" i="9"/>
  <c r="AH226" i="9"/>
  <c r="AI226" i="9"/>
  <c r="AF227" i="9"/>
  <c r="AG227" i="9"/>
  <c r="AH227" i="9"/>
  <c r="AI227" i="9"/>
  <c r="AF228" i="9"/>
  <c r="AG228" i="9"/>
  <c r="AH228" i="9"/>
  <c r="AI228" i="9"/>
  <c r="AF229" i="9"/>
  <c r="AG229" i="9"/>
  <c r="AH229" i="9"/>
  <c r="AI229" i="9"/>
  <c r="AF230" i="9"/>
  <c r="AG230" i="9"/>
  <c r="AH230" i="9"/>
  <c r="AI230" i="9"/>
  <c r="AF205" i="9"/>
  <c r="AG205" i="9"/>
  <c r="AH205" i="9"/>
  <c r="AI205" i="9"/>
  <c r="AF206" i="9"/>
  <c r="AG206" i="9"/>
  <c r="AH206" i="9"/>
  <c r="AI206" i="9"/>
  <c r="AF207" i="9"/>
  <c r="AG207" i="9"/>
  <c r="AH207" i="9"/>
  <c r="AI207" i="9"/>
  <c r="AF208" i="9"/>
  <c r="AG208" i="9"/>
  <c r="AH208" i="9"/>
  <c r="AI208" i="9"/>
  <c r="AF209" i="9"/>
  <c r="AG209" i="9"/>
  <c r="AH209" i="9"/>
  <c r="AI209" i="9"/>
  <c r="AF210" i="9"/>
  <c r="AG210" i="9"/>
  <c r="AH210" i="9"/>
  <c r="AI210" i="9"/>
  <c r="AF211" i="9"/>
  <c r="AG211" i="9"/>
  <c r="AH211" i="9"/>
  <c r="AI211" i="9"/>
  <c r="AF212" i="9"/>
  <c r="AG212" i="9"/>
  <c r="AH212" i="9"/>
  <c r="AI212" i="9"/>
  <c r="AF213" i="9"/>
  <c r="AG213" i="9"/>
  <c r="AH213" i="9"/>
  <c r="AI213" i="9"/>
  <c r="AF214" i="9"/>
  <c r="AG214" i="9"/>
  <c r="AH214" i="9"/>
  <c r="AI214" i="9"/>
  <c r="AF191" i="9"/>
  <c r="AG191" i="9"/>
  <c r="AH191" i="9"/>
  <c r="AI191" i="9"/>
  <c r="AF192" i="9"/>
  <c r="AG192" i="9"/>
  <c r="AH192" i="9"/>
  <c r="AI192" i="9"/>
  <c r="AF193" i="9"/>
  <c r="AG193" i="9"/>
  <c r="AH193" i="9"/>
  <c r="AI193" i="9"/>
  <c r="AF194" i="9"/>
  <c r="AG194" i="9"/>
  <c r="AH194" i="9"/>
  <c r="AI194" i="9"/>
  <c r="AF195" i="9"/>
  <c r="AG195" i="9"/>
  <c r="AH195" i="9"/>
  <c r="AI195" i="9"/>
  <c r="AF196" i="9"/>
  <c r="AG196" i="9"/>
  <c r="AH196" i="9"/>
  <c r="AI196" i="9"/>
  <c r="AF197" i="9"/>
  <c r="AG197" i="9"/>
  <c r="AH197" i="9"/>
  <c r="AI197" i="9"/>
  <c r="AF198" i="9"/>
  <c r="AG198" i="9"/>
  <c r="AH198" i="9"/>
  <c r="AI198" i="9"/>
  <c r="AF199" i="9"/>
  <c r="AG199" i="9"/>
  <c r="AH199" i="9"/>
  <c r="AI199" i="9"/>
  <c r="AF200" i="9"/>
  <c r="AG200" i="9"/>
  <c r="AH200" i="9"/>
  <c r="AI200" i="9"/>
  <c r="AF201" i="9"/>
  <c r="AG201" i="9"/>
  <c r="AH201" i="9"/>
  <c r="AI201" i="9"/>
  <c r="AF202" i="9"/>
  <c r="AG202" i="9"/>
  <c r="AH202" i="9"/>
  <c r="AI202" i="9"/>
  <c r="AF203" i="9"/>
  <c r="AG203" i="9"/>
  <c r="AH203" i="9"/>
  <c r="AI203" i="9"/>
  <c r="AF204" i="9"/>
  <c r="AG204" i="9"/>
  <c r="AH204" i="9"/>
  <c r="AI204" i="9"/>
  <c r="AF179" i="9"/>
  <c r="AG179" i="9"/>
  <c r="AH179" i="9"/>
  <c r="AI179" i="9"/>
  <c r="AF180" i="9"/>
  <c r="AG180" i="9"/>
  <c r="AH180" i="9"/>
  <c r="AI180" i="9"/>
  <c r="AF181" i="9"/>
  <c r="AG181" i="9"/>
  <c r="AH181" i="9"/>
  <c r="AI181" i="9"/>
  <c r="AF182" i="9"/>
  <c r="AG182" i="9"/>
  <c r="AH182" i="9"/>
  <c r="AI182" i="9"/>
  <c r="AF183" i="9"/>
  <c r="AG183" i="9"/>
  <c r="AH183" i="9"/>
  <c r="AI183" i="9"/>
  <c r="AF184" i="9"/>
  <c r="AG184" i="9"/>
  <c r="AH184" i="9"/>
  <c r="AI184" i="9"/>
  <c r="AF185" i="9"/>
  <c r="AG185" i="9"/>
  <c r="AH185" i="9"/>
  <c r="AI185" i="9"/>
  <c r="AF186" i="9"/>
  <c r="AG186" i="9"/>
  <c r="AH186" i="9"/>
  <c r="AI186" i="9"/>
  <c r="AF187" i="9"/>
  <c r="AG187" i="9"/>
  <c r="AH187" i="9"/>
  <c r="AI187" i="9"/>
  <c r="AF188" i="9"/>
  <c r="AG188" i="9"/>
  <c r="AH188" i="9"/>
  <c r="AI188" i="9"/>
  <c r="AF189" i="9"/>
  <c r="AG189" i="9"/>
  <c r="AH189" i="9"/>
  <c r="AI189" i="9"/>
  <c r="AF190" i="9"/>
  <c r="AG190" i="9"/>
  <c r="AH190" i="9"/>
  <c r="AI190" i="9"/>
  <c r="AF167" i="9"/>
  <c r="AG167" i="9"/>
  <c r="AH167" i="9"/>
  <c r="AI167" i="9"/>
  <c r="AF168" i="9"/>
  <c r="AG168" i="9"/>
  <c r="AH168" i="9"/>
  <c r="AI168" i="9"/>
  <c r="AF169" i="9"/>
  <c r="AG169" i="9"/>
  <c r="AH169" i="9"/>
  <c r="AI169" i="9"/>
  <c r="AF170" i="9"/>
  <c r="AG170" i="9"/>
  <c r="AH170" i="9"/>
  <c r="AI170" i="9"/>
  <c r="AF171" i="9"/>
  <c r="AG171" i="9"/>
  <c r="AH171" i="9"/>
  <c r="AI171" i="9"/>
  <c r="AF172" i="9"/>
  <c r="AG172" i="9"/>
  <c r="AH172" i="9"/>
  <c r="AI172" i="9"/>
  <c r="AF173" i="9"/>
  <c r="AG173" i="9"/>
  <c r="AH173" i="9"/>
  <c r="AI173" i="9"/>
  <c r="AF174" i="9"/>
  <c r="AG174" i="9"/>
  <c r="AH174" i="9"/>
  <c r="AI174" i="9"/>
  <c r="AF175" i="9"/>
  <c r="AG175" i="9"/>
  <c r="AH175" i="9"/>
  <c r="AI175" i="9"/>
  <c r="AF176" i="9"/>
  <c r="AG176" i="9"/>
  <c r="AH176" i="9"/>
  <c r="AI176" i="9"/>
  <c r="AF177" i="9"/>
  <c r="AG177" i="9"/>
  <c r="AH177" i="9"/>
  <c r="AI177" i="9"/>
  <c r="AF178" i="9"/>
  <c r="AG178" i="9"/>
  <c r="AH178" i="9"/>
  <c r="AI178" i="9"/>
  <c r="AF155" i="9"/>
  <c r="AG155" i="9"/>
  <c r="AH155" i="9"/>
  <c r="AI155" i="9"/>
  <c r="AF156" i="9"/>
  <c r="AG156" i="9"/>
  <c r="AH156" i="9"/>
  <c r="AI156" i="9"/>
  <c r="AF157" i="9"/>
  <c r="AG157" i="9"/>
  <c r="AH157" i="9"/>
  <c r="AI157" i="9"/>
  <c r="AF158" i="9"/>
  <c r="AG158" i="9"/>
  <c r="AH158" i="9"/>
  <c r="AI158" i="9"/>
  <c r="AF159" i="9"/>
  <c r="AG159" i="9"/>
  <c r="AH159" i="9"/>
  <c r="AI159" i="9"/>
  <c r="AF160" i="9"/>
  <c r="AG160" i="9"/>
  <c r="AH160" i="9"/>
  <c r="AI160" i="9"/>
  <c r="AF161" i="9"/>
  <c r="AG161" i="9"/>
  <c r="AH161" i="9"/>
  <c r="AI161" i="9"/>
  <c r="AF162" i="9"/>
  <c r="AG162" i="9"/>
  <c r="AH162" i="9"/>
  <c r="AI162" i="9"/>
  <c r="AF163" i="9"/>
  <c r="AG163" i="9"/>
  <c r="AH163" i="9"/>
  <c r="AI163" i="9"/>
  <c r="AF164" i="9"/>
  <c r="AG164" i="9"/>
  <c r="AH164" i="9"/>
  <c r="AI164" i="9"/>
  <c r="AF165" i="9"/>
  <c r="AG165" i="9"/>
  <c r="AH165" i="9"/>
  <c r="AI165" i="9"/>
  <c r="AF166" i="9"/>
  <c r="AG166" i="9"/>
  <c r="AH166" i="9"/>
  <c r="AI166" i="9"/>
  <c r="AF143" i="9"/>
  <c r="AG143" i="9"/>
  <c r="AH143" i="9"/>
  <c r="AI143" i="9"/>
  <c r="AF144" i="9"/>
  <c r="AG144" i="9"/>
  <c r="AH144" i="9"/>
  <c r="AI144" i="9"/>
  <c r="AF145" i="9"/>
  <c r="AG145" i="9"/>
  <c r="AH145" i="9"/>
  <c r="AI145" i="9"/>
  <c r="AF146" i="9"/>
  <c r="AG146" i="9"/>
  <c r="AH146" i="9"/>
  <c r="AI146" i="9"/>
  <c r="AF147" i="9"/>
  <c r="AG147" i="9"/>
  <c r="AH147" i="9"/>
  <c r="AI147" i="9"/>
  <c r="AF148" i="9"/>
  <c r="AG148" i="9"/>
  <c r="AH148" i="9"/>
  <c r="AI148" i="9"/>
  <c r="AF149" i="9"/>
  <c r="AG149" i="9"/>
  <c r="AH149" i="9"/>
  <c r="AI149" i="9"/>
  <c r="AF150" i="9"/>
  <c r="AG150" i="9"/>
  <c r="AH150" i="9"/>
  <c r="AI150" i="9"/>
  <c r="AF151" i="9"/>
  <c r="AG151" i="9"/>
  <c r="AH151" i="9"/>
  <c r="AI151" i="9"/>
  <c r="AF152" i="9"/>
  <c r="AG152" i="9"/>
  <c r="AH152" i="9"/>
  <c r="AI152" i="9"/>
  <c r="AF153" i="9"/>
  <c r="AG153" i="9"/>
  <c r="AH153" i="9"/>
  <c r="AI153" i="9"/>
  <c r="AF154" i="9"/>
  <c r="AG154" i="9"/>
  <c r="AH154" i="9"/>
  <c r="AI154" i="9"/>
  <c r="AF131" i="9"/>
  <c r="AG131" i="9"/>
  <c r="AH131" i="9"/>
  <c r="AI131" i="9"/>
  <c r="AF132" i="9"/>
  <c r="AG132" i="9"/>
  <c r="AH132" i="9"/>
  <c r="AI132" i="9"/>
  <c r="AF133" i="9"/>
  <c r="AG133" i="9"/>
  <c r="AH133" i="9"/>
  <c r="AI133" i="9"/>
  <c r="AF134" i="9"/>
  <c r="AG134" i="9"/>
  <c r="AH134" i="9"/>
  <c r="AI134" i="9"/>
  <c r="AF135" i="9"/>
  <c r="AG135" i="9"/>
  <c r="AH135" i="9"/>
  <c r="AI135" i="9"/>
  <c r="AF136" i="9"/>
  <c r="AG136" i="9"/>
  <c r="AH136" i="9"/>
  <c r="AI136" i="9"/>
  <c r="AF137" i="9"/>
  <c r="AG137" i="9"/>
  <c r="AH137" i="9"/>
  <c r="AI137" i="9"/>
  <c r="AF138" i="9"/>
  <c r="AG138" i="9"/>
  <c r="AH138" i="9"/>
  <c r="AI138" i="9"/>
  <c r="AF139" i="9"/>
  <c r="AG139" i="9"/>
  <c r="AH139" i="9"/>
  <c r="AI139" i="9"/>
  <c r="AF140" i="9"/>
  <c r="AG140" i="9"/>
  <c r="AH140" i="9"/>
  <c r="AI140" i="9"/>
  <c r="AF141" i="9"/>
  <c r="AG141" i="9"/>
  <c r="AH141" i="9"/>
  <c r="AI141" i="9"/>
  <c r="AF142" i="9"/>
  <c r="AG142" i="9"/>
  <c r="AH142" i="9"/>
  <c r="AI142" i="9"/>
  <c r="AF121" i="9"/>
  <c r="AG121" i="9"/>
  <c r="AH121" i="9"/>
  <c r="AI121" i="9"/>
  <c r="AF122" i="9"/>
  <c r="AG122" i="9"/>
  <c r="AH122" i="9"/>
  <c r="AI122" i="9"/>
  <c r="AF123" i="9"/>
  <c r="AG123" i="9"/>
  <c r="AH123" i="9"/>
  <c r="AI123" i="9"/>
  <c r="AF124" i="9"/>
  <c r="AG124" i="9"/>
  <c r="AH124" i="9"/>
  <c r="AI124" i="9"/>
  <c r="AF125" i="9"/>
  <c r="AG125" i="9"/>
  <c r="AH125" i="9"/>
  <c r="AI125" i="9"/>
  <c r="AF126" i="9"/>
  <c r="AG126" i="9"/>
  <c r="AH126" i="9"/>
  <c r="AI126" i="9"/>
  <c r="AF127" i="9"/>
  <c r="AG127" i="9"/>
  <c r="AH127" i="9"/>
  <c r="AI127" i="9"/>
  <c r="AF128" i="9"/>
  <c r="AG128" i="9"/>
  <c r="AH128" i="9"/>
  <c r="AI128" i="9"/>
  <c r="AF129" i="9"/>
  <c r="AG129" i="9"/>
  <c r="AH129" i="9"/>
  <c r="AI129" i="9"/>
  <c r="AF130" i="9"/>
  <c r="AG130" i="9"/>
  <c r="AH130" i="9"/>
  <c r="AI130" i="9"/>
  <c r="AF111" i="9"/>
  <c r="AG111" i="9"/>
  <c r="AH111" i="9"/>
  <c r="AI111" i="9"/>
  <c r="AF112" i="9"/>
  <c r="AG112" i="9"/>
  <c r="AH112" i="9"/>
  <c r="AI112" i="9"/>
  <c r="AF113" i="9"/>
  <c r="AG113" i="9"/>
  <c r="AH113" i="9"/>
  <c r="AI113" i="9"/>
  <c r="AF114" i="9"/>
  <c r="AG114" i="9"/>
  <c r="AH114" i="9"/>
  <c r="AI114" i="9"/>
  <c r="AF115" i="9"/>
  <c r="AG115" i="9"/>
  <c r="AH115" i="9"/>
  <c r="AI115" i="9"/>
  <c r="AF116" i="9"/>
  <c r="AG116" i="9"/>
  <c r="AH116" i="9"/>
  <c r="AI116" i="9"/>
  <c r="AF117" i="9"/>
  <c r="AG117" i="9"/>
  <c r="AH117" i="9"/>
  <c r="AI117" i="9"/>
  <c r="AF118" i="9"/>
  <c r="AG118" i="9"/>
  <c r="AH118" i="9"/>
  <c r="AI118" i="9"/>
  <c r="AF119" i="9"/>
  <c r="AG119" i="9"/>
  <c r="AH119" i="9"/>
  <c r="AI119" i="9"/>
  <c r="AF120" i="9"/>
  <c r="AG120" i="9"/>
  <c r="AH120" i="9"/>
  <c r="AI120" i="9"/>
  <c r="AF101" i="9"/>
  <c r="AG101" i="9"/>
  <c r="AH101" i="9"/>
  <c r="AI101" i="9"/>
  <c r="AF102" i="9"/>
  <c r="AG102" i="9"/>
  <c r="AH102" i="9"/>
  <c r="AI102" i="9"/>
  <c r="AF103" i="9"/>
  <c r="AG103" i="9"/>
  <c r="AH103" i="9"/>
  <c r="AI103" i="9"/>
  <c r="AF104" i="9"/>
  <c r="AG104" i="9"/>
  <c r="AH104" i="9"/>
  <c r="AI104" i="9"/>
  <c r="AF105" i="9"/>
  <c r="AG105" i="9"/>
  <c r="AH105" i="9"/>
  <c r="AI105" i="9"/>
  <c r="AF106" i="9"/>
  <c r="AG106" i="9"/>
  <c r="AH106" i="9"/>
  <c r="AI106" i="9"/>
  <c r="AF107" i="9"/>
  <c r="AG107" i="9"/>
  <c r="AH107" i="9"/>
  <c r="AI107" i="9"/>
  <c r="AF108" i="9"/>
  <c r="AG108" i="9"/>
  <c r="AH108" i="9"/>
  <c r="AI108" i="9"/>
  <c r="AF109" i="9"/>
  <c r="AG109" i="9"/>
  <c r="AH109" i="9"/>
  <c r="AI109" i="9"/>
  <c r="AF110" i="9"/>
  <c r="AG110" i="9"/>
  <c r="AH110" i="9"/>
  <c r="AI110" i="9"/>
  <c r="AF89" i="9"/>
  <c r="AG89" i="9"/>
  <c r="AH89" i="9"/>
  <c r="AI89" i="9"/>
  <c r="AF90" i="9"/>
  <c r="AG90" i="9"/>
  <c r="AH90" i="9"/>
  <c r="AI90" i="9"/>
  <c r="AF91" i="9"/>
  <c r="AG91" i="9"/>
  <c r="AH91" i="9"/>
  <c r="AI91" i="9"/>
  <c r="AF92" i="9"/>
  <c r="AG92" i="9"/>
  <c r="AH92" i="9"/>
  <c r="AI92" i="9"/>
  <c r="AF93" i="9"/>
  <c r="AG93" i="9"/>
  <c r="AH93" i="9"/>
  <c r="AI93" i="9"/>
  <c r="AF94" i="9"/>
  <c r="AG94" i="9"/>
  <c r="AH94" i="9"/>
  <c r="AI94" i="9"/>
  <c r="AF95" i="9"/>
  <c r="AG95" i="9"/>
  <c r="AH95" i="9"/>
  <c r="AI95" i="9"/>
  <c r="AF96" i="9"/>
  <c r="AG96" i="9"/>
  <c r="AH96" i="9"/>
  <c r="AI96" i="9"/>
  <c r="AF97" i="9"/>
  <c r="AG97" i="9"/>
  <c r="AH97" i="9"/>
  <c r="AI97" i="9"/>
  <c r="AF98" i="9"/>
  <c r="AG98" i="9"/>
  <c r="AH98" i="9"/>
  <c r="AI98" i="9"/>
  <c r="AF99" i="9"/>
  <c r="AG99" i="9"/>
  <c r="AH99" i="9"/>
  <c r="AI99" i="9"/>
  <c r="AF100" i="9"/>
  <c r="AG100" i="9"/>
  <c r="AH100" i="9"/>
  <c r="AI100" i="9"/>
  <c r="AF77" i="9"/>
  <c r="AG77" i="9"/>
  <c r="AH77" i="9"/>
  <c r="AI77" i="9"/>
  <c r="AF78" i="9"/>
  <c r="AG78" i="9"/>
  <c r="AH78" i="9"/>
  <c r="AI78" i="9"/>
  <c r="AF79" i="9"/>
  <c r="AG79" i="9"/>
  <c r="AH79" i="9"/>
  <c r="AI79" i="9"/>
  <c r="AF80" i="9"/>
  <c r="AG80" i="9"/>
  <c r="AH80" i="9"/>
  <c r="AI80" i="9"/>
  <c r="AF81" i="9"/>
  <c r="AG81" i="9"/>
  <c r="AH81" i="9"/>
  <c r="AI81" i="9"/>
  <c r="AF82" i="9"/>
  <c r="AG82" i="9"/>
  <c r="AH82" i="9"/>
  <c r="AI82" i="9"/>
  <c r="AF83" i="9"/>
  <c r="AG83" i="9"/>
  <c r="AH83" i="9"/>
  <c r="AI83" i="9"/>
  <c r="AF84" i="9"/>
  <c r="AG84" i="9"/>
  <c r="AH84" i="9"/>
  <c r="AI84" i="9"/>
  <c r="AF85" i="9"/>
  <c r="AG85" i="9"/>
  <c r="AH85" i="9"/>
  <c r="AI85" i="9"/>
  <c r="AF86" i="9"/>
  <c r="AG86" i="9"/>
  <c r="AH86" i="9"/>
  <c r="AI86" i="9"/>
  <c r="AF87" i="9"/>
  <c r="AG87" i="9"/>
  <c r="AH87" i="9"/>
  <c r="AI87" i="9"/>
  <c r="AF88" i="9"/>
  <c r="AG88" i="9"/>
  <c r="AH88" i="9"/>
  <c r="AI88" i="9"/>
  <c r="AF65" i="9"/>
  <c r="AG65" i="9"/>
  <c r="AH65" i="9"/>
  <c r="AI65" i="9"/>
  <c r="AF66" i="9"/>
  <c r="AG66" i="9"/>
  <c r="AH66" i="9"/>
  <c r="AI66" i="9"/>
  <c r="AF67" i="9"/>
  <c r="AG67" i="9"/>
  <c r="AH67" i="9"/>
  <c r="AI67" i="9"/>
  <c r="AF68" i="9"/>
  <c r="AG68" i="9"/>
  <c r="AH68" i="9"/>
  <c r="AI68" i="9"/>
  <c r="AF69" i="9"/>
  <c r="AG69" i="9"/>
  <c r="AH69" i="9"/>
  <c r="AI69" i="9"/>
  <c r="AF70" i="9"/>
  <c r="AG70" i="9"/>
  <c r="AH70" i="9"/>
  <c r="AI70" i="9"/>
  <c r="AF71" i="9"/>
  <c r="AG71" i="9"/>
  <c r="AH71" i="9"/>
  <c r="AI71" i="9"/>
  <c r="AF72" i="9"/>
  <c r="AG72" i="9"/>
  <c r="AH72" i="9"/>
  <c r="AI72" i="9"/>
  <c r="AF73" i="9"/>
  <c r="AG73" i="9"/>
  <c r="AH73" i="9"/>
  <c r="AI73" i="9"/>
  <c r="AF74" i="9"/>
  <c r="AG74" i="9"/>
  <c r="AH74" i="9"/>
  <c r="AI74" i="9"/>
  <c r="AF75" i="9"/>
  <c r="AG75" i="9"/>
  <c r="AH75" i="9"/>
  <c r="AI75" i="9"/>
  <c r="AF76" i="9"/>
  <c r="AG76" i="9"/>
  <c r="AH76" i="9"/>
  <c r="AI76" i="9"/>
  <c r="AF53" i="9"/>
  <c r="AG53" i="9"/>
  <c r="AH53" i="9"/>
  <c r="AI53" i="9"/>
  <c r="AF54" i="9"/>
  <c r="AG54" i="9"/>
  <c r="AH54" i="9"/>
  <c r="AI54" i="9"/>
  <c r="AF55" i="9"/>
  <c r="AG55" i="9"/>
  <c r="AH55" i="9"/>
  <c r="AI55" i="9"/>
  <c r="AF56" i="9"/>
  <c r="AG56" i="9"/>
  <c r="AH56" i="9"/>
  <c r="AI56" i="9"/>
  <c r="AF57" i="9"/>
  <c r="AG57" i="9"/>
  <c r="AH57" i="9"/>
  <c r="AI57" i="9"/>
  <c r="AF58" i="9"/>
  <c r="AG58" i="9"/>
  <c r="AH58" i="9"/>
  <c r="AI58" i="9"/>
  <c r="AF59" i="9"/>
  <c r="AG59" i="9"/>
  <c r="AH59" i="9"/>
  <c r="AI59" i="9"/>
  <c r="AF60" i="9"/>
  <c r="AG60" i="9"/>
  <c r="AH60" i="9"/>
  <c r="AI60" i="9"/>
  <c r="AF61" i="9"/>
  <c r="AG61" i="9"/>
  <c r="AH61" i="9"/>
  <c r="AI61" i="9"/>
  <c r="AF62" i="9"/>
  <c r="AG62" i="9"/>
  <c r="AH62" i="9"/>
  <c r="AI62" i="9"/>
  <c r="AF63" i="9"/>
  <c r="AG63" i="9"/>
  <c r="AH63" i="9"/>
  <c r="AI63" i="9"/>
  <c r="AF64" i="9"/>
  <c r="AG64" i="9"/>
  <c r="AH64" i="9"/>
  <c r="AI64" i="9"/>
  <c r="AF41" i="9"/>
  <c r="AG41" i="9"/>
  <c r="AH41" i="9"/>
  <c r="AI41" i="9"/>
  <c r="AF42" i="9"/>
  <c r="AG42" i="9"/>
  <c r="AH42" i="9"/>
  <c r="AI42" i="9"/>
  <c r="AF43" i="9"/>
  <c r="AG43" i="9"/>
  <c r="AH43" i="9"/>
  <c r="AI43" i="9"/>
  <c r="AF44" i="9"/>
  <c r="AG44" i="9"/>
  <c r="AH44" i="9"/>
  <c r="AI44" i="9"/>
  <c r="AF45" i="9"/>
  <c r="AG45" i="9"/>
  <c r="AH45" i="9"/>
  <c r="AI45" i="9"/>
  <c r="AF46" i="9"/>
  <c r="AG46" i="9"/>
  <c r="AH46" i="9"/>
  <c r="AI46" i="9"/>
  <c r="AF47" i="9"/>
  <c r="AG47" i="9"/>
  <c r="AH47" i="9"/>
  <c r="AI47" i="9"/>
  <c r="AF48" i="9"/>
  <c r="AG48" i="9"/>
  <c r="AH48" i="9"/>
  <c r="AI48" i="9"/>
  <c r="AF49" i="9"/>
  <c r="AG49" i="9"/>
  <c r="AH49" i="9"/>
  <c r="AI49" i="9"/>
  <c r="AF50" i="9"/>
  <c r="AG50" i="9"/>
  <c r="AH50" i="9"/>
  <c r="AI50" i="9"/>
  <c r="AF51" i="9"/>
  <c r="AG51" i="9"/>
  <c r="AH51" i="9"/>
  <c r="AI51" i="9"/>
  <c r="AF52" i="9"/>
  <c r="AG52" i="9"/>
  <c r="AH52" i="9"/>
  <c r="AI52" i="9"/>
  <c r="AF29" i="9"/>
  <c r="AG29" i="9"/>
  <c r="AH29" i="9"/>
  <c r="AI29" i="9"/>
  <c r="AF30" i="9"/>
  <c r="AG30" i="9"/>
  <c r="AH30" i="9"/>
  <c r="AI30" i="9"/>
  <c r="AF31" i="9"/>
  <c r="AG31" i="9"/>
  <c r="AH31" i="9"/>
  <c r="AI31" i="9"/>
  <c r="AF32" i="9"/>
  <c r="AG32" i="9"/>
  <c r="AH32" i="9"/>
  <c r="AI32" i="9"/>
  <c r="AF33" i="9"/>
  <c r="AG33" i="9"/>
  <c r="AH33" i="9"/>
  <c r="AI33" i="9"/>
  <c r="AF34" i="9"/>
  <c r="AG34" i="9"/>
  <c r="AH34" i="9"/>
  <c r="AI34" i="9"/>
  <c r="AF35" i="9"/>
  <c r="AG35" i="9"/>
  <c r="AH35" i="9"/>
  <c r="AI35" i="9"/>
  <c r="AF36" i="9"/>
  <c r="AG36" i="9"/>
  <c r="AH36" i="9"/>
  <c r="AI36" i="9"/>
  <c r="AF37" i="9"/>
  <c r="AG37" i="9"/>
  <c r="AH37" i="9"/>
  <c r="AI37" i="9"/>
  <c r="AF38" i="9"/>
  <c r="AG38" i="9"/>
  <c r="AH38" i="9"/>
  <c r="AI38" i="9"/>
  <c r="AF39" i="9"/>
  <c r="AG39" i="9"/>
  <c r="AH39" i="9"/>
  <c r="AI39" i="9"/>
  <c r="AF40" i="9"/>
  <c r="AG40" i="9"/>
  <c r="AH40" i="9"/>
  <c r="AI40" i="9"/>
  <c r="AF14" i="9"/>
  <c r="AG14" i="9"/>
  <c r="AH14" i="9"/>
  <c r="AI14" i="9"/>
  <c r="AF15" i="9"/>
  <c r="AG15" i="9"/>
  <c r="AH15" i="9"/>
  <c r="AI15" i="9"/>
  <c r="AF16" i="9"/>
  <c r="AG16" i="9"/>
  <c r="AH16" i="9"/>
  <c r="AI16" i="9"/>
  <c r="AF17" i="9"/>
  <c r="AG17" i="9"/>
  <c r="AH17" i="9"/>
  <c r="AI17" i="9"/>
  <c r="AF18" i="9"/>
  <c r="AG18" i="9"/>
  <c r="AH18" i="9"/>
  <c r="AI18" i="9"/>
  <c r="AF19" i="9"/>
  <c r="AG19" i="9"/>
  <c r="AH19" i="9"/>
  <c r="AI19" i="9"/>
  <c r="AF20" i="9"/>
  <c r="AG20" i="9"/>
  <c r="AH20" i="9"/>
  <c r="AI20" i="9"/>
  <c r="AF21" i="9"/>
  <c r="AG21" i="9"/>
  <c r="AH21" i="9"/>
  <c r="AI21" i="9"/>
  <c r="AF22" i="9"/>
  <c r="AG22" i="9"/>
  <c r="AH22" i="9"/>
  <c r="AI22" i="9"/>
  <c r="AF23" i="9"/>
  <c r="AG23" i="9"/>
  <c r="AH23" i="9"/>
  <c r="AI23" i="9"/>
  <c r="AF24" i="9"/>
  <c r="AG24" i="9"/>
  <c r="AH24" i="9"/>
  <c r="AI24" i="9"/>
  <c r="AF25" i="9"/>
  <c r="AG25" i="9"/>
  <c r="AH25" i="9"/>
  <c r="AI25" i="9"/>
  <c r="AF26" i="9"/>
  <c r="AG26" i="9"/>
  <c r="AH26" i="9"/>
  <c r="AI26" i="9"/>
  <c r="AF27" i="9"/>
  <c r="AG27" i="9"/>
  <c r="AH27" i="9"/>
  <c r="AI27" i="9"/>
  <c r="AF28" i="9"/>
  <c r="AG28" i="9"/>
  <c r="AH28" i="9"/>
  <c r="AI28" i="9"/>
  <c r="AI2" i="9"/>
  <c r="AI3" i="9"/>
  <c r="AI4" i="9"/>
  <c r="AI5" i="9"/>
  <c r="AI6" i="9"/>
  <c r="AI7" i="9"/>
  <c r="AI8" i="9"/>
  <c r="AI9" i="9"/>
  <c r="AI10" i="9"/>
  <c r="AI11" i="9"/>
  <c r="AI12" i="9"/>
  <c r="AI13" i="9"/>
  <c r="AH2" i="9"/>
  <c r="AH3" i="9"/>
  <c r="AH4" i="9"/>
  <c r="AH5" i="9"/>
  <c r="AH6" i="9"/>
  <c r="AH7" i="9"/>
  <c r="AH8" i="9"/>
  <c r="AH9" i="9"/>
  <c r="AH10" i="9"/>
  <c r="AH11" i="9"/>
  <c r="AH12" i="9"/>
  <c r="AH13" i="9"/>
  <c r="AG2" i="9"/>
  <c r="AG3" i="9"/>
  <c r="AG4" i="9"/>
  <c r="AG5" i="9"/>
  <c r="AG6" i="9"/>
  <c r="AG7" i="9"/>
  <c r="AG8" i="9"/>
  <c r="AG9" i="9"/>
  <c r="AG10" i="9"/>
  <c r="AG11" i="9"/>
  <c r="AG12" i="9"/>
  <c r="AG13" i="9"/>
  <c r="AF2" i="9"/>
  <c r="AF3" i="9"/>
  <c r="AF4" i="9"/>
  <c r="AF5" i="9"/>
  <c r="AF6" i="9"/>
  <c r="AF7" i="9"/>
  <c r="AF8" i="9"/>
  <c r="AF9" i="9"/>
  <c r="AF10" i="9"/>
  <c r="AF11" i="9"/>
  <c r="AF12" i="9"/>
  <c r="AF13" i="9"/>
  <c r="Z321" i="10"/>
  <c r="AA321" i="10"/>
  <c r="AB321" i="10"/>
  <c r="AC321" i="10"/>
  <c r="Z322" i="10"/>
  <c r="AA322" i="10"/>
  <c r="AB322" i="10"/>
  <c r="AC322" i="10"/>
  <c r="Z323" i="10"/>
  <c r="AA323" i="10"/>
  <c r="AB323" i="10"/>
  <c r="AC323" i="10"/>
  <c r="Z324" i="10"/>
  <c r="AA324" i="10"/>
  <c r="AB324" i="10"/>
  <c r="AC324" i="10"/>
  <c r="Z325" i="10"/>
  <c r="AA325" i="10"/>
  <c r="AB325" i="10"/>
  <c r="AC325" i="10"/>
  <c r="Z326" i="10"/>
  <c r="AA326" i="10"/>
  <c r="AB326" i="10"/>
  <c r="AC326" i="10"/>
  <c r="Z327" i="10"/>
  <c r="AA327" i="10"/>
  <c r="AB327" i="10"/>
  <c r="AC327" i="10"/>
  <c r="Z328" i="10"/>
  <c r="AA328" i="10"/>
  <c r="AB328" i="10"/>
  <c r="AC328" i="10"/>
  <c r="Z329" i="10"/>
  <c r="AA329" i="10"/>
  <c r="AB329" i="10"/>
  <c r="AC329" i="10"/>
  <c r="Z330" i="10"/>
  <c r="AA330" i="10"/>
  <c r="AB330" i="10"/>
  <c r="AC330" i="10"/>
  <c r="Z309" i="10"/>
  <c r="AA309" i="10"/>
  <c r="AB309" i="10"/>
  <c r="AC309" i="10"/>
  <c r="Z310" i="10"/>
  <c r="AA310" i="10"/>
  <c r="AB310" i="10"/>
  <c r="AC310" i="10"/>
  <c r="Z311" i="10"/>
  <c r="AA311" i="10"/>
  <c r="AB311" i="10"/>
  <c r="AC311" i="10"/>
  <c r="Z312" i="10"/>
  <c r="AA312" i="10"/>
  <c r="AB312" i="10"/>
  <c r="AC312" i="10"/>
  <c r="Z313" i="10"/>
  <c r="AA313" i="10"/>
  <c r="AB313" i="10"/>
  <c r="AC313" i="10"/>
  <c r="Z314" i="10"/>
  <c r="AA314" i="10"/>
  <c r="AB314" i="10"/>
  <c r="AC314" i="10"/>
  <c r="Z315" i="10"/>
  <c r="AA315" i="10"/>
  <c r="AB315" i="10"/>
  <c r="AC315" i="10"/>
  <c r="Z316" i="10"/>
  <c r="AA316" i="10"/>
  <c r="AB316" i="10"/>
  <c r="AC316" i="10"/>
  <c r="Z317" i="10"/>
  <c r="AA317" i="10"/>
  <c r="AB317" i="10"/>
  <c r="AC317" i="10"/>
  <c r="Z318" i="10"/>
  <c r="AA318" i="10"/>
  <c r="AB318" i="10"/>
  <c r="AC318" i="10"/>
  <c r="Z319" i="10"/>
  <c r="AA319" i="10"/>
  <c r="AB319" i="10"/>
  <c r="AC319" i="10"/>
  <c r="Z320" i="10"/>
  <c r="AA320" i="10"/>
  <c r="AB320" i="10"/>
  <c r="AC320" i="10"/>
  <c r="Z297" i="10"/>
  <c r="AA297" i="10"/>
  <c r="AB297" i="10"/>
  <c r="AC297" i="10"/>
  <c r="Z298" i="10"/>
  <c r="AA298" i="10"/>
  <c r="AB298" i="10"/>
  <c r="AC298" i="10"/>
  <c r="Z299" i="10"/>
  <c r="AA299" i="10"/>
  <c r="AB299" i="10"/>
  <c r="AC299" i="10"/>
  <c r="Z300" i="10"/>
  <c r="AA300" i="10"/>
  <c r="AB300" i="10"/>
  <c r="AC300" i="10"/>
  <c r="Z301" i="10"/>
  <c r="AA301" i="10"/>
  <c r="AB301" i="10"/>
  <c r="AC301" i="10"/>
  <c r="Z302" i="10"/>
  <c r="AA302" i="10"/>
  <c r="AB302" i="10"/>
  <c r="AC302" i="10"/>
  <c r="Z303" i="10"/>
  <c r="AA303" i="10"/>
  <c r="AB303" i="10"/>
  <c r="AC303" i="10"/>
  <c r="Z304" i="10"/>
  <c r="AA304" i="10"/>
  <c r="AB304" i="10"/>
  <c r="AC304" i="10"/>
  <c r="Z305" i="10"/>
  <c r="AA305" i="10"/>
  <c r="AB305" i="10"/>
  <c r="AC305" i="10"/>
  <c r="Z306" i="10"/>
  <c r="AA306" i="10"/>
  <c r="AB306" i="10"/>
  <c r="AC306" i="10"/>
  <c r="Z307" i="10"/>
  <c r="AA307" i="10"/>
  <c r="AB307" i="10"/>
  <c r="AC307" i="10"/>
  <c r="Z308" i="10"/>
  <c r="AA308" i="10"/>
  <c r="AB308" i="10"/>
  <c r="AC308" i="10"/>
  <c r="Z285" i="10"/>
  <c r="AA285" i="10"/>
  <c r="AB285" i="10"/>
  <c r="AC285" i="10"/>
  <c r="Z286" i="10"/>
  <c r="AA286" i="10"/>
  <c r="AB286" i="10"/>
  <c r="AC286" i="10"/>
  <c r="Z287" i="10"/>
  <c r="AA287" i="10"/>
  <c r="AB287" i="10"/>
  <c r="AC287" i="10"/>
  <c r="Z288" i="10"/>
  <c r="AA288" i="10"/>
  <c r="AB288" i="10"/>
  <c r="AC288" i="10"/>
  <c r="Z289" i="10"/>
  <c r="AA289" i="10"/>
  <c r="AB289" i="10"/>
  <c r="AC289" i="10"/>
  <c r="Z290" i="10"/>
  <c r="AA290" i="10"/>
  <c r="AB290" i="10"/>
  <c r="AC290" i="10"/>
  <c r="Z291" i="10"/>
  <c r="AA291" i="10"/>
  <c r="AB291" i="10"/>
  <c r="AC291" i="10"/>
  <c r="Z292" i="10"/>
  <c r="AA292" i="10"/>
  <c r="AB292" i="10"/>
  <c r="AC292" i="10"/>
  <c r="Z293" i="10"/>
  <c r="AA293" i="10"/>
  <c r="AB293" i="10"/>
  <c r="AC293" i="10"/>
  <c r="Z294" i="10"/>
  <c r="AA294" i="10"/>
  <c r="AB294" i="10"/>
  <c r="AC294" i="10"/>
  <c r="Z295" i="10"/>
  <c r="AA295" i="10"/>
  <c r="AB295" i="10"/>
  <c r="AC295" i="10"/>
  <c r="Z296" i="10"/>
  <c r="AA296" i="10"/>
  <c r="AB296" i="10"/>
  <c r="AC296" i="10"/>
  <c r="Z271" i="10"/>
  <c r="AA271" i="10"/>
  <c r="AB271" i="10"/>
  <c r="AC271" i="10"/>
  <c r="Z272" i="10"/>
  <c r="AA272" i="10"/>
  <c r="AB272" i="10"/>
  <c r="AC272" i="10"/>
  <c r="Z273" i="10"/>
  <c r="AA273" i="10"/>
  <c r="AB273" i="10"/>
  <c r="AC273" i="10"/>
  <c r="Z274" i="10"/>
  <c r="AA274" i="10"/>
  <c r="AB274" i="10"/>
  <c r="AC274" i="10"/>
  <c r="Z275" i="10"/>
  <c r="AA275" i="10"/>
  <c r="AB275" i="10"/>
  <c r="AC275" i="10"/>
  <c r="Z276" i="10"/>
  <c r="AA276" i="10"/>
  <c r="AB276" i="10"/>
  <c r="AC276" i="10"/>
  <c r="Z277" i="10"/>
  <c r="AA277" i="10"/>
  <c r="AB277" i="10"/>
  <c r="AC277" i="10"/>
  <c r="Z278" i="10"/>
  <c r="AA278" i="10"/>
  <c r="AB278" i="10"/>
  <c r="AC278" i="10"/>
  <c r="Z279" i="10"/>
  <c r="AA279" i="10"/>
  <c r="AB279" i="10"/>
  <c r="AC279" i="10"/>
  <c r="Z280" i="10"/>
  <c r="AA280" i="10"/>
  <c r="AB280" i="10"/>
  <c r="AC280" i="10"/>
  <c r="Z281" i="10"/>
  <c r="AA281" i="10"/>
  <c r="AB281" i="10"/>
  <c r="AC281" i="10"/>
  <c r="Z282" i="10"/>
  <c r="AA282" i="10"/>
  <c r="AB282" i="10"/>
  <c r="AC282" i="10"/>
  <c r="Z283" i="10"/>
  <c r="AA283" i="10"/>
  <c r="AB283" i="10"/>
  <c r="AC283" i="10"/>
  <c r="Z284" i="10"/>
  <c r="AA284" i="10"/>
  <c r="AB284" i="10"/>
  <c r="AC284" i="10"/>
  <c r="Z261" i="10"/>
  <c r="AA261" i="10"/>
  <c r="AB261" i="10"/>
  <c r="AC261" i="10"/>
  <c r="Z262" i="10"/>
  <c r="AA262" i="10"/>
  <c r="AB262" i="10"/>
  <c r="AC262" i="10"/>
  <c r="Z263" i="10"/>
  <c r="AA263" i="10"/>
  <c r="AB263" i="10"/>
  <c r="AC263" i="10"/>
  <c r="Z264" i="10"/>
  <c r="AA264" i="10"/>
  <c r="AB264" i="10"/>
  <c r="AC264" i="10"/>
  <c r="Z265" i="10"/>
  <c r="AA265" i="10"/>
  <c r="AB265" i="10"/>
  <c r="AC265" i="10"/>
  <c r="Z266" i="10"/>
  <c r="AA266" i="10"/>
  <c r="AB266" i="10"/>
  <c r="AC266" i="10"/>
  <c r="Z267" i="10"/>
  <c r="AA267" i="10"/>
  <c r="AB267" i="10"/>
  <c r="AC267" i="10"/>
  <c r="Z268" i="10"/>
  <c r="AA268" i="10"/>
  <c r="AB268" i="10"/>
  <c r="AC268" i="10"/>
  <c r="Z269" i="10"/>
  <c r="AA269" i="10"/>
  <c r="AB269" i="10"/>
  <c r="AC269" i="10"/>
  <c r="Z270" i="10"/>
  <c r="AA270" i="10"/>
  <c r="AB270" i="10"/>
  <c r="AC270" i="10"/>
  <c r="Z249" i="10"/>
  <c r="AA249" i="10"/>
  <c r="AB249" i="10"/>
  <c r="AC249" i="10"/>
  <c r="Z250" i="10"/>
  <c r="AA250" i="10"/>
  <c r="AB250" i="10"/>
  <c r="AC250" i="10"/>
  <c r="Z251" i="10"/>
  <c r="AA251" i="10"/>
  <c r="AB251" i="10"/>
  <c r="AC251" i="10"/>
  <c r="Z252" i="10"/>
  <c r="AA252" i="10"/>
  <c r="AB252" i="10"/>
  <c r="AC252" i="10"/>
  <c r="Z253" i="10"/>
  <c r="AA253" i="10"/>
  <c r="AB253" i="10"/>
  <c r="AC253" i="10"/>
  <c r="Z254" i="10"/>
  <c r="AA254" i="10"/>
  <c r="AB254" i="10"/>
  <c r="AC254" i="10"/>
  <c r="Z255" i="10"/>
  <c r="AA255" i="10"/>
  <c r="AB255" i="10"/>
  <c r="AC255" i="10"/>
  <c r="Z256" i="10"/>
  <c r="AA256" i="10"/>
  <c r="AB256" i="10"/>
  <c r="AC256" i="10"/>
  <c r="Z257" i="10"/>
  <c r="AA257" i="10"/>
  <c r="AB257" i="10"/>
  <c r="AC257" i="10"/>
  <c r="Z258" i="10"/>
  <c r="AA258" i="10"/>
  <c r="AB258" i="10"/>
  <c r="AC258" i="10"/>
  <c r="Z259" i="10"/>
  <c r="AA259" i="10"/>
  <c r="AB259" i="10"/>
  <c r="AC259" i="10"/>
  <c r="Z260" i="10"/>
  <c r="AA260" i="10"/>
  <c r="AB260" i="10"/>
  <c r="AC260" i="10"/>
  <c r="Z239" i="10"/>
  <c r="AA239" i="10"/>
  <c r="AB239" i="10"/>
  <c r="AC239" i="10"/>
  <c r="Z240" i="10"/>
  <c r="AA240" i="10"/>
  <c r="AB240" i="10"/>
  <c r="AC240" i="10"/>
  <c r="Z241" i="10"/>
  <c r="AA241" i="10"/>
  <c r="AB241" i="10"/>
  <c r="AC241" i="10"/>
  <c r="Z242" i="10"/>
  <c r="AA242" i="10"/>
  <c r="AB242" i="10"/>
  <c r="AC242" i="10"/>
  <c r="Z243" i="10"/>
  <c r="AA243" i="10"/>
  <c r="AB243" i="10"/>
  <c r="AC243" i="10"/>
  <c r="Z244" i="10"/>
  <c r="AA244" i="10"/>
  <c r="AB244" i="10"/>
  <c r="AC244" i="10"/>
  <c r="Z245" i="10"/>
  <c r="AA245" i="10"/>
  <c r="AB245" i="10"/>
  <c r="AC245" i="10"/>
  <c r="Z246" i="10"/>
  <c r="AA246" i="10"/>
  <c r="AB246" i="10"/>
  <c r="AC246" i="10"/>
  <c r="Z247" i="10"/>
  <c r="AA247" i="10"/>
  <c r="AB247" i="10"/>
  <c r="AC247" i="10"/>
  <c r="Z248" i="10"/>
  <c r="AA248" i="10"/>
  <c r="AB248" i="10"/>
  <c r="AC248" i="10"/>
  <c r="Z227" i="10"/>
  <c r="AA227" i="10"/>
  <c r="AB227" i="10"/>
  <c r="AC227" i="10"/>
  <c r="Z228" i="10"/>
  <c r="AA228" i="10"/>
  <c r="AB228" i="10"/>
  <c r="AC228" i="10"/>
  <c r="Z229" i="10"/>
  <c r="AA229" i="10"/>
  <c r="AB229" i="10"/>
  <c r="AC229" i="10"/>
  <c r="Z230" i="10"/>
  <c r="AA230" i="10"/>
  <c r="AB230" i="10"/>
  <c r="AC230" i="10"/>
  <c r="Z231" i="10"/>
  <c r="AA231" i="10"/>
  <c r="AB231" i="10"/>
  <c r="AC231" i="10"/>
  <c r="Z232" i="10"/>
  <c r="AA232" i="10"/>
  <c r="AB232" i="10"/>
  <c r="AC232" i="10"/>
  <c r="Z233" i="10"/>
  <c r="AA233" i="10"/>
  <c r="AB233" i="10"/>
  <c r="AC233" i="10"/>
  <c r="Z234" i="10"/>
  <c r="AA234" i="10"/>
  <c r="AB234" i="10"/>
  <c r="AC234" i="10"/>
  <c r="Z235" i="10"/>
  <c r="AA235" i="10"/>
  <c r="AB235" i="10"/>
  <c r="AC235" i="10"/>
  <c r="Z236" i="10"/>
  <c r="AA236" i="10"/>
  <c r="AB236" i="10"/>
  <c r="AC236" i="10"/>
  <c r="Z237" i="10"/>
  <c r="AA237" i="10"/>
  <c r="AB237" i="10"/>
  <c r="AC237" i="10"/>
  <c r="Z238" i="10"/>
  <c r="AA238" i="10"/>
  <c r="AB238" i="10"/>
  <c r="AC238" i="10"/>
  <c r="Z215" i="10"/>
  <c r="AA215" i="10"/>
  <c r="AB215" i="10"/>
  <c r="AC215" i="10"/>
  <c r="Z216" i="10"/>
  <c r="AA216" i="10"/>
  <c r="AB216" i="10"/>
  <c r="AC216" i="10"/>
  <c r="Z217" i="10"/>
  <c r="AA217" i="10"/>
  <c r="AB217" i="10"/>
  <c r="AC217" i="10"/>
  <c r="Z218" i="10"/>
  <c r="AA218" i="10"/>
  <c r="AB218" i="10"/>
  <c r="AC218" i="10"/>
  <c r="Z219" i="10"/>
  <c r="AA219" i="10"/>
  <c r="AB219" i="10"/>
  <c r="AC219" i="10"/>
  <c r="Z220" i="10"/>
  <c r="AA220" i="10"/>
  <c r="AB220" i="10"/>
  <c r="AC220" i="10"/>
  <c r="Z221" i="10"/>
  <c r="AA221" i="10"/>
  <c r="AB221" i="10"/>
  <c r="AC221" i="10"/>
  <c r="Z222" i="10"/>
  <c r="AA222" i="10"/>
  <c r="AB222" i="10"/>
  <c r="AC222" i="10"/>
  <c r="Z223" i="10"/>
  <c r="AA223" i="10"/>
  <c r="AB223" i="10"/>
  <c r="AC223" i="10"/>
  <c r="Z224" i="10"/>
  <c r="AA224" i="10"/>
  <c r="AB224" i="10"/>
  <c r="AC224" i="10"/>
  <c r="Z225" i="10"/>
  <c r="AA225" i="10"/>
  <c r="AB225" i="10"/>
  <c r="AC225" i="10"/>
  <c r="Z226" i="10"/>
  <c r="AA226" i="10"/>
  <c r="AB226" i="10"/>
  <c r="AC226" i="10"/>
  <c r="Z203" i="10"/>
  <c r="AA203" i="10"/>
  <c r="AB203" i="10"/>
  <c r="AC203" i="10"/>
  <c r="Z204" i="10"/>
  <c r="AA204" i="10"/>
  <c r="AB204" i="10"/>
  <c r="AC204" i="10"/>
  <c r="Z205" i="10"/>
  <c r="AA205" i="10"/>
  <c r="AB205" i="10"/>
  <c r="AC205" i="10"/>
  <c r="Z206" i="10"/>
  <c r="AA206" i="10"/>
  <c r="AB206" i="10"/>
  <c r="AC206" i="10"/>
  <c r="Z207" i="10"/>
  <c r="AA207" i="10"/>
  <c r="AB207" i="10"/>
  <c r="AC207" i="10"/>
  <c r="Z208" i="10"/>
  <c r="AA208" i="10"/>
  <c r="AB208" i="10"/>
  <c r="AC208" i="10"/>
  <c r="Z209" i="10"/>
  <c r="AA209" i="10"/>
  <c r="AB209" i="10"/>
  <c r="AC209" i="10"/>
  <c r="Z210" i="10"/>
  <c r="AA210" i="10"/>
  <c r="AB210" i="10"/>
  <c r="AC210" i="10"/>
  <c r="Z211" i="10"/>
  <c r="AA211" i="10"/>
  <c r="AB211" i="10"/>
  <c r="AC211" i="10"/>
  <c r="Z212" i="10"/>
  <c r="AA212" i="10"/>
  <c r="AB212" i="10"/>
  <c r="AC212" i="10"/>
  <c r="Z213" i="10"/>
  <c r="AA213" i="10"/>
  <c r="AB213" i="10"/>
  <c r="AC213" i="10"/>
  <c r="Z214" i="10"/>
  <c r="AA214" i="10"/>
  <c r="AB214" i="10"/>
  <c r="AC214" i="10"/>
  <c r="Z191" i="10"/>
  <c r="AA191" i="10"/>
  <c r="AB191" i="10"/>
  <c r="AC191" i="10"/>
  <c r="Z192" i="10"/>
  <c r="AA192" i="10"/>
  <c r="AB192" i="10"/>
  <c r="AC192" i="10"/>
  <c r="Z193" i="10"/>
  <c r="AA193" i="10"/>
  <c r="AB193" i="10"/>
  <c r="AC193" i="10"/>
  <c r="Z194" i="10"/>
  <c r="AA194" i="10"/>
  <c r="AB194" i="10"/>
  <c r="AC194" i="10"/>
  <c r="Z195" i="10"/>
  <c r="AA195" i="10"/>
  <c r="AB195" i="10"/>
  <c r="AC195" i="10"/>
  <c r="Z196" i="10"/>
  <c r="AA196" i="10"/>
  <c r="AB196" i="10"/>
  <c r="AC196" i="10"/>
  <c r="Z197" i="10"/>
  <c r="AA197" i="10"/>
  <c r="AB197" i="10"/>
  <c r="AC197" i="10"/>
  <c r="Z198" i="10"/>
  <c r="AA198" i="10"/>
  <c r="AB198" i="10"/>
  <c r="AC198" i="10"/>
  <c r="Z199" i="10"/>
  <c r="AA199" i="10"/>
  <c r="AB199" i="10"/>
  <c r="AC199" i="10"/>
  <c r="Z200" i="10"/>
  <c r="AA200" i="10"/>
  <c r="AB200" i="10"/>
  <c r="AC200" i="10"/>
  <c r="Z201" i="10"/>
  <c r="AA201" i="10"/>
  <c r="AB201" i="10"/>
  <c r="AC201" i="10"/>
  <c r="Z202" i="10"/>
  <c r="AA202" i="10"/>
  <c r="AB202" i="10"/>
  <c r="AC202" i="10"/>
  <c r="Z179" i="10"/>
  <c r="AA179" i="10"/>
  <c r="AB179" i="10"/>
  <c r="AC179" i="10"/>
  <c r="Z180" i="10"/>
  <c r="AA180" i="10"/>
  <c r="AB180" i="10"/>
  <c r="AC180" i="10"/>
  <c r="Z181" i="10"/>
  <c r="AA181" i="10"/>
  <c r="AB181" i="10"/>
  <c r="AC181" i="10"/>
  <c r="Z182" i="10"/>
  <c r="AA182" i="10"/>
  <c r="AB182" i="10"/>
  <c r="AC182" i="10"/>
  <c r="Z183" i="10"/>
  <c r="AA183" i="10"/>
  <c r="AB183" i="10"/>
  <c r="AC183" i="10"/>
  <c r="Z184" i="10"/>
  <c r="AA184" i="10"/>
  <c r="AB184" i="10"/>
  <c r="AC184" i="10"/>
  <c r="Z185" i="10"/>
  <c r="AA185" i="10"/>
  <c r="AB185" i="10"/>
  <c r="AC185" i="10"/>
  <c r="Z186" i="10"/>
  <c r="AA186" i="10"/>
  <c r="AB186" i="10"/>
  <c r="AC186" i="10"/>
  <c r="Z187" i="10"/>
  <c r="AA187" i="10"/>
  <c r="AB187" i="10"/>
  <c r="AC187" i="10"/>
  <c r="Z188" i="10"/>
  <c r="AA188" i="10"/>
  <c r="AB188" i="10"/>
  <c r="AC188" i="10"/>
  <c r="Z189" i="10"/>
  <c r="AA189" i="10"/>
  <c r="AB189" i="10"/>
  <c r="AC189" i="10"/>
  <c r="Z190" i="10"/>
  <c r="AA190" i="10"/>
  <c r="AB190" i="10"/>
  <c r="AC190" i="10"/>
  <c r="Z167" i="10"/>
  <c r="AA167" i="10"/>
  <c r="AB167" i="10"/>
  <c r="AC167" i="10"/>
  <c r="Z168" i="10"/>
  <c r="AA168" i="10"/>
  <c r="AB168" i="10"/>
  <c r="AC168" i="10"/>
  <c r="Z169" i="10"/>
  <c r="AA169" i="10"/>
  <c r="AB169" i="10"/>
  <c r="AC169" i="10"/>
  <c r="Z170" i="10"/>
  <c r="AA170" i="10"/>
  <c r="AB170" i="10"/>
  <c r="AC170" i="10"/>
  <c r="Z171" i="10"/>
  <c r="AA171" i="10"/>
  <c r="AB171" i="10"/>
  <c r="AC171" i="10"/>
  <c r="Z172" i="10"/>
  <c r="AA172" i="10"/>
  <c r="AB172" i="10"/>
  <c r="AC172" i="10"/>
  <c r="Z173" i="10"/>
  <c r="AA173" i="10"/>
  <c r="AB173" i="10"/>
  <c r="AC173" i="10"/>
  <c r="Z174" i="10"/>
  <c r="AA174" i="10"/>
  <c r="AB174" i="10"/>
  <c r="AC174" i="10"/>
  <c r="Z175" i="10"/>
  <c r="AA175" i="10"/>
  <c r="AB175" i="10"/>
  <c r="AC175" i="10"/>
  <c r="Z176" i="10"/>
  <c r="AA176" i="10"/>
  <c r="AB176" i="10"/>
  <c r="AC176" i="10"/>
  <c r="Z177" i="10"/>
  <c r="AA177" i="10"/>
  <c r="AB177" i="10"/>
  <c r="AC177" i="10"/>
  <c r="Z178" i="10"/>
  <c r="AA178" i="10"/>
  <c r="AB178" i="10"/>
  <c r="AC178" i="10"/>
  <c r="Z155" i="10"/>
  <c r="AA155" i="10"/>
  <c r="AB155" i="10"/>
  <c r="AC155" i="10"/>
  <c r="Z156" i="10"/>
  <c r="AA156" i="10"/>
  <c r="AB156" i="10"/>
  <c r="AC156" i="10"/>
  <c r="Z157" i="10"/>
  <c r="AA157" i="10"/>
  <c r="AB157" i="10"/>
  <c r="AC157" i="10"/>
  <c r="Z158" i="10"/>
  <c r="AA158" i="10"/>
  <c r="AB158" i="10"/>
  <c r="AC158" i="10"/>
  <c r="Z159" i="10"/>
  <c r="AA159" i="10"/>
  <c r="AB159" i="10"/>
  <c r="AC159" i="10"/>
  <c r="Z160" i="10"/>
  <c r="AA160" i="10"/>
  <c r="AB160" i="10"/>
  <c r="AC160" i="10"/>
  <c r="Z161" i="10"/>
  <c r="AA161" i="10"/>
  <c r="AB161" i="10"/>
  <c r="AC161" i="10"/>
  <c r="Z162" i="10"/>
  <c r="AA162" i="10"/>
  <c r="AB162" i="10"/>
  <c r="AC162" i="10"/>
  <c r="Z163" i="10"/>
  <c r="AA163" i="10"/>
  <c r="AB163" i="10"/>
  <c r="AC163" i="10"/>
  <c r="Z164" i="10"/>
  <c r="AA164" i="10"/>
  <c r="AB164" i="10"/>
  <c r="AC164" i="10"/>
  <c r="Z165" i="10"/>
  <c r="AA165" i="10"/>
  <c r="AB165" i="10"/>
  <c r="AC165" i="10"/>
  <c r="Z166" i="10"/>
  <c r="AA166" i="10"/>
  <c r="AB166" i="10"/>
  <c r="AC166" i="10"/>
  <c r="Z141" i="10"/>
  <c r="AA141" i="10"/>
  <c r="AB141" i="10"/>
  <c r="AC141" i="10"/>
  <c r="Z142" i="10"/>
  <c r="AA142" i="10"/>
  <c r="AB142" i="10"/>
  <c r="AC142" i="10"/>
  <c r="Z143" i="10"/>
  <c r="AA143" i="10"/>
  <c r="AB143" i="10"/>
  <c r="AC143" i="10"/>
  <c r="Z144" i="10"/>
  <c r="AA144" i="10"/>
  <c r="AB144" i="10"/>
  <c r="AC144" i="10"/>
  <c r="Z145" i="10"/>
  <c r="AA145" i="10"/>
  <c r="AB145" i="10"/>
  <c r="AC145" i="10"/>
  <c r="Z146" i="10"/>
  <c r="AA146" i="10"/>
  <c r="AB146" i="10"/>
  <c r="AC146" i="10"/>
  <c r="Z147" i="10"/>
  <c r="AA147" i="10"/>
  <c r="AB147" i="10"/>
  <c r="AC147" i="10"/>
  <c r="Z148" i="10"/>
  <c r="AA148" i="10"/>
  <c r="AB148" i="10"/>
  <c r="AC148" i="10"/>
  <c r="Z149" i="10"/>
  <c r="AA149" i="10"/>
  <c r="AB149" i="10"/>
  <c r="AC149" i="10"/>
  <c r="Z150" i="10"/>
  <c r="AA150" i="10"/>
  <c r="AB150" i="10"/>
  <c r="AC150" i="10"/>
  <c r="Z151" i="10"/>
  <c r="AA151" i="10"/>
  <c r="AB151" i="10"/>
  <c r="AC151" i="10"/>
  <c r="Z152" i="10"/>
  <c r="AA152" i="10"/>
  <c r="AB152" i="10"/>
  <c r="AC152" i="10"/>
  <c r="Z153" i="10"/>
  <c r="AA153" i="10"/>
  <c r="AB153" i="10"/>
  <c r="AC153" i="10"/>
  <c r="Z154" i="10"/>
  <c r="AA154" i="10"/>
  <c r="AB154" i="10"/>
  <c r="AC154" i="10"/>
  <c r="Z129" i="10"/>
  <c r="AA129" i="10"/>
  <c r="AB129" i="10"/>
  <c r="AC129" i="10"/>
  <c r="Z130" i="10"/>
  <c r="AA130" i="10"/>
  <c r="AB130" i="10"/>
  <c r="AC130" i="10"/>
  <c r="Z131" i="10"/>
  <c r="AA131" i="10"/>
  <c r="AB131" i="10"/>
  <c r="AC131" i="10"/>
  <c r="Z132" i="10"/>
  <c r="AA132" i="10"/>
  <c r="AB132" i="10"/>
  <c r="AC132" i="10"/>
  <c r="Z133" i="10"/>
  <c r="AA133" i="10"/>
  <c r="AB133" i="10"/>
  <c r="AC133" i="10"/>
  <c r="Z134" i="10"/>
  <c r="AA134" i="10"/>
  <c r="AB134" i="10"/>
  <c r="AC134" i="10"/>
  <c r="Z135" i="10"/>
  <c r="AA135" i="10"/>
  <c r="AB135" i="10"/>
  <c r="AC135" i="10"/>
  <c r="Z136" i="10"/>
  <c r="AA136" i="10"/>
  <c r="AB136" i="10"/>
  <c r="AC136" i="10"/>
  <c r="Z137" i="10"/>
  <c r="AA137" i="10"/>
  <c r="AB137" i="10"/>
  <c r="AC137" i="10"/>
  <c r="Z138" i="10"/>
  <c r="AA138" i="10"/>
  <c r="AB138" i="10"/>
  <c r="AC138" i="10"/>
  <c r="Z139" i="10"/>
  <c r="AA139" i="10"/>
  <c r="AB139" i="10"/>
  <c r="AC139" i="10"/>
  <c r="Z140" i="10"/>
  <c r="AA140" i="10"/>
  <c r="AB140" i="10"/>
  <c r="AC140" i="10"/>
  <c r="Z113" i="10"/>
  <c r="AA113" i="10"/>
  <c r="AB113" i="10"/>
  <c r="AC113" i="10"/>
  <c r="Z114" i="10"/>
  <c r="AA114" i="10"/>
  <c r="AB114" i="10"/>
  <c r="AC114" i="10"/>
  <c r="Z115" i="10"/>
  <c r="AA115" i="10"/>
  <c r="AB115" i="10"/>
  <c r="AC115" i="10"/>
  <c r="Z116" i="10"/>
  <c r="AA116" i="10"/>
  <c r="AB116" i="10"/>
  <c r="AC116" i="10"/>
  <c r="Z117" i="10"/>
  <c r="AA117" i="10"/>
  <c r="AB117" i="10"/>
  <c r="AC117" i="10"/>
  <c r="Z118" i="10"/>
  <c r="AA118" i="10"/>
  <c r="AB118" i="10"/>
  <c r="AC118" i="10"/>
  <c r="Z119" i="10"/>
  <c r="AA119" i="10"/>
  <c r="AB119" i="10"/>
  <c r="AC119" i="10"/>
  <c r="Z120" i="10"/>
  <c r="AA120" i="10"/>
  <c r="AB120" i="10"/>
  <c r="AC120" i="10"/>
  <c r="Z121" i="10"/>
  <c r="AA121" i="10"/>
  <c r="AB121" i="10"/>
  <c r="AC121" i="10"/>
  <c r="Z122" i="10"/>
  <c r="AA122" i="10"/>
  <c r="AB122" i="10"/>
  <c r="AC122" i="10"/>
  <c r="Z123" i="10"/>
  <c r="AA123" i="10"/>
  <c r="AB123" i="10"/>
  <c r="AC123" i="10"/>
  <c r="Z124" i="10"/>
  <c r="AA124" i="10"/>
  <c r="AB124" i="10"/>
  <c r="AC124" i="10"/>
  <c r="Z125" i="10"/>
  <c r="AA125" i="10"/>
  <c r="AB125" i="10"/>
  <c r="AC125" i="10"/>
  <c r="Z126" i="10"/>
  <c r="AA126" i="10"/>
  <c r="AB126" i="10"/>
  <c r="AC126" i="10"/>
  <c r="Z127" i="10"/>
  <c r="AA127" i="10"/>
  <c r="AB127" i="10"/>
  <c r="AC127" i="10"/>
  <c r="Z128" i="10"/>
  <c r="AA128" i="10"/>
  <c r="AB128" i="10"/>
  <c r="AC128" i="10"/>
  <c r="Q36" i="11"/>
  <c r="R36" i="11"/>
  <c r="S36" i="11"/>
  <c r="T36" i="11"/>
  <c r="U36" i="11"/>
  <c r="V36" i="11"/>
  <c r="W36" i="11"/>
  <c r="X36" i="11"/>
  <c r="Y36" i="11"/>
  <c r="Z36" i="11"/>
  <c r="AA36" i="11"/>
  <c r="AB36" i="11"/>
  <c r="AC36" i="11"/>
  <c r="AD36" i="11"/>
  <c r="P36" i="11"/>
  <c r="Q35" i="11"/>
  <c r="R35" i="11"/>
  <c r="S35" i="11"/>
  <c r="T35" i="11"/>
  <c r="U35" i="11"/>
  <c r="V35" i="11"/>
  <c r="W35" i="11"/>
  <c r="X35" i="11"/>
  <c r="Y35" i="11"/>
  <c r="Z35" i="11"/>
  <c r="AA35" i="11"/>
  <c r="AB35" i="11"/>
  <c r="AC35" i="11"/>
  <c r="AD35" i="11"/>
  <c r="P35" i="11"/>
  <c r="Q34" i="11"/>
  <c r="R34" i="11"/>
  <c r="S34" i="11"/>
  <c r="T34" i="11"/>
  <c r="U34" i="11"/>
  <c r="V34" i="11"/>
  <c r="W34" i="11"/>
  <c r="X34" i="11"/>
  <c r="Y34" i="11"/>
  <c r="Z34" i="11"/>
  <c r="AA34" i="11"/>
  <c r="AB34" i="11"/>
  <c r="AC34" i="11"/>
  <c r="AD34" i="11"/>
  <c r="P34" i="11"/>
  <c r="Q33" i="11"/>
  <c r="R33" i="11"/>
  <c r="S33" i="11"/>
  <c r="T33" i="11"/>
  <c r="U33" i="11"/>
  <c r="V33" i="11"/>
  <c r="W33" i="11"/>
  <c r="X33" i="11"/>
  <c r="Y33" i="11"/>
  <c r="Z33" i="11"/>
  <c r="AA33" i="11"/>
  <c r="AB33" i="11"/>
  <c r="AC33" i="11"/>
  <c r="AD33" i="11"/>
  <c r="P33" i="11"/>
  <c r="Q32" i="11"/>
  <c r="R32" i="11"/>
  <c r="S32" i="11"/>
  <c r="T32" i="11"/>
  <c r="U32" i="11"/>
  <c r="V32" i="11"/>
  <c r="W32" i="11"/>
  <c r="X32" i="11"/>
  <c r="Y32" i="11"/>
  <c r="Z32" i="11"/>
  <c r="AA32" i="11"/>
  <c r="AB32" i="11"/>
  <c r="AC32" i="11"/>
  <c r="AD32" i="11"/>
  <c r="P32" i="11"/>
  <c r="Q31" i="11"/>
  <c r="R31" i="11"/>
  <c r="S31" i="11"/>
  <c r="T31" i="11"/>
  <c r="U31" i="11"/>
  <c r="V31" i="11"/>
  <c r="W31" i="11"/>
  <c r="X31" i="11"/>
  <c r="Y31" i="11"/>
  <c r="Z31" i="11"/>
  <c r="AA31" i="11"/>
  <c r="AB31" i="11"/>
  <c r="AC31" i="11"/>
  <c r="AD31" i="11"/>
  <c r="P31" i="11"/>
  <c r="Q30" i="11"/>
  <c r="R30" i="11"/>
  <c r="S30" i="11"/>
  <c r="T30" i="11"/>
  <c r="U30" i="11"/>
  <c r="V30" i="11"/>
  <c r="W30" i="11"/>
  <c r="X30" i="11"/>
  <c r="Y30" i="11"/>
  <c r="Z30" i="11"/>
  <c r="AA30" i="11"/>
  <c r="AB30" i="11"/>
  <c r="AC30" i="11"/>
  <c r="AD30" i="11"/>
  <c r="P30" i="11"/>
  <c r="Q29" i="11"/>
  <c r="R29" i="11"/>
  <c r="S29" i="11"/>
  <c r="T29" i="11"/>
  <c r="U29" i="11"/>
  <c r="V29" i="11"/>
  <c r="W29" i="11"/>
  <c r="X29" i="11"/>
  <c r="Y29" i="11"/>
  <c r="Z29" i="11"/>
  <c r="AA29" i="11"/>
  <c r="AB29" i="11"/>
  <c r="AC29" i="11"/>
  <c r="AD29" i="11"/>
  <c r="P29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AC28" i="11"/>
  <c r="AD28" i="11"/>
  <c r="P28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AC27" i="11"/>
  <c r="AD27" i="11"/>
  <c r="P27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AC26" i="11"/>
  <c r="AD26" i="11"/>
  <c r="P26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AC25" i="11"/>
  <c r="AD25" i="11"/>
  <c r="P25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AC24" i="11"/>
  <c r="AD24" i="11"/>
  <c r="P24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AC23" i="11"/>
  <c r="AD23" i="11"/>
  <c r="P23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AC22" i="11"/>
  <c r="AD22" i="11"/>
  <c r="P22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AC21" i="11"/>
  <c r="AD21" i="11"/>
  <c r="P21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AC20" i="11"/>
  <c r="AD20" i="11"/>
  <c r="P20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AC19" i="11"/>
  <c r="AD19" i="11"/>
  <c r="P19" i="11"/>
  <c r="Q18" i="11"/>
  <c r="R18" i="11"/>
  <c r="S18" i="11"/>
  <c r="T18" i="11"/>
  <c r="U18" i="11"/>
  <c r="V18" i="11"/>
  <c r="W18" i="11"/>
  <c r="X18" i="11"/>
  <c r="Y18" i="11"/>
  <c r="Z18" i="11"/>
  <c r="AA18" i="11"/>
  <c r="AB18" i="11"/>
  <c r="AC18" i="11"/>
  <c r="AD18" i="11"/>
  <c r="P18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AC17" i="11"/>
  <c r="AD17" i="11"/>
  <c r="P17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AC16" i="11"/>
  <c r="AD16" i="11"/>
  <c r="P16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AC15" i="11"/>
  <c r="AD15" i="11"/>
  <c r="P15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AC14" i="11"/>
  <c r="AD14" i="11"/>
  <c r="P14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AC13" i="11"/>
  <c r="AD13" i="11"/>
  <c r="P13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AC12" i="11"/>
  <c r="AD12" i="11"/>
  <c r="P12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AC11" i="11"/>
  <c r="AD11" i="11"/>
  <c r="P11" i="11"/>
  <c r="Q9" i="11"/>
  <c r="R9" i="11"/>
  <c r="S9" i="11"/>
  <c r="T9" i="11"/>
  <c r="U9" i="11"/>
  <c r="V9" i="11"/>
  <c r="W9" i="11"/>
  <c r="X9" i="11"/>
  <c r="Y9" i="11"/>
  <c r="Z9" i="11"/>
  <c r="AA9" i="11"/>
  <c r="AB9" i="11"/>
  <c r="AC9" i="11"/>
  <c r="AD9" i="11"/>
  <c r="P9" i="11"/>
  <c r="Q8" i="11"/>
  <c r="R8" i="11"/>
  <c r="S8" i="11"/>
  <c r="T8" i="11"/>
  <c r="U8" i="11"/>
  <c r="V8" i="11"/>
  <c r="W8" i="11"/>
  <c r="X8" i="11"/>
  <c r="Y8" i="11"/>
  <c r="Z8" i="11"/>
  <c r="AA8" i="11"/>
  <c r="AB8" i="11"/>
  <c r="AC8" i="11"/>
  <c r="AD8" i="11"/>
  <c r="P8" i="11"/>
  <c r="Q7" i="11"/>
  <c r="R7" i="11"/>
  <c r="S7" i="11"/>
  <c r="T7" i="11"/>
  <c r="U7" i="11"/>
  <c r="V7" i="11"/>
  <c r="W7" i="11"/>
  <c r="X7" i="11"/>
  <c r="Y7" i="11"/>
  <c r="Z7" i="11"/>
  <c r="AA7" i="11"/>
  <c r="AB7" i="11"/>
  <c r="AC7" i="11"/>
  <c r="AD7" i="11"/>
  <c r="P7" i="11"/>
  <c r="Q6" i="11"/>
  <c r="R6" i="11"/>
  <c r="S6" i="11"/>
  <c r="T6" i="11"/>
  <c r="U6" i="11"/>
  <c r="V6" i="11"/>
  <c r="W6" i="11"/>
  <c r="X6" i="11"/>
  <c r="Y6" i="11"/>
  <c r="Z6" i="11"/>
  <c r="AA6" i="11"/>
  <c r="AB6" i="11"/>
  <c r="AC6" i="11"/>
  <c r="AD6" i="11"/>
  <c r="P6" i="11"/>
  <c r="Q5" i="11"/>
  <c r="R5" i="11"/>
  <c r="S5" i="11"/>
  <c r="T5" i="11"/>
  <c r="U5" i="11"/>
  <c r="V5" i="11"/>
  <c r="W5" i="11"/>
  <c r="X5" i="11"/>
  <c r="Y5" i="11"/>
  <c r="Z5" i="11"/>
  <c r="AA5" i="11"/>
  <c r="AB5" i="11"/>
  <c r="AC5" i="11"/>
  <c r="AD5" i="11"/>
  <c r="P5" i="11"/>
  <c r="Q4" i="11"/>
  <c r="R4" i="11"/>
  <c r="S4" i="11"/>
  <c r="T4" i="11"/>
  <c r="U4" i="11"/>
  <c r="V4" i="11"/>
  <c r="W4" i="11"/>
  <c r="X4" i="11"/>
  <c r="Y4" i="11"/>
  <c r="Z4" i="11"/>
  <c r="AA4" i="11"/>
  <c r="AB4" i="11"/>
  <c r="AC4" i="11"/>
  <c r="AD4" i="11"/>
  <c r="P4" i="11"/>
  <c r="Q3" i="11"/>
  <c r="R3" i="11"/>
  <c r="S3" i="11"/>
  <c r="T3" i="11"/>
  <c r="U3" i="11"/>
  <c r="V3" i="11"/>
  <c r="W3" i="11"/>
  <c r="X3" i="11"/>
  <c r="Y3" i="11"/>
  <c r="Z3" i="11"/>
  <c r="AA3" i="11"/>
  <c r="AB3" i="11"/>
  <c r="AC3" i="11"/>
  <c r="AD3" i="11"/>
  <c r="P3" i="11"/>
  <c r="Q2" i="11"/>
  <c r="R2" i="11"/>
  <c r="S2" i="11"/>
  <c r="T2" i="11"/>
  <c r="U2" i="11"/>
  <c r="V2" i="11"/>
  <c r="W2" i="11"/>
  <c r="X2" i="11"/>
  <c r="Y2" i="11"/>
  <c r="Z2" i="11"/>
  <c r="AA2" i="11"/>
  <c r="AB2" i="11"/>
  <c r="AC2" i="11"/>
  <c r="AD2" i="11"/>
  <c r="P2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AC10" i="11"/>
  <c r="AD10" i="11"/>
  <c r="P10" i="11"/>
  <c r="M2" i="11"/>
  <c r="N2" i="11" s="1"/>
  <c r="J3" i="11"/>
  <c r="K3" i="11" s="1"/>
  <c r="L3" i="11" s="1"/>
  <c r="J4" i="11"/>
  <c r="K4" i="11" s="1"/>
  <c r="J5" i="11"/>
  <c r="K5" i="11" s="1"/>
  <c r="J6" i="11"/>
  <c r="K6" i="11" s="1"/>
  <c r="J7" i="11"/>
  <c r="K7" i="11" s="1"/>
  <c r="J8" i="11"/>
  <c r="K8" i="11" s="1"/>
  <c r="J9" i="11"/>
  <c r="K9" i="11" s="1"/>
  <c r="L9" i="11" s="1"/>
  <c r="J10" i="11"/>
  <c r="K10" i="11" s="1"/>
  <c r="L10" i="11" s="1"/>
  <c r="J11" i="11"/>
  <c r="K11" i="11" s="1"/>
  <c r="L11" i="11" s="1"/>
  <c r="J12" i="11"/>
  <c r="K12" i="11" s="1"/>
  <c r="L12" i="11" s="1"/>
  <c r="J13" i="11"/>
  <c r="K13" i="11" s="1"/>
  <c r="L13" i="11" s="1"/>
  <c r="J14" i="11"/>
  <c r="K14" i="11" s="1"/>
  <c r="L14" i="11" s="1"/>
  <c r="J15" i="11"/>
  <c r="K15" i="11" s="1"/>
  <c r="J16" i="11"/>
  <c r="K16" i="11" s="1"/>
  <c r="L16" i="11" s="1"/>
  <c r="J17" i="11"/>
  <c r="K17" i="11" s="1"/>
  <c r="L17" i="11" s="1"/>
  <c r="J18" i="11"/>
  <c r="K18" i="11" s="1"/>
  <c r="J19" i="11"/>
  <c r="K19" i="11" s="1"/>
  <c r="L19" i="11" s="1"/>
  <c r="J20" i="11"/>
  <c r="K20" i="11" s="1"/>
  <c r="L20" i="11" s="1"/>
  <c r="J21" i="11"/>
  <c r="K21" i="11" s="1"/>
  <c r="L21" i="11" s="1"/>
  <c r="J22" i="11"/>
  <c r="K22" i="11" s="1"/>
  <c r="L22" i="11" s="1"/>
  <c r="J23" i="11"/>
  <c r="K23" i="11" s="1"/>
  <c r="J24" i="11"/>
  <c r="K24" i="11" s="1"/>
  <c r="J25" i="11"/>
  <c r="K25" i="11" s="1"/>
  <c r="L25" i="11" s="1"/>
  <c r="J26" i="11"/>
  <c r="K26" i="11" s="1"/>
  <c r="L26" i="11" s="1"/>
  <c r="J27" i="11"/>
  <c r="K27" i="11" s="1"/>
  <c r="L27" i="11" s="1"/>
  <c r="J28" i="11"/>
  <c r="K28" i="11" s="1"/>
  <c r="L28" i="11" s="1"/>
  <c r="J29" i="11"/>
  <c r="K29" i="11" s="1"/>
  <c r="L29" i="11" s="1"/>
  <c r="J30" i="11"/>
  <c r="K30" i="11" s="1"/>
  <c r="L30" i="11" s="1"/>
  <c r="J31" i="11"/>
  <c r="K31" i="11" s="1"/>
  <c r="J32" i="11"/>
  <c r="K32" i="11" s="1"/>
  <c r="L32" i="11" s="1"/>
  <c r="J33" i="11"/>
  <c r="K33" i="11" s="1"/>
  <c r="L33" i="11" s="1"/>
  <c r="J34" i="11"/>
  <c r="K34" i="11" s="1"/>
  <c r="J35" i="11"/>
  <c r="K35" i="11" s="1"/>
  <c r="L35" i="11" s="1"/>
  <c r="J36" i="11"/>
  <c r="K36" i="11" s="1"/>
  <c r="L36" i="11" s="1"/>
  <c r="J2" i="11"/>
  <c r="K2" i="11" s="1"/>
  <c r="L2" i="11" s="1"/>
  <c r="H3" i="11"/>
  <c r="H4" i="11"/>
  <c r="H5" i="11"/>
  <c r="H6" i="11"/>
  <c r="H7" i="11"/>
  <c r="H8" i="11"/>
  <c r="H9" i="11"/>
  <c r="H10" i="11"/>
  <c r="H11" i="11"/>
  <c r="H12" i="11"/>
  <c r="H13" i="11"/>
  <c r="H14" i="11"/>
  <c r="H15" i="11"/>
  <c r="H16" i="11"/>
  <c r="H17" i="11"/>
  <c r="H18" i="11"/>
  <c r="H19" i="11"/>
  <c r="H20" i="11"/>
  <c r="H21" i="11"/>
  <c r="H22" i="11"/>
  <c r="H23" i="11"/>
  <c r="H24" i="11"/>
  <c r="H25" i="11"/>
  <c r="H26" i="11"/>
  <c r="H27" i="11"/>
  <c r="H28" i="11"/>
  <c r="H29" i="11"/>
  <c r="H30" i="11"/>
  <c r="H31" i="11"/>
  <c r="H32" i="11"/>
  <c r="H33" i="11"/>
  <c r="H34" i="11"/>
  <c r="H35" i="11"/>
  <c r="H36" i="11"/>
  <c r="H2" i="11"/>
  <c r="G3" i="11"/>
  <c r="G4" i="11"/>
  <c r="G5" i="11"/>
  <c r="G6" i="11"/>
  <c r="G7" i="11"/>
  <c r="G8" i="11"/>
  <c r="G9" i="11"/>
  <c r="G10" i="11"/>
  <c r="G11" i="11"/>
  <c r="G12" i="11"/>
  <c r="G13" i="11"/>
  <c r="G14" i="11"/>
  <c r="G15" i="11"/>
  <c r="G16" i="11"/>
  <c r="G17" i="11"/>
  <c r="G18" i="11"/>
  <c r="I18" i="11" s="1"/>
  <c r="G19" i="11"/>
  <c r="G20" i="11"/>
  <c r="G21" i="11"/>
  <c r="G22" i="11"/>
  <c r="G23" i="11"/>
  <c r="G24" i="11"/>
  <c r="G25" i="11"/>
  <c r="G26" i="11"/>
  <c r="G27" i="11"/>
  <c r="G28" i="11"/>
  <c r="G29" i="11"/>
  <c r="G30" i="11"/>
  <c r="G31" i="11"/>
  <c r="G32" i="11"/>
  <c r="G33" i="11"/>
  <c r="G34" i="11"/>
  <c r="G35" i="11"/>
  <c r="G36" i="11"/>
  <c r="G2" i="11"/>
  <c r="M3" i="11"/>
  <c r="N3" i="11" s="1"/>
  <c r="M4" i="11"/>
  <c r="N4" i="11" s="1"/>
  <c r="O4" i="11" s="1"/>
  <c r="M5" i="11"/>
  <c r="N5" i="11" s="1"/>
  <c r="O5" i="11" s="1"/>
  <c r="M6" i="11"/>
  <c r="N6" i="11" s="1"/>
  <c r="O6" i="11" s="1"/>
  <c r="M7" i="11"/>
  <c r="N7" i="11" s="1"/>
  <c r="O7" i="11" s="1"/>
  <c r="M9" i="11"/>
  <c r="N9" i="11" s="1"/>
  <c r="O9" i="11" s="1"/>
  <c r="M10" i="11"/>
  <c r="N10" i="11" s="1"/>
  <c r="O10" i="11" s="1"/>
  <c r="M11" i="11"/>
  <c r="N11" i="11" s="1"/>
  <c r="O11" i="11" s="1"/>
  <c r="M12" i="11"/>
  <c r="N12" i="11" s="1"/>
  <c r="O12" i="11" s="1"/>
  <c r="M13" i="11"/>
  <c r="N13" i="11" s="1"/>
  <c r="O13" i="11" s="1"/>
  <c r="M14" i="11"/>
  <c r="N14" i="11" s="1"/>
  <c r="O14" i="11" s="1"/>
  <c r="M15" i="11"/>
  <c r="N15" i="11" s="1"/>
  <c r="O15" i="11" s="1"/>
  <c r="M16" i="11"/>
  <c r="N16" i="11" s="1"/>
  <c r="O16" i="11" s="1"/>
  <c r="M17" i="11"/>
  <c r="N17" i="11" s="1"/>
  <c r="O17" i="11" s="1"/>
  <c r="M18" i="11"/>
  <c r="N18" i="11" s="1"/>
  <c r="O18" i="11" s="1"/>
  <c r="M19" i="11"/>
  <c r="N19" i="11" s="1"/>
  <c r="O19" i="11" s="1"/>
  <c r="M20" i="11"/>
  <c r="N20" i="11" s="1"/>
  <c r="O20" i="11" s="1"/>
  <c r="M21" i="11"/>
  <c r="M22" i="11"/>
  <c r="N22" i="11" s="1"/>
  <c r="M23" i="11"/>
  <c r="N23" i="11" s="1"/>
  <c r="M24" i="11"/>
  <c r="N24" i="11" s="1"/>
  <c r="M25" i="11"/>
  <c r="N25" i="11" s="1"/>
  <c r="M26" i="11"/>
  <c r="N26" i="11" s="1"/>
  <c r="M27" i="11"/>
  <c r="N27" i="11" s="1"/>
  <c r="O27" i="11" s="1"/>
  <c r="M28" i="11"/>
  <c r="N28" i="11" s="1"/>
  <c r="O28" i="11" s="1"/>
  <c r="M29" i="11"/>
  <c r="N29" i="11" s="1"/>
  <c r="O29" i="11" s="1"/>
  <c r="M30" i="11"/>
  <c r="N30" i="11" s="1"/>
  <c r="O30" i="11" s="1"/>
  <c r="M31" i="11"/>
  <c r="N31" i="11" s="1"/>
  <c r="O31" i="11" s="1"/>
  <c r="M32" i="11"/>
  <c r="N32" i="11" s="1"/>
  <c r="O32" i="11" s="1"/>
  <c r="M33" i="11"/>
  <c r="N33" i="11" s="1"/>
  <c r="O33" i="11" s="1"/>
  <c r="M34" i="11"/>
  <c r="N34" i="11" s="1"/>
  <c r="O34" i="11" s="1"/>
  <c r="M35" i="11"/>
  <c r="N35" i="11" s="1"/>
  <c r="M36" i="11"/>
  <c r="N36" i="11" s="1"/>
  <c r="O36" i="11" s="1"/>
  <c r="F9" i="11" a="1"/>
  <c r="F9" i="11" s="1"/>
  <c r="F10" i="11" a="1"/>
  <c r="F10" i="11" s="1"/>
  <c r="F11" i="11" a="1"/>
  <c r="F11" i="11" s="1"/>
  <c r="F12" i="11" a="1"/>
  <c r="F12" i="11" s="1"/>
  <c r="F13" i="11" a="1"/>
  <c r="F13" i="11" s="1"/>
  <c r="F14" i="11" a="1"/>
  <c r="F14" i="11" s="1"/>
  <c r="F15" i="11" a="1"/>
  <c r="F15" i="11" s="1"/>
  <c r="F16" i="11" a="1"/>
  <c r="F16" i="11" s="1"/>
  <c r="F17" i="11" a="1"/>
  <c r="F17" i="11" s="1"/>
  <c r="F18" i="11" a="1"/>
  <c r="F18" i="11" s="1"/>
  <c r="F19" i="11" a="1"/>
  <c r="F19" i="11" s="1"/>
  <c r="F20" i="11" a="1"/>
  <c r="F20" i="11" s="1"/>
  <c r="F21" i="11" a="1"/>
  <c r="F21" i="11" s="1"/>
  <c r="F22" i="11" a="1"/>
  <c r="F22" i="11" s="1"/>
  <c r="F23" i="11" a="1"/>
  <c r="F23" i="11" s="1"/>
  <c r="F24" i="11" a="1"/>
  <c r="F24" i="11" s="1"/>
  <c r="F25" i="11" a="1"/>
  <c r="F25" i="11" s="1"/>
  <c r="F26" i="11" a="1"/>
  <c r="F26" i="11" s="1"/>
  <c r="F27" i="11" a="1"/>
  <c r="F27" i="11" s="1"/>
  <c r="F28" i="11" a="1"/>
  <c r="F28" i="11" s="1"/>
  <c r="F29" i="11" a="1"/>
  <c r="F29" i="11" s="1"/>
  <c r="F30" i="11" a="1"/>
  <c r="F30" i="11" s="1"/>
  <c r="F31" i="11" a="1"/>
  <c r="F31" i="11" s="1"/>
  <c r="F32" i="11" a="1"/>
  <c r="F32" i="11" s="1"/>
  <c r="F33" i="11" a="1"/>
  <c r="F33" i="11" s="1"/>
  <c r="F34" i="11" a="1"/>
  <c r="F34" i="11" s="1"/>
  <c r="F35" i="11" a="1"/>
  <c r="F35" i="11" s="1"/>
  <c r="F36" i="11" a="1"/>
  <c r="F36" i="11" s="1"/>
  <c r="F2" i="11" a="1"/>
  <c r="F2" i="11" s="1"/>
  <c r="F3" i="11" a="1"/>
  <c r="F3" i="11" s="1"/>
  <c r="F4" i="11" a="1"/>
  <c r="F4" i="11" s="1"/>
  <c r="F5" i="11" a="1"/>
  <c r="F5" i="11" s="1"/>
  <c r="F6" i="11" a="1"/>
  <c r="F6" i="11" s="1"/>
  <c r="F7" i="11" a="1"/>
  <c r="F7" i="11" s="1"/>
  <c r="F8" i="11" a="1"/>
  <c r="F8" i="11" s="1"/>
  <c r="E2" i="11"/>
  <c r="E3" i="11"/>
  <c r="E4" i="11"/>
  <c r="E5" i="11"/>
  <c r="E6" i="11"/>
  <c r="E7" i="11"/>
  <c r="E9" i="11"/>
  <c r="E10" i="11"/>
  <c r="E11" i="11"/>
  <c r="E12" i="11"/>
  <c r="E13" i="11"/>
  <c r="E14" i="11"/>
  <c r="E15" i="11"/>
  <c r="E16" i="11"/>
  <c r="E17" i="11"/>
  <c r="E18" i="11"/>
  <c r="E19" i="11"/>
  <c r="E20" i="11"/>
  <c r="E21" i="11"/>
  <c r="E22" i="11"/>
  <c r="E23" i="11"/>
  <c r="E24" i="11"/>
  <c r="E25" i="11"/>
  <c r="E26" i="11"/>
  <c r="E27" i="11"/>
  <c r="E28" i="11"/>
  <c r="E29" i="11"/>
  <c r="E30" i="11"/>
  <c r="E31" i="11"/>
  <c r="E32" i="11"/>
  <c r="E33" i="11"/>
  <c r="E34" i="11"/>
  <c r="E35" i="11"/>
  <c r="E36" i="11"/>
  <c r="D8" i="11"/>
  <c r="D9" i="11"/>
  <c r="D10" i="11"/>
  <c r="D11" i="11"/>
  <c r="D12" i="11"/>
  <c r="D13" i="11"/>
  <c r="D14" i="11"/>
  <c r="D15" i="11"/>
  <c r="D16" i="11"/>
  <c r="D17" i="11"/>
  <c r="D18" i="11"/>
  <c r="D19" i="11"/>
  <c r="D20" i="11"/>
  <c r="D21" i="11"/>
  <c r="D22" i="11"/>
  <c r="D23" i="11"/>
  <c r="D24" i="11"/>
  <c r="D25" i="11"/>
  <c r="D26" i="11"/>
  <c r="D27" i="11"/>
  <c r="D28" i="11"/>
  <c r="D29" i="11"/>
  <c r="D30" i="11"/>
  <c r="D31" i="11"/>
  <c r="D32" i="11"/>
  <c r="D33" i="11"/>
  <c r="D34" i="11"/>
  <c r="D35" i="11"/>
  <c r="D36" i="11"/>
  <c r="D2" i="11"/>
  <c r="D3" i="11"/>
  <c r="D4" i="11"/>
  <c r="D5" i="11"/>
  <c r="D6" i="11"/>
  <c r="D7" i="11"/>
  <c r="Z101" i="10"/>
  <c r="AA101" i="10"/>
  <c r="AB101" i="10"/>
  <c r="AC101" i="10"/>
  <c r="Z102" i="10"/>
  <c r="AA102" i="10"/>
  <c r="AB102" i="10"/>
  <c r="AC102" i="10"/>
  <c r="Z103" i="10"/>
  <c r="AA103" i="10"/>
  <c r="AB103" i="10"/>
  <c r="AC103" i="10"/>
  <c r="Z104" i="10"/>
  <c r="AA104" i="10"/>
  <c r="AB104" i="10"/>
  <c r="AC104" i="10"/>
  <c r="Z105" i="10"/>
  <c r="AA105" i="10"/>
  <c r="AB105" i="10"/>
  <c r="AC105" i="10"/>
  <c r="Z106" i="10"/>
  <c r="AA106" i="10"/>
  <c r="AB106" i="10"/>
  <c r="AC106" i="10"/>
  <c r="Z107" i="10"/>
  <c r="AA107" i="10"/>
  <c r="AB107" i="10"/>
  <c r="AC107" i="10"/>
  <c r="Z108" i="10"/>
  <c r="AA108" i="10"/>
  <c r="AB108" i="10"/>
  <c r="AC108" i="10"/>
  <c r="Z109" i="10"/>
  <c r="AA109" i="10"/>
  <c r="AB109" i="10"/>
  <c r="AC109" i="10"/>
  <c r="Z110" i="10"/>
  <c r="AA110" i="10"/>
  <c r="AB110" i="10"/>
  <c r="AC110" i="10"/>
  <c r="Z111" i="10"/>
  <c r="AA111" i="10"/>
  <c r="AB111" i="10"/>
  <c r="AC111" i="10"/>
  <c r="Z112" i="10"/>
  <c r="AA112" i="10"/>
  <c r="AB112" i="10"/>
  <c r="AC112" i="10"/>
  <c r="Z89" i="10"/>
  <c r="AA89" i="10"/>
  <c r="AB89" i="10"/>
  <c r="AC89" i="10"/>
  <c r="Z90" i="10"/>
  <c r="AA90" i="10"/>
  <c r="AB90" i="10"/>
  <c r="AC90" i="10"/>
  <c r="Z91" i="10"/>
  <c r="AA91" i="10"/>
  <c r="AB91" i="10"/>
  <c r="AC91" i="10"/>
  <c r="Z92" i="10"/>
  <c r="AA92" i="10"/>
  <c r="AB92" i="10"/>
  <c r="AC92" i="10"/>
  <c r="Z93" i="10"/>
  <c r="AA93" i="10"/>
  <c r="AB93" i="10"/>
  <c r="AC93" i="10"/>
  <c r="Z94" i="10"/>
  <c r="AA94" i="10"/>
  <c r="AB94" i="10"/>
  <c r="AC94" i="10"/>
  <c r="Z95" i="10"/>
  <c r="AA95" i="10"/>
  <c r="AB95" i="10"/>
  <c r="AC95" i="10"/>
  <c r="Z96" i="10"/>
  <c r="AA96" i="10"/>
  <c r="AB96" i="10"/>
  <c r="AC96" i="10"/>
  <c r="Z97" i="10"/>
  <c r="AA97" i="10"/>
  <c r="AB97" i="10"/>
  <c r="AC97" i="10"/>
  <c r="Z98" i="10"/>
  <c r="AA98" i="10"/>
  <c r="AB98" i="10"/>
  <c r="AC98" i="10"/>
  <c r="Z99" i="10"/>
  <c r="AA99" i="10"/>
  <c r="AB99" i="10"/>
  <c r="AC99" i="10"/>
  <c r="Z100" i="10"/>
  <c r="AA100" i="10"/>
  <c r="AB100" i="10"/>
  <c r="AC100" i="10"/>
  <c r="Z77" i="10"/>
  <c r="AA77" i="10"/>
  <c r="AB77" i="10"/>
  <c r="AC77" i="10"/>
  <c r="Z78" i="10"/>
  <c r="AA78" i="10"/>
  <c r="AB78" i="10"/>
  <c r="AC78" i="10"/>
  <c r="Z79" i="10"/>
  <c r="AA79" i="10"/>
  <c r="AB79" i="10"/>
  <c r="AC79" i="10"/>
  <c r="Z80" i="10"/>
  <c r="AA80" i="10"/>
  <c r="AB80" i="10"/>
  <c r="AC80" i="10"/>
  <c r="Z81" i="10"/>
  <c r="AA81" i="10"/>
  <c r="AB81" i="10"/>
  <c r="AC81" i="10"/>
  <c r="Z82" i="10"/>
  <c r="AA82" i="10"/>
  <c r="AB82" i="10"/>
  <c r="AC82" i="10"/>
  <c r="Z83" i="10"/>
  <c r="AA83" i="10"/>
  <c r="AB83" i="10"/>
  <c r="AC83" i="10"/>
  <c r="Z84" i="10"/>
  <c r="AA84" i="10"/>
  <c r="AB84" i="10"/>
  <c r="AC84" i="10"/>
  <c r="Z85" i="10"/>
  <c r="AA85" i="10"/>
  <c r="AB85" i="10"/>
  <c r="AC85" i="10"/>
  <c r="Z86" i="10"/>
  <c r="AA86" i="10"/>
  <c r="AB86" i="10"/>
  <c r="AC86" i="10"/>
  <c r="Z87" i="10"/>
  <c r="AA87" i="10"/>
  <c r="AB87" i="10"/>
  <c r="AC87" i="10"/>
  <c r="Z88" i="10"/>
  <c r="AA88" i="10"/>
  <c r="AB88" i="10"/>
  <c r="AC88" i="10"/>
  <c r="Z65" i="10"/>
  <c r="AA65" i="10"/>
  <c r="AB65" i="10"/>
  <c r="AC65" i="10"/>
  <c r="Z66" i="10"/>
  <c r="AA66" i="10"/>
  <c r="AB66" i="10"/>
  <c r="AC66" i="10"/>
  <c r="Z67" i="10"/>
  <c r="AA67" i="10"/>
  <c r="AB67" i="10"/>
  <c r="AC67" i="10"/>
  <c r="Z68" i="10"/>
  <c r="AA68" i="10"/>
  <c r="AB68" i="10"/>
  <c r="AC68" i="10"/>
  <c r="Z69" i="10"/>
  <c r="AA69" i="10"/>
  <c r="AB69" i="10"/>
  <c r="AC69" i="10"/>
  <c r="Z70" i="10"/>
  <c r="AA70" i="10"/>
  <c r="AB70" i="10"/>
  <c r="AC70" i="10"/>
  <c r="Z71" i="10"/>
  <c r="AA71" i="10"/>
  <c r="AB71" i="10"/>
  <c r="AC71" i="10"/>
  <c r="Z72" i="10"/>
  <c r="AA72" i="10"/>
  <c r="AB72" i="10"/>
  <c r="AC72" i="10"/>
  <c r="Z73" i="10"/>
  <c r="AA73" i="10"/>
  <c r="AB73" i="10"/>
  <c r="AC73" i="10"/>
  <c r="Z74" i="10"/>
  <c r="AA74" i="10"/>
  <c r="AB74" i="10"/>
  <c r="AC74" i="10"/>
  <c r="Z75" i="10"/>
  <c r="AA75" i="10"/>
  <c r="AB75" i="10"/>
  <c r="AC75" i="10"/>
  <c r="Z76" i="10"/>
  <c r="AA76" i="10"/>
  <c r="AB76" i="10"/>
  <c r="AC76" i="10"/>
  <c r="M8" i="11"/>
  <c r="N8" i="11" s="1"/>
  <c r="E8" i="11"/>
  <c r="Z9" i="10"/>
  <c r="I17" i="11"/>
  <c r="I15" i="11"/>
  <c r="I11" i="11"/>
  <c r="Z53" i="10"/>
  <c r="AA53" i="10"/>
  <c r="AB53" i="10"/>
  <c r="AC53" i="10"/>
  <c r="Z54" i="10"/>
  <c r="AA54" i="10"/>
  <c r="AB54" i="10"/>
  <c r="AC54" i="10"/>
  <c r="Z55" i="10"/>
  <c r="AA55" i="10"/>
  <c r="AB55" i="10"/>
  <c r="AC55" i="10"/>
  <c r="Z56" i="10"/>
  <c r="AA56" i="10"/>
  <c r="AB56" i="10"/>
  <c r="AC56" i="10"/>
  <c r="Z57" i="10"/>
  <c r="AA57" i="10"/>
  <c r="AB57" i="10"/>
  <c r="AC57" i="10"/>
  <c r="Z58" i="10"/>
  <c r="AA58" i="10"/>
  <c r="AB58" i="10"/>
  <c r="AC58" i="10"/>
  <c r="Z59" i="10"/>
  <c r="AA59" i="10"/>
  <c r="AB59" i="10"/>
  <c r="AC59" i="10"/>
  <c r="Z60" i="10"/>
  <c r="AA60" i="10"/>
  <c r="AB60" i="10"/>
  <c r="AC60" i="10"/>
  <c r="Z61" i="10"/>
  <c r="AA61" i="10"/>
  <c r="AB61" i="10"/>
  <c r="AC61" i="10"/>
  <c r="Z62" i="10"/>
  <c r="AA62" i="10"/>
  <c r="AB62" i="10"/>
  <c r="AC62" i="10"/>
  <c r="Z63" i="10"/>
  <c r="AA63" i="10"/>
  <c r="AB63" i="10"/>
  <c r="AC63" i="10"/>
  <c r="Z64" i="10"/>
  <c r="AA64" i="10"/>
  <c r="AB64" i="10"/>
  <c r="AC64" i="10"/>
  <c r="Z43" i="10"/>
  <c r="AA43" i="10"/>
  <c r="AB43" i="10"/>
  <c r="AC43" i="10"/>
  <c r="Z44" i="10"/>
  <c r="AA44" i="10"/>
  <c r="AB44" i="10"/>
  <c r="AC44" i="10"/>
  <c r="Z45" i="10"/>
  <c r="AA45" i="10"/>
  <c r="AB45" i="10"/>
  <c r="AC45" i="10"/>
  <c r="Z46" i="10"/>
  <c r="AA46" i="10"/>
  <c r="AB46" i="10"/>
  <c r="AC46" i="10"/>
  <c r="Z47" i="10"/>
  <c r="AA47" i="10"/>
  <c r="AB47" i="10"/>
  <c r="AC47" i="10"/>
  <c r="Z48" i="10"/>
  <c r="AA48" i="10"/>
  <c r="AB48" i="10"/>
  <c r="AC48" i="10"/>
  <c r="Z49" i="10"/>
  <c r="AA49" i="10"/>
  <c r="AB49" i="10"/>
  <c r="AC49" i="10"/>
  <c r="Z50" i="10"/>
  <c r="AA50" i="10"/>
  <c r="AB50" i="10"/>
  <c r="AC50" i="10"/>
  <c r="Z51" i="10"/>
  <c r="AA51" i="10"/>
  <c r="AB51" i="10"/>
  <c r="AC51" i="10"/>
  <c r="Z52" i="10"/>
  <c r="AA52" i="10"/>
  <c r="AB52" i="10"/>
  <c r="AC52" i="10"/>
  <c r="Z27" i="10"/>
  <c r="AA27" i="10"/>
  <c r="AB27" i="10"/>
  <c r="AC27" i="10"/>
  <c r="Z28" i="10"/>
  <c r="AA28" i="10"/>
  <c r="AB28" i="10"/>
  <c r="AC28" i="10"/>
  <c r="Z29" i="10"/>
  <c r="AA29" i="10"/>
  <c r="AB29" i="10"/>
  <c r="AC29" i="10"/>
  <c r="Z30" i="10"/>
  <c r="AA30" i="10"/>
  <c r="AB30" i="10"/>
  <c r="AC30" i="10"/>
  <c r="Z31" i="10"/>
  <c r="AA31" i="10"/>
  <c r="AB31" i="10"/>
  <c r="AC31" i="10"/>
  <c r="Z32" i="10"/>
  <c r="AA32" i="10"/>
  <c r="AB32" i="10"/>
  <c r="AC32" i="10"/>
  <c r="Z33" i="10"/>
  <c r="AA33" i="10"/>
  <c r="AB33" i="10"/>
  <c r="AC33" i="10"/>
  <c r="Z34" i="10"/>
  <c r="AC34" i="10"/>
  <c r="Z35" i="10"/>
  <c r="AA35" i="10"/>
  <c r="AB35" i="10"/>
  <c r="AC35" i="10"/>
  <c r="Z36" i="10"/>
  <c r="AA36" i="10"/>
  <c r="AB36" i="10"/>
  <c r="AC36" i="10"/>
  <c r="Z37" i="10"/>
  <c r="AC37" i="10"/>
  <c r="Z38" i="10"/>
  <c r="AA38" i="10"/>
  <c r="AB38" i="10"/>
  <c r="AC38" i="10"/>
  <c r="Z39" i="10"/>
  <c r="AA39" i="10"/>
  <c r="AB39" i="10"/>
  <c r="AC39" i="10"/>
  <c r="Z40" i="10"/>
  <c r="AA40" i="10"/>
  <c r="AB40" i="10"/>
  <c r="AC40" i="10"/>
  <c r="Z41" i="10"/>
  <c r="AA41" i="10"/>
  <c r="AB41" i="10"/>
  <c r="AC41" i="10"/>
  <c r="Z42" i="10"/>
  <c r="AA42" i="10"/>
  <c r="AB42" i="10"/>
  <c r="AC42" i="10"/>
  <c r="Z17" i="10"/>
  <c r="AA17" i="10"/>
  <c r="AB17" i="10"/>
  <c r="AC17" i="10"/>
  <c r="Z18" i="10"/>
  <c r="AA18" i="10"/>
  <c r="AB18" i="10"/>
  <c r="AC18" i="10"/>
  <c r="Z19" i="10"/>
  <c r="AA19" i="10"/>
  <c r="AB19" i="10"/>
  <c r="AC19" i="10"/>
  <c r="Z20" i="10"/>
  <c r="AA20" i="10"/>
  <c r="AB20" i="10"/>
  <c r="AC20" i="10"/>
  <c r="Z21" i="10"/>
  <c r="AA21" i="10"/>
  <c r="AB21" i="10"/>
  <c r="AC21" i="10"/>
  <c r="Z22" i="10"/>
  <c r="AA22" i="10"/>
  <c r="AB22" i="10"/>
  <c r="AC22" i="10"/>
  <c r="Z23" i="10"/>
  <c r="AA23" i="10"/>
  <c r="AB23" i="10"/>
  <c r="AC23" i="10"/>
  <c r="Z24" i="10"/>
  <c r="AC24" i="10"/>
  <c r="Z25" i="10"/>
  <c r="AA25" i="10"/>
  <c r="AB25" i="10"/>
  <c r="AC25" i="10"/>
  <c r="Z26" i="10"/>
  <c r="AA26" i="10"/>
  <c r="AB26" i="10"/>
  <c r="AC26" i="10"/>
  <c r="AB2" i="10"/>
  <c r="AB3" i="10"/>
  <c r="AB4" i="10"/>
  <c r="AB5" i="10"/>
  <c r="AB6" i="10"/>
  <c r="AB7" i="10"/>
  <c r="AB8" i="10"/>
  <c r="AB9" i="10"/>
  <c r="AB10" i="10"/>
  <c r="AB11" i="10"/>
  <c r="AB12" i="10"/>
  <c r="AB13" i="10"/>
  <c r="AB14" i="10"/>
  <c r="AB15" i="10"/>
  <c r="AB16" i="10"/>
  <c r="Z2" i="10"/>
  <c r="Z3" i="10"/>
  <c r="Z4" i="10"/>
  <c r="Z5" i="10"/>
  <c r="Z6" i="10"/>
  <c r="Z7" i="10"/>
  <c r="Z8" i="10"/>
  <c r="Z10" i="10"/>
  <c r="Z11" i="10"/>
  <c r="Z12" i="10"/>
  <c r="Z13" i="10"/>
  <c r="Z14" i="10"/>
  <c r="Z15" i="10"/>
  <c r="Z16" i="10"/>
  <c r="AA2" i="10"/>
  <c r="AA3" i="10"/>
  <c r="AA4" i="10"/>
  <c r="AA5" i="10"/>
  <c r="AA6" i="10"/>
  <c r="AA7" i="10"/>
  <c r="AA8" i="10"/>
  <c r="AA9" i="10"/>
  <c r="AA10" i="10"/>
  <c r="AA11" i="10"/>
  <c r="AA12" i="10"/>
  <c r="AA13" i="10"/>
  <c r="AA14" i="10"/>
  <c r="AA15" i="10"/>
  <c r="AA16" i="10"/>
  <c r="AC2" i="10"/>
  <c r="AC3" i="10"/>
  <c r="AC4" i="10"/>
  <c r="AC5" i="10"/>
  <c r="AC6" i="10"/>
  <c r="AC7" i="10"/>
  <c r="AC8" i="10"/>
  <c r="AC9" i="10"/>
  <c r="AC10" i="10"/>
  <c r="AC11" i="10"/>
  <c r="AC12" i="10"/>
  <c r="AC13" i="10"/>
  <c r="AC14" i="10"/>
  <c r="AC15" i="10"/>
  <c r="AC16" i="10"/>
  <c r="M28" i="3"/>
  <c r="J28" i="3"/>
  <c r="C28" i="3"/>
  <c r="G28" i="3"/>
  <c r="AH24" i="8"/>
  <c r="AG24" i="8"/>
  <c r="AF24" i="8"/>
  <c r="AE24" i="8"/>
  <c r="AD24" i="8"/>
  <c r="AC24" i="8"/>
  <c r="AB24" i="8"/>
  <c r="AA24" i="8"/>
  <c r="Z24" i="8"/>
  <c r="Y24" i="8"/>
  <c r="X24" i="8"/>
  <c r="W24" i="8"/>
  <c r="V24" i="8"/>
  <c r="U24" i="8"/>
  <c r="T24" i="8"/>
  <c r="S24" i="8"/>
  <c r="R24" i="8"/>
  <c r="Q24" i="8"/>
  <c r="P24" i="8"/>
  <c r="O24" i="8"/>
  <c r="N24" i="8"/>
  <c r="M24" i="8"/>
  <c r="L24" i="8"/>
  <c r="K24" i="8"/>
  <c r="J24" i="8"/>
  <c r="I24" i="8"/>
  <c r="H24" i="8"/>
  <c r="G24" i="8"/>
  <c r="F24" i="8"/>
  <c r="E24" i="8"/>
  <c r="D24" i="8"/>
  <c r="C24" i="8"/>
  <c r="AH23" i="8"/>
  <c r="AG23" i="8"/>
  <c r="AF23" i="8"/>
  <c r="AE23" i="8"/>
  <c r="AD23" i="8"/>
  <c r="AC23" i="8"/>
  <c r="AB23" i="8"/>
  <c r="AA23" i="8"/>
  <c r="Z23" i="8"/>
  <c r="Y23" i="8"/>
  <c r="X23" i="8"/>
  <c r="W23" i="8"/>
  <c r="V23" i="8"/>
  <c r="U23" i="8"/>
  <c r="T23" i="8"/>
  <c r="S23" i="8"/>
  <c r="R23" i="8"/>
  <c r="Q23" i="8"/>
  <c r="P23" i="8"/>
  <c r="O23" i="8"/>
  <c r="N23" i="8"/>
  <c r="M23" i="8"/>
  <c r="L23" i="8"/>
  <c r="K23" i="8"/>
  <c r="J23" i="8"/>
  <c r="I23" i="8"/>
  <c r="H23" i="8"/>
  <c r="G23" i="8"/>
  <c r="F23" i="8"/>
  <c r="E23" i="8"/>
  <c r="D23" i="8"/>
  <c r="C23" i="8"/>
  <c r="AH22" i="8"/>
  <c r="AG22" i="8"/>
  <c r="AF22" i="8"/>
  <c r="AE22" i="8"/>
  <c r="AD22" i="8"/>
  <c r="AC22" i="8"/>
  <c r="AB22" i="8"/>
  <c r="AA22" i="8"/>
  <c r="Z22" i="8"/>
  <c r="Y22" i="8"/>
  <c r="X22" i="8"/>
  <c r="W22" i="8"/>
  <c r="V22" i="8"/>
  <c r="U22" i="8"/>
  <c r="T22" i="8"/>
  <c r="S22" i="8"/>
  <c r="R22" i="8"/>
  <c r="Q22" i="8"/>
  <c r="P22" i="8"/>
  <c r="O22" i="8"/>
  <c r="M22" i="8"/>
  <c r="L22" i="8"/>
  <c r="J22" i="8"/>
  <c r="I22" i="8"/>
  <c r="G22" i="8"/>
  <c r="F22" i="8"/>
  <c r="E22" i="8"/>
  <c r="C22" i="8"/>
  <c r="AH21" i="8"/>
  <c r="AG21" i="8"/>
  <c r="AF21" i="8"/>
  <c r="AE21" i="8"/>
  <c r="AD21" i="8"/>
  <c r="AC21" i="8"/>
  <c r="AB21" i="8"/>
  <c r="AA21" i="8"/>
  <c r="Z21" i="8"/>
  <c r="Y21" i="8"/>
  <c r="X21" i="8"/>
  <c r="W21" i="8"/>
  <c r="V21" i="8"/>
  <c r="U21" i="8"/>
  <c r="T21" i="8"/>
  <c r="S21" i="8"/>
  <c r="R21" i="8"/>
  <c r="Q21" i="8"/>
  <c r="P21" i="8"/>
  <c r="O21" i="8"/>
  <c r="M21" i="8"/>
  <c r="L21" i="8"/>
  <c r="J21" i="8"/>
  <c r="I21" i="8"/>
  <c r="G21" i="8"/>
  <c r="F21" i="8"/>
  <c r="E21" i="8"/>
  <c r="C21" i="8"/>
  <c r="AH20" i="8"/>
  <c r="AG20" i="8"/>
  <c r="AF20" i="8"/>
  <c r="AE20" i="8"/>
  <c r="AD20" i="8"/>
  <c r="AC20" i="8"/>
  <c r="AB20" i="8"/>
  <c r="AA20" i="8"/>
  <c r="Z20" i="8"/>
  <c r="Y20" i="8"/>
  <c r="X20" i="8"/>
  <c r="W20" i="8"/>
  <c r="V20" i="8"/>
  <c r="U20" i="8"/>
  <c r="T20" i="8"/>
  <c r="S20" i="8"/>
  <c r="R20" i="8"/>
  <c r="Q20" i="8"/>
  <c r="P20" i="8"/>
  <c r="O20" i="8"/>
  <c r="M20" i="8"/>
  <c r="L20" i="8"/>
  <c r="J20" i="8"/>
  <c r="I20" i="8"/>
  <c r="G20" i="8"/>
  <c r="F20" i="8"/>
  <c r="E20" i="8"/>
  <c r="C20" i="8"/>
  <c r="AH19" i="8"/>
  <c r="AG19" i="8"/>
  <c r="AF19" i="8"/>
  <c r="AE19" i="8"/>
  <c r="AD19" i="8"/>
  <c r="AC19" i="8"/>
  <c r="AB19" i="8"/>
  <c r="AA19" i="8"/>
  <c r="Z19" i="8"/>
  <c r="Y19" i="8"/>
  <c r="X19" i="8"/>
  <c r="W19" i="8"/>
  <c r="V19" i="8"/>
  <c r="U19" i="8"/>
  <c r="T19" i="8"/>
  <c r="S19" i="8"/>
  <c r="R19" i="8"/>
  <c r="Q19" i="8"/>
  <c r="P19" i="8"/>
  <c r="O19" i="8"/>
  <c r="M19" i="8"/>
  <c r="L19" i="8"/>
  <c r="J19" i="8"/>
  <c r="I19" i="8"/>
  <c r="G19" i="8"/>
  <c r="F19" i="8"/>
  <c r="E19" i="8"/>
  <c r="C19" i="8"/>
  <c r="AH18" i="8"/>
  <c r="AG18" i="8"/>
  <c r="AF18" i="8"/>
  <c r="AE18" i="8"/>
  <c r="AD18" i="8"/>
  <c r="AC18" i="8"/>
  <c r="AB18" i="8"/>
  <c r="AA18" i="8"/>
  <c r="Z18" i="8"/>
  <c r="Y18" i="8"/>
  <c r="X18" i="8"/>
  <c r="W18" i="8"/>
  <c r="V18" i="8"/>
  <c r="U18" i="8"/>
  <c r="T18" i="8"/>
  <c r="S18" i="8"/>
  <c r="R18" i="8"/>
  <c r="Q18" i="8"/>
  <c r="P18" i="8"/>
  <c r="O18" i="8"/>
  <c r="M18" i="8"/>
  <c r="L18" i="8"/>
  <c r="J18" i="8"/>
  <c r="I18" i="8"/>
  <c r="G18" i="8"/>
  <c r="F18" i="8"/>
  <c r="E18" i="8"/>
  <c r="C18" i="8"/>
  <c r="AH17" i="8"/>
  <c r="AG17" i="8"/>
  <c r="AF17" i="8"/>
  <c r="AE17" i="8"/>
  <c r="AD17" i="8"/>
  <c r="AC17" i="8"/>
  <c r="AB17" i="8"/>
  <c r="AA17" i="8"/>
  <c r="Z17" i="8"/>
  <c r="Y17" i="8"/>
  <c r="X17" i="8"/>
  <c r="W17" i="8"/>
  <c r="V17" i="8"/>
  <c r="U17" i="8"/>
  <c r="T17" i="8"/>
  <c r="S17" i="8"/>
  <c r="R17" i="8"/>
  <c r="Q17" i="8"/>
  <c r="P17" i="8"/>
  <c r="O17" i="8"/>
  <c r="M17" i="8"/>
  <c r="L17" i="8"/>
  <c r="J17" i="8"/>
  <c r="I17" i="8"/>
  <c r="G17" i="8"/>
  <c r="F17" i="8"/>
  <c r="E17" i="8"/>
  <c r="C17" i="8"/>
  <c r="AH10" i="8"/>
  <c r="AG10" i="8"/>
  <c r="AF10" i="8"/>
  <c r="AE10" i="8"/>
  <c r="AD10" i="8"/>
  <c r="AC10" i="8"/>
  <c r="AB10" i="8"/>
  <c r="AA10" i="8"/>
  <c r="Z10" i="8"/>
  <c r="Y10" i="8"/>
  <c r="X10" i="8"/>
  <c r="W10" i="8"/>
  <c r="V10" i="8"/>
  <c r="U10" i="8"/>
  <c r="T10" i="8"/>
  <c r="S10" i="8"/>
  <c r="R10" i="8"/>
  <c r="Q10" i="8"/>
  <c r="P10" i="8"/>
  <c r="O10" i="8"/>
  <c r="N10" i="8"/>
  <c r="M10" i="8"/>
  <c r="L10" i="8"/>
  <c r="K10" i="8"/>
  <c r="J10" i="8"/>
  <c r="I10" i="8"/>
  <c r="H10" i="8"/>
  <c r="G10" i="8"/>
  <c r="F10" i="8"/>
  <c r="E10" i="8"/>
  <c r="D10" i="8"/>
  <c r="C10" i="8"/>
  <c r="AH9" i="8"/>
  <c r="AG9" i="8"/>
  <c r="AF9" i="8"/>
  <c r="AE9" i="8"/>
  <c r="AD9" i="8"/>
  <c r="AC9" i="8"/>
  <c r="AB9" i="8"/>
  <c r="AA9" i="8"/>
  <c r="Z9" i="8"/>
  <c r="Y9" i="8"/>
  <c r="X9" i="8"/>
  <c r="W9" i="8"/>
  <c r="V9" i="8"/>
  <c r="U9" i="8"/>
  <c r="T9" i="8"/>
  <c r="S9" i="8"/>
  <c r="R9" i="8"/>
  <c r="Q9" i="8"/>
  <c r="P9" i="8"/>
  <c r="O9" i="8"/>
  <c r="N9" i="8"/>
  <c r="M9" i="8"/>
  <c r="L9" i="8"/>
  <c r="K9" i="8"/>
  <c r="J9" i="8"/>
  <c r="I9" i="8"/>
  <c r="H9" i="8"/>
  <c r="G9" i="8"/>
  <c r="F9" i="8"/>
  <c r="E9" i="8"/>
  <c r="D9" i="8"/>
  <c r="C9" i="8"/>
  <c r="AH8" i="8"/>
  <c r="AG8" i="8"/>
  <c r="AF8" i="8"/>
  <c r="AE8" i="8"/>
  <c r="AD8" i="8"/>
  <c r="AC8" i="8"/>
  <c r="AB8" i="8"/>
  <c r="AA8" i="8"/>
  <c r="Z8" i="8"/>
  <c r="Y8" i="8"/>
  <c r="X8" i="8"/>
  <c r="W8" i="8"/>
  <c r="V8" i="8"/>
  <c r="U8" i="8"/>
  <c r="T8" i="8"/>
  <c r="S8" i="8"/>
  <c r="R8" i="8"/>
  <c r="Q8" i="8"/>
  <c r="P8" i="8"/>
  <c r="O8" i="8"/>
  <c r="M8" i="8"/>
  <c r="L8" i="8"/>
  <c r="J8" i="8"/>
  <c r="I8" i="8"/>
  <c r="G8" i="8"/>
  <c r="F8" i="8"/>
  <c r="E8" i="8"/>
  <c r="C8" i="8"/>
  <c r="AH7" i="8"/>
  <c r="AG7" i="8"/>
  <c r="AF7" i="8"/>
  <c r="AE7" i="8"/>
  <c r="AD7" i="8"/>
  <c r="AC7" i="8"/>
  <c r="AB7" i="8"/>
  <c r="AA7" i="8"/>
  <c r="Z7" i="8"/>
  <c r="Y7" i="8"/>
  <c r="X7" i="8"/>
  <c r="W7" i="8"/>
  <c r="V7" i="8"/>
  <c r="U7" i="8"/>
  <c r="T7" i="8"/>
  <c r="S7" i="8"/>
  <c r="R7" i="8"/>
  <c r="Q7" i="8"/>
  <c r="P7" i="8"/>
  <c r="O7" i="8"/>
  <c r="M7" i="8"/>
  <c r="L7" i="8"/>
  <c r="J7" i="8"/>
  <c r="I7" i="8"/>
  <c r="G7" i="8"/>
  <c r="F7" i="8"/>
  <c r="E7" i="8"/>
  <c r="C7" i="8"/>
  <c r="AH6" i="8"/>
  <c r="AG6" i="8"/>
  <c r="AF6" i="8"/>
  <c r="AE6" i="8"/>
  <c r="AD6" i="8"/>
  <c r="AC6" i="8"/>
  <c r="AB6" i="8"/>
  <c r="AA6" i="8"/>
  <c r="Z6" i="8"/>
  <c r="Y6" i="8"/>
  <c r="X6" i="8"/>
  <c r="W6" i="8"/>
  <c r="V6" i="8"/>
  <c r="U6" i="8"/>
  <c r="T6" i="8"/>
  <c r="S6" i="8"/>
  <c r="R6" i="8"/>
  <c r="Q6" i="8"/>
  <c r="P6" i="8"/>
  <c r="O6" i="8"/>
  <c r="M6" i="8"/>
  <c r="L6" i="8"/>
  <c r="J6" i="8"/>
  <c r="I6" i="8"/>
  <c r="G6" i="8"/>
  <c r="F6" i="8"/>
  <c r="E6" i="8"/>
  <c r="C6" i="8"/>
  <c r="AH5" i="8"/>
  <c r="AG5" i="8"/>
  <c r="AF5" i="8"/>
  <c r="AE5" i="8"/>
  <c r="AD5" i="8"/>
  <c r="AC5" i="8"/>
  <c r="AB5" i="8"/>
  <c r="AA5" i="8"/>
  <c r="Z5" i="8"/>
  <c r="Y5" i="8"/>
  <c r="X5" i="8"/>
  <c r="W5" i="8"/>
  <c r="V5" i="8"/>
  <c r="U5" i="8"/>
  <c r="T5" i="8"/>
  <c r="S5" i="8"/>
  <c r="R5" i="8"/>
  <c r="Q5" i="8"/>
  <c r="P5" i="8"/>
  <c r="O5" i="8"/>
  <c r="M5" i="8"/>
  <c r="L5" i="8"/>
  <c r="J5" i="8"/>
  <c r="I5" i="8"/>
  <c r="G5" i="8"/>
  <c r="F5" i="8"/>
  <c r="E5" i="8"/>
  <c r="C5" i="8"/>
  <c r="AH4" i="8"/>
  <c r="AG4" i="8"/>
  <c r="AF4" i="8"/>
  <c r="AE4" i="8"/>
  <c r="AD4" i="8"/>
  <c r="AC4" i="8"/>
  <c r="AB4" i="8"/>
  <c r="AA4" i="8"/>
  <c r="Z4" i="8"/>
  <c r="Y4" i="8"/>
  <c r="X4" i="8"/>
  <c r="W4" i="8"/>
  <c r="V4" i="8"/>
  <c r="U4" i="8"/>
  <c r="T4" i="8"/>
  <c r="S4" i="8"/>
  <c r="R4" i="8"/>
  <c r="Q4" i="8"/>
  <c r="P4" i="8"/>
  <c r="O4" i="8"/>
  <c r="M4" i="8"/>
  <c r="L4" i="8"/>
  <c r="J4" i="8"/>
  <c r="I4" i="8"/>
  <c r="G4" i="8"/>
  <c r="F4" i="8"/>
  <c r="E4" i="8"/>
  <c r="C4" i="8"/>
  <c r="AH3" i="8"/>
  <c r="AG3" i="8"/>
  <c r="AF3" i="8"/>
  <c r="AE3" i="8"/>
  <c r="AD3" i="8"/>
  <c r="AC3" i="8"/>
  <c r="AB3" i="8"/>
  <c r="AA3" i="8"/>
  <c r="Z3" i="8"/>
  <c r="Y3" i="8"/>
  <c r="X3" i="8"/>
  <c r="W3" i="8"/>
  <c r="V3" i="8"/>
  <c r="U3" i="8"/>
  <c r="T3" i="8"/>
  <c r="S3" i="8"/>
  <c r="R3" i="8"/>
  <c r="Q3" i="8"/>
  <c r="P3" i="8"/>
  <c r="O3" i="8"/>
  <c r="M3" i="8"/>
  <c r="L3" i="8"/>
  <c r="J3" i="8"/>
  <c r="I3" i="8"/>
  <c r="G3" i="8"/>
  <c r="F3" i="8"/>
  <c r="E3" i="8"/>
  <c r="C3" i="8"/>
  <c r="M38" i="3"/>
  <c r="J38" i="3"/>
  <c r="G38" i="3"/>
  <c r="C38" i="3"/>
  <c r="M3" i="3"/>
  <c r="M15" i="3"/>
  <c r="M6" i="3"/>
  <c r="N17" i="8" s="1"/>
  <c r="M5" i="3"/>
  <c r="M10" i="3"/>
  <c r="J6" i="3"/>
  <c r="K17" i="8" s="1"/>
  <c r="J5" i="3"/>
  <c r="J10" i="3"/>
  <c r="C6" i="3"/>
  <c r="D5" i="8" s="1"/>
  <c r="C5" i="3"/>
  <c r="C10" i="3"/>
  <c r="G6" i="3"/>
  <c r="H17" i="8" s="1"/>
  <c r="G5" i="3"/>
  <c r="G10" i="3"/>
  <c r="M41" i="3"/>
  <c r="M12" i="3"/>
  <c r="J23" i="3"/>
  <c r="J41" i="3"/>
  <c r="J12" i="3"/>
  <c r="C41" i="3"/>
  <c r="C12" i="3"/>
  <c r="G41" i="3"/>
  <c r="G12" i="3"/>
  <c r="M45" i="3"/>
  <c r="J45" i="3"/>
  <c r="C45" i="3"/>
  <c r="G45" i="3"/>
  <c r="M37" i="3"/>
  <c r="J37" i="3"/>
  <c r="C37" i="3"/>
  <c r="G37" i="3"/>
  <c r="J3" i="3"/>
  <c r="C3" i="3"/>
  <c r="G3" i="3"/>
  <c r="M20" i="3"/>
  <c r="J20" i="3"/>
  <c r="G20" i="3"/>
  <c r="C20" i="3"/>
  <c r="M9" i="3"/>
  <c r="N7" i="8" s="1"/>
  <c r="J9" i="3"/>
  <c r="K7" i="8" s="1"/>
  <c r="G9" i="3"/>
  <c r="H7" i="8" s="1"/>
  <c r="C9" i="3"/>
  <c r="D7" i="8" s="1"/>
  <c r="M44" i="3"/>
  <c r="J44" i="3"/>
  <c r="C44" i="3"/>
  <c r="G44" i="3"/>
  <c r="M35" i="3"/>
  <c r="M8" i="3"/>
  <c r="N18" i="8" s="1"/>
  <c r="J8" i="3"/>
  <c r="K18" i="8" s="1"/>
  <c r="J35" i="3"/>
  <c r="G8" i="3"/>
  <c r="H18" i="8" s="1"/>
  <c r="G27" i="3"/>
  <c r="H21" i="8" s="1"/>
  <c r="G33" i="3"/>
  <c r="G32" i="3"/>
  <c r="G35" i="3"/>
  <c r="C35" i="3"/>
  <c r="C33" i="3"/>
  <c r="C32" i="3"/>
  <c r="C27" i="3"/>
  <c r="D21" i="8" s="1"/>
  <c r="C8" i="3"/>
  <c r="D18" i="8" s="1"/>
  <c r="M46" i="3"/>
  <c r="J46" i="3"/>
  <c r="G46" i="3"/>
  <c r="C46" i="3"/>
  <c r="C42" i="3"/>
  <c r="D22" i="8" s="1"/>
  <c r="M19" i="3"/>
  <c r="N19" i="8" s="1"/>
  <c r="J19" i="3"/>
  <c r="K19" i="8" s="1"/>
  <c r="G19" i="3"/>
  <c r="H19" i="8" s="1"/>
  <c r="C19" i="3"/>
  <c r="D19" i="8" s="1"/>
  <c r="M25" i="3"/>
  <c r="M34" i="3"/>
  <c r="M33" i="3"/>
  <c r="M32" i="3"/>
  <c r="M36" i="3"/>
  <c r="J25" i="3"/>
  <c r="J34" i="3"/>
  <c r="J33" i="3"/>
  <c r="J32" i="3"/>
  <c r="J36" i="3"/>
  <c r="G25" i="3"/>
  <c r="G34" i="3"/>
  <c r="G36" i="3"/>
  <c r="C34" i="3"/>
  <c r="C25" i="3"/>
  <c r="M2" i="3"/>
  <c r="N4" i="8" s="1"/>
  <c r="M24" i="3"/>
  <c r="M29" i="3"/>
  <c r="J2" i="3"/>
  <c r="K4" i="8" s="1"/>
  <c r="J24" i="3"/>
  <c r="J29" i="3"/>
  <c r="G2" i="3"/>
  <c r="H3" i="8" s="1"/>
  <c r="G24" i="3"/>
  <c r="G29" i="3"/>
  <c r="C2" i="3"/>
  <c r="D4" i="8" s="1"/>
  <c r="C29" i="3"/>
  <c r="M47" i="3"/>
  <c r="M39" i="3"/>
  <c r="M16" i="3"/>
  <c r="J47" i="3"/>
  <c r="J39" i="3"/>
  <c r="J16" i="3"/>
  <c r="G47" i="3"/>
  <c r="G39" i="3"/>
  <c r="G16" i="3"/>
  <c r="C47" i="3"/>
  <c r="C39" i="3"/>
  <c r="C36" i="3"/>
  <c r="C16" i="3"/>
  <c r="M40" i="3"/>
  <c r="J40" i="3"/>
  <c r="C40" i="3"/>
  <c r="G40" i="3"/>
  <c r="C3" i="4"/>
  <c r="D24" i="4"/>
  <c r="E24" i="4"/>
  <c r="F24" i="4"/>
  <c r="G24" i="4"/>
  <c r="H24" i="4"/>
  <c r="I24" i="4"/>
  <c r="J24" i="4"/>
  <c r="K24" i="4"/>
  <c r="L24" i="4"/>
  <c r="M24" i="4"/>
  <c r="N24" i="4"/>
  <c r="O24" i="4"/>
  <c r="P24" i="4"/>
  <c r="Q24" i="4"/>
  <c r="R24" i="4"/>
  <c r="S24" i="4"/>
  <c r="T24" i="4"/>
  <c r="U24" i="4"/>
  <c r="V24" i="4"/>
  <c r="W24" i="4"/>
  <c r="X24" i="4"/>
  <c r="Y24" i="4"/>
  <c r="Z24" i="4"/>
  <c r="AA24" i="4"/>
  <c r="AB24" i="4"/>
  <c r="AC24" i="4"/>
  <c r="C24" i="4"/>
  <c r="D23" i="4"/>
  <c r="E23" i="4"/>
  <c r="F23" i="4"/>
  <c r="G23" i="4"/>
  <c r="H23" i="4"/>
  <c r="I23" i="4"/>
  <c r="J23" i="4"/>
  <c r="K23" i="4"/>
  <c r="L23" i="4"/>
  <c r="M23" i="4"/>
  <c r="N23" i="4"/>
  <c r="O23" i="4"/>
  <c r="P23" i="4"/>
  <c r="Q23" i="4"/>
  <c r="R23" i="4"/>
  <c r="S23" i="4"/>
  <c r="T23" i="4"/>
  <c r="U23" i="4"/>
  <c r="V23" i="4"/>
  <c r="W23" i="4"/>
  <c r="X23" i="4"/>
  <c r="Y23" i="4"/>
  <c r="Z23" i="4"/>
  <c r="AA23" i="4"/>
  <c r="AB23" i="4"/>
  <c r="AC23" i="4"/>
  <c r="C23" i="4"/>
  <c r="E22" i="4"/>
  <c r="F22" i="4"/>
  <c r="G22" i="4"/>
  <c r="I22" i="4"/>
  <c r="J22" i="4"/>
  <c r="L22" i="4"/>
  <c r="M22" i="4"/>
  <c r="O22" i="4"/>
  <c r="P22" i="4"/>
  <c r="Q22" i="4"/>
  <c r="R22" i="4"/>
  <c r="S22" i="4"/>
  <c r="T22" i="4"/>
  <c r="U22" i="4"/>
  <c r="V22" i="4"/>
  <c r="W22" i="4"/>
  <c r="X22" i="4"/>
  <c r="Y22" i="4"/>
  <c r="Z22" i="4"/>
  <c r="AA22" i="4"/>
  <c r="AB22" i="4"/>
  <c r="AC22" i="4"/>
  <c r="C22" i="4"/>
  <c r="E21" i="4"/>
  <c r="F21" i="4"/>
  <c r="G21" i="4"/>
  <c r="I21" i="4"/>
  <c r="J21" i="4"/>
  <c r="L21" i="4"/>
  <c r="M21" i="4"/>
  <c r="O21" i="4"/>
  <c r="P21" i="4"/>
  <c r="Q21" i="4"/>
  <c r="R21" i="4"/>
  <c r="S21" i="4"/>
  <c r="T21" i="4"/>
  <c r="U21" i="4"/>
  <c r="V21" i="4"/>
  <c r="W21" i="4"/>
  <c r="X21" i="4"/>
  <c r="Y21" i="4"/>
  <c r="Z21" i="4"/>
  <c r="AA21" i="4"/>
  <c r="AB21" i="4"/>
  <c r="AC21" i="4"/>
  <c r="C21" i="4"/>
  <c r="E20" i="4"/>
  <c r="F20" i="4"/>
  <c r="G20" i="4"/>
  <c r="I20" i="4"/>
  <c r="J20" i="4"/>
  <c r="L20" i="4"/>
  <c r="M20" i="4"/>
  <c r="O20" i="4"/>
  <c r="P20" i="4"/>
  <c r="Q20" i="4"/>
  <c r="R20" i="4"/>
  <c r="S20" i="4"/>
  <c r="T20" i="4"/>
  <c r="U20" i="4"/>
  <c r="V20" i="4"/>
  <c r="W20" i="4"/>
  <c r="X20" i="4"/>
  <c r="Y20" i="4"/>
  <c r="Z20" i="4"/>
  <c r="AA20" i="4"/>
  <c r="AB20" i="4"/>
  <c r="AC20" i="4"/>
  <c r="C20" i="4"/>
  <c r="E19" i="4"/>
  <c r="F19" i="4"/>
  <c r="G19" i="4"/>
  <c r="I19" i="4"/>
  <c r="J19" i="4"/>
  <c r="L19" i="4"/>
  <c r="M19" i="4"/>
  <c r="O19" i="4"/>
  <c r="P19" i="4"/>
  <c r="Q19" i="4"/>
  <c r="R19" i="4"/>
  <c r="S19" i="4"/>
  <c r="T19" i="4"/>
  <c r="U19" i="4"/>
  <c r="V19" i="4"/>
  <c r="W19" i="4"/>
  <c r="X19" i="4"/>
  <c r="Y19" i="4"/>
  <c r="Z19" i="4"/>
  <c r="AA19" i="4"/>
  <c r="AB19" i="4"/>
  <c r="AC19" i="4"/>
  <c r="C19" i="4"/>
  <c r="E18" i="4"/>
  <c r="F18" i="4"/>
  <c r="G18" i="4"/>
  <c r="I18" i="4"/>
  <c r="J18" i="4"/>
  <c r="L18" i="4"/>
  <c r="M18" i="4"/>
  <c r="O18" i="4"/>
  <c r="P18" i="4"/>
  <c r="Q18" i="4"/>
  <c r="R18" i="4"/>
  <c r="S18" i="4"/>
  <c r="T18" i="4"/>
  <c r="U18" i="4"/>
  <c r="V18" i="4"/>
  <c r="W18" i="4"/>
  <c r="X18" i="4"/>
  <c r="Y18" i="4"/>
  <c r="Z18" i="4"/>
  <c r="AA18" i="4"/>
  <c r="AB18" i="4"/>
  <c r="AC18" i="4"/>
  <c r="C18" i="4"/>
  <c r="E17" i="4"/>
  <c r="F17" i="4"/>
  <c r="G17" i="4"/>
  <c r="I17" i="4"/>
  <c r="J17" i="4"/>
  <c r="L17" i="4"/>
  <c r="M17" i="4"/>
  <c r="O17" i="4"/>
  <c r="P17" i="4"/>
  <c r="Q17" i="4"/>
  <c r="R17" i="4"/>
  <c r="S17" i="4"/>
  <c r="T17" i="4"/>
  <c r="U17" i="4"/>
  <c r="V17" i="4"/>
  <c r="W17" i="4"/>
  <c r="X17" i="4"/>
  <c r="Y17" i="4"/>
  <c r="Z17" i="4"/>
  <c r="AA17" i="4"/>
  <c r="AB17" i="4"/>
  <c r="AC17" i="4"/>
  <c r="C17" i="4"/>
  <c r="D10" i="4"/>
  <c r="E10" i="4"/>
  <c r="F10" i="4"/>
  <c r="G10" i="4"/>
  <c r="H10" i="4"/>
  <c r="I10" i="4"/>
  <c r="J10" i="4"/>
  <c r="K10" i="4"/>
  <c r="L10" i="4"/>
  <c r="M10" i="4"/>
  <c r="N10" i="4"/>
  <c r="O10" i="4"/>
  <c r="P10" i="4"/>
  <c r="Q10" i="4"/>
  <c r="R10" i="4"/>
  <c r="S10" i="4"/>
  <c r="T10" i="4"/>
  <c r="U10" i="4"/>
  <c r="V10" i="4"/>
  <c r="W10" i="4"/>
  <c r="X10" i="4"/>
  <c r="Y10" i="4"/>
  <c r="Z10" i="4"/>
  <c r="AA10" i="4"/>
  <c r="AB10" i="4"/>
  <c r="AC10" i="4"/>
  <c r="D9" i="4"/>
  <c r="E9" i="4"/>
  <c r="F9" i="4"/>
  <c r="G9" i="4"/>
  <c r="H9" i="4"/>
  <c r="I9" i="4"/>
  <c r="J9" i="4"/>
  <c r="K9" i="4"/>
  <c r="L9" i="4"/>
  <c r="M9" i="4"/>
  <c r="N9" i="4"/>
  <c r="O9" i="4"/>
  <c r="P9" i="4"/>
  <c r="Q9" i="4"/>
  <c r="R9" i="4"/>
  <c r="S9" i="4"/>
  <c r="T9" i="4"/>
  <c r="U9" i="4"/>
  <c r="V9" i="4"/>
  <c r="W9" i="4"/>
  <c r="X9" i="4"/>
  <c r="Y9" i="4"/>
  <c r="Z9" i="4"/>
  <c r="AA9" i="4"/>
  <c r="AB9" i="4"/>
  <c r="AC9" i="4"/>
  <c r="E8" i="4"/>
  <c r="F8" i="4"/>
  <c r="G8" i="4"/>
  <c r="I8" i="4"/>
  <c r="J8" i="4"/>
  <c r="L8" i="4"/>
  <c r="M8" i="4"/>
  <c r="O8" i="4"/>
  <c r="P8" i="4"/>
  <c r="Q8" i="4"/>
  <c r="R8" i="4"/>
  <c r="S8" i="4"/>
  <c r="T8" i="4"/>
  <c r="U8" i="4"/>
  <c r="V8" i="4"/>
  <c r="W8" i="4"/>
  <c r="X8" i="4"/>
  <c r="Y8" i="4"/>
  <c r="Z8" i="4"/>
  <c r="AA8" i="4"/>
  <c r="AB8" i="4"/>
  <c r="AC8" i="4"/>
  <c r="E7" i="4"/>
  <c r="F7" i="4"/>
  <c r="G7" i="4"/>
  <c r="I7" i="4"/>
  <c r="J7" i="4"/>
  <c r="L7" i="4"/>
  <c r="M7" i="4"/>
  <c r="O7" i="4"/>
  <c r="P7" i="4"/>
  <c r="Q7" i="4"/>
  <c r="R7" i="4"/>
  <c r="S7" i="4"/>
  <c r="T7" i="4"/>
  <c r="U7" i="4"/>
  <c r="V7" i="4"/>
  <c r="W7" i="4"/>
  <c r="X7" i="4"/>
  <c r="Y7" i="4"/>
  <c r="Z7" i="4"/>
  <c r="AA7" i="4"/>
  <c r="AB7" i="4"/>
  <c r="AC7" i="4"/>
  <c r="E6" i="4"/>
  <c r="F6" i="4"/>
  <c r="G6" i="4"/>
  <c r="I6" i="4"/>
  <c r="J6" i="4"/>
  <c r="L6" i="4"/>
  <c r="M6" i="4"/>
  <c r="O6" i="4"/>
  <c r="P6" i="4"/>
  <c r="Q6" i="4"/>
  <c r="R6" i="4"/>
  <c r="S6" i="4"/>
  <c r="T6" i="4"/>
  <c r="U6" i="4"/>
  <c r="V6" i="4"/>
  <c r="W6" i="4"/>
  <c r="X6" i="4"/>
  <c r="Y6" i="4"/>
  <c r="Z6" i="4"/>
  <c r="AA6" i="4"/>
  <c r="AB6" i="4"/>
  <c r="AC6" i="4"/>
  <c r="E5" i="4"/>
  <c r="F5" i="4"/>
  <c r="G5" i="4"/>
  <c r="I5" i="4"/>
  <c r="J5" i="4"/>
  <c r="L5" i="4"/>
  <c r="M5" i="4"/>
  <c r="O5" i="4"/>
  <c r="P5" i="4"/>
  <c r="Q5" i="4"/>
  <c r="R5" i="4"/>
  <c r="S5" i="4"/>
  <c r="T5" i="4"/>
  <c r="U5" i="4"/>
  <c r="V5" i="4"/>
  <c r="W5" i="4"/>
  <c r="X5" i="4"/>
  <c r="Y5" i="4"/>
  <c r="Z5" i="4"/>
  <c r="AA5" i="4"/>
  <c r="AB5" i="4"/>
  <c r="AC5" i="4"/>
  <c r="C10" i="4"/>
  <c r="C9" i="4"/>
  <c r="C8" i="4"/>
  <c r="C7" i="4"/>
  <c r="C6" i="4"/>
  <c r="C5" i="4"/>
  <c r="E4" i="4"/>
  <c r="F4" i="4"/>
  <c r="G4" i="4"/>
  <c r="I4" i="4"/>
  <c r="J4" i="4"/>
  <c r="L4" i="4"/>
  <c r="M4" i="4"/>
  <c r="O4" i="4"/>
  <c r="P4" i="4"/>
  <c r="Q4" i="4"/>
  <c r="R4" i="4"/>
  <c r="S4" i="4"/>
  <c r="T4" i="4"/>
  <c r="U4" i="4"/>
  <c r="V4" i="4"/>
  <c r="W4" i="4"/>
  <c r="X4" i="4"/>
  <c r="Y4" i="4"/>
  <c r="Z4" i="4"/>
  <c r="AA4" i="4"/>
  <c r="AB4" i="4"/>
  <c r="AC4" i="4"/>
  <c r="C4" i="4"/>
  <c r="E3" i="4"/>
  <c r="F3" i="4"/>
  <c r="G3" i="4"/>
  <c r="I3" i="4"/>
  <c r="J3" i="4"/>
  <c r="L3" i="4"/>
  <c r="M3" i="4"/>
  <c r="O3" i="4"/>
  <c r="P3" i="4"/>
  <c r="Q3" i="4"/>
  <c r="R3" i="4"/>
  <c r="S3" i="4"/>
  <c r="T3" i="4"/>
  <c r="U3" i="4"/>
  <c r="V3" i="4"/>
  <c r="W3" i="4"/>
  <c r="X3" i="4"/>
  <c r="Y3" i="4"/>
  <c r="Z3" i="4"/>
  <c r="AA3" i="4"/>
  <c r="AB3" i="4"/>
  <c r="AC3" i="4"/>
  <c r="J15" i="3"/>
  <c r="G15" i="3"/>
  <c r="C15" i="3"/>
  <c r="M27" i="3"/>
  <c r="N21" i="8" s="1"/>
  <c r="M17" i="3"/>
  <c r="J27" i="3"/>
  <c r="K21" i="8" s="1"/>
  <c r="J17" i="3"/>
  <c r="G17" i="3"/>
  <c r="C17" i="3"/>
  <c r="M43" i="3"/>
  <c r="M31" i="3"/>
  <c r="M30" i="3"/>
  <c r="M21" i="3"/>
  <c r="M18" i="3"/>
  <c r="M7" i="3"/>
  <c r="N20" i="8" s="1"/>
  <c r="M4" i="3"/>
  <c r="J43" i="3"/>
  <c r="J42" i="3"/>
  <c r="K22" i="8" s="1"/>
  <c r="J31" i="3"/>
  <c r="J30" i="3"/>
  <c r="J21" i="3"/>
  <c r="J18" i="3"/>
  <c r="J7" i="3"/>
  <c r="K20" i="8" s="1"/>
  <c r="J4" i="3"/>
  <c r="G43" i="3"/>
  <c r="G42" i="3"/>
  <c r="H22" i="8" s="1"/>
  <c r="G31" i="3"/>
  <c r="G30" i="3"/>
  <c r="G21" i="3"/>
  <c r="G18" i="3"/>
  <c r="G7" i="3"/>
  <c r="H6" i="8" s="1"/>
  <c r="C43" i="3"/>
  <c r="C31" i="3"/>
  <c r="C30" i="3"/>
  <c r="C21" i="3"/>
  <c r="G4" i="3"/>
  <c r="C4" i="3"/>
  <c r="M26" i="3"/>
  <c r="M22" i="3"/>
  <c r="M11" i="3"/>
  <c r="N8" i="8" s="1"/>
  <c r="J26" i="3"/>
  <c r="J22" i="3"/>
  <c r="J11" i="3"/>
  <c r="K8" i="8" s="1"/>
  <c r="G26" i="3"/>
  <c r="G22" i="3"/>
  <c r="G11" i="3"/>
  <c r="H8" i="8" s="1"/>
  <c r="C26" i="3"/>
  <c r="C24" i="3"/>
  <c r="C22" i="3"/>
  <c r="C11" i="3"/>
  <c r="D8" i="8" s="1"/>
  <c r="M42" i="3"/>
  <c r="N22" i="8" s="1"/>
  <c r="M23" i="3"/>
  <c r="G23" i="3"/>
  <c r="C23" i="3"/>
  <c r="C18" i="3"/>
  <c r="C7" i="3"/>
  <c r="D20" i="8" s="1"/>
  <c r="O37" i="1"/>
  <c r="L37" i="1"/>
  <c r="E37" i="1"/>
  <c r="I37" i="1"/>
  <c r="O28" i="1"/>
  <c r="L28" i="1"/>
  <c r="E28" i="1"/>
  <c r="I28" i="1"/>
  <c r="O19" i="1"/>
  <c r="O13" i="1"/>
  <c r="L19" i="1"/>
  <c r="L13" i="1"/>
  <c r="I19" i="1"/>
  <c r="I13" i="1"/>
  <c r="E19" i="1"/>
  <c r="E13" i="1"/>
  <c r="O20" i="1"/>
  <c r="L20" i="1"/>
  <c r="I20" i="1"/>
  <c r="E20" i="1"/>
  <c r="O12" i="1"/>
  <c r="L12" i="1"/>
  <c r="I12" i="1"/>
  <c r="E12" i="1"/>
  <c r="O22" i="1"/>
  <c r="L22" i="1"/>
  <c r="I22" i="1"/>
  <c r="E22" i="1"/>
  <c r="O11" i="1"/>
  <c r="O14" i="1"/>
  <c r="O25" i="1"/>
  <c r="L14" i="1"/>
  <c r="L11" i="1"/>
  <c r="L25" i="1"/>
  <c r="I11" i="1"/>
  <c r="I14" i="1"/>
  <c r="I25" i="1"/>
  <c r="E11" i="1"/>
  <c r="E14" i="1"/>
  <c r="E25" i="1"/>
  <c r="O6" i="1"/>
  <c r="L6" i="1"/>
  <c r="I6" i="1"/>
  <c r="H18" i="4" s="1"/>
  <c r="E6" i="1"/>
  <c r="O31" i="1"/>
  <c r="L31" i="1"/>
  <c r="E31" i="1"/>
  <c r="I31" i="1"/>
  <c r="O30" i="1"/>
  <c r="L30" i="1"/>
  <c r="I30" i="1"/>
  <c r="E30" i="1"/>
  <c r="O2" i="1"/>
  <c r="L2" i="1"/>
  <c r="I2" i="1"/>
  <c r="E2" i="1"/>
  <c r="E33" i="1"/>
  <c r="E17" i="1"/>
  <c r="E26" i="1"/>
  <c r="E35" i="1"/>
  <c r="E24" i="1"/>
  <c r="E32" i="1"/>
  <c r="E34" i="1"/>
  <c r="E5" i="1"/>
  <c r="E21" i="1"/>
  <c r="E7" i="1"/>
  <c r="E9" i="1"/>
  <c r="E8" i="1"/>
  <c r="E18" i="1"/>
  <c r="E16" i="1"/>
  <c r="E3" i="1"/>
  <c r="E4" i="1"/>
  <c r="E36" i="1"/>
  <c r="E29" i="1"/>
  <c r="E27" i="1"/>
  <c r="E23" i="1"/>
  <c r="E15" i="1"/>
  <c r="O4" i="1"/>
  <c r="L4" i="1"/>
  <c r="I4" i="1"/>
  <c r="O3" i="1"/>
  <c r="L3" i="1"/>
  <c r="I3" i="1"/>
  <c r="O16" i="1"/>
  <c r="O18" i="1"/>
  <c r="O8" i="1"/>
  <c r="L16" i="1"/>
  <c r="L18" i="1"/>
  <c r="L8" i="1"/>
  <c r="L32" i="1"/>
  <c r="I16" i="1"/>
  <c r="I18" i="1"/>
  <c r="I8" i="1"/>
  <c r="I32" i="1"/>
  <c r="O21" i="1"/>
  <c r="O7" i="1"/>
  <c r="O9" i="1"/>
  <c r="L7" i="1"/>
  <c r="L9" i="1"/>
  <c r="I7" i="1"/>
  <c r="I9" i="1"/>
  <c r="O27" i="1"/>
  <c r="O23" i="1"/>
  <c r="O36" i="1"/>
  <c r="O29" i="1"/>
  <c r="O33" i="1"/>
  <c r="O17" i="1"/>
  <c r="O26" i="1"/>
  <c r="O35" i="1"/>
  <c r="O24" i="1"/>
  <c r="O32" i="1"/>
  <c r="O34" i="1"/>
  <c r="O5" i="1"/>
  <c r="N6" i="4" s="1"/>
  <c r="O15" i="1"/>
  <c r="L27" i="1"/>
  <c r="L23" i="1"/>
  <c r="L36" i="1"/>
  <c r="L29" i="1"/>
  <c r="L33" i="1"/>
  <c r="L17" i="1"/>
  <c r="L26" i="1"/>
  <c r="L35" i="1"/>
  <c r="L24" i="1"/>
  <c r="L34" i="1"/>
  <c r="L5" i="1"/>
  <c r="L21" i="1"/>
  <c r="L15" i="1"/>
  <c r="I27" i="1"/>
  <c r="I23" i="1"/>
  <c r="I36" i="1"/>
  <c r="I29" i="1"/>
  <c r="I33" i="1"/>
  <c r="I17" i="1"/>
  <c r="I26" i="1"/>
  <c r="I35" i="1"/>
  <c r="I24" i="1"/>
  <c r="I34" i="1"/>
  <c r="I5" i="1"/>
  <c r="I21" i="1"/>
  <c r="I15" i="1"/>
  <c r="G8" i="12" l="1"/>
  <c r="G4" i="12"/>
  <c r="G6" i="12"/>
  <c r="G32" i="12"/>
  <c r="G13" i="12"/>
  <c r="I13" i="12"/>
  <c r="J13" i="12" s="1"/>
  <c r="G37" i="12"/>
  <c r="J35" i="12"/>
  <c r="G36" i="12"/>
  <c r="G20" i="12"/>
  <c r="M41" i="12"/>
  <c r="M25" i="12"/>
  <c r="M9" i="12"/>
  <c r="G27" i="12"/>
  <c r="J40" i="12"/>
  <c r="J39" i="12"/>
  <c r="M36" i="12"/>
  <c r="M35" i="12"/>
  <c r="M34" i="12"/>
  <c r="M18" i="12"/>
  <c r="M45" i="12"/>
  <c r="M44" i="12"/>
  <c r="M2" i="12"/>
  <c r="J34" i="12"/>
  <c r="J18" i="12"/>
  <c r="G31" i="12"/>
  <c r="G46" i="12"/>
  <c r="G30" i="12"/>
  <c r="G45" i="12"/>
  <c r="G29" i="12"/>
  <c r="G44" i="12"/>
  <c r="G43" i="12"/>
  <c r="G42" i="12"/>
  <c r="G41" i="12"/>
  <c r="G40" i="12"/>
  <c r="G39" i="12"/>
  <c r="G38" i="12"/>
  <c r="G35" i="12"/>
  <c r="G34" i="12"/>
  <c r="G33" i="12"/>
  <c r="G2" i="12"/>
  <c r="L31" i="11"/>
  <c r="L15" i="11"/>
  <c r="L7" i="11"/>
  <c r="L34" i="11"/>
  <c r="L18" i="11"/>
  <c r="I20" i="11"/>
  <c r="I23" i="11"/>
  <c r="I21" i="11"/>
  <c r="I19" i="11"/>
  <c r="I14" i="11"/>
  <c r="I13" i="11"/>
  <c r="I12" i="11"/>
  <c r="I16" i="11"/>
  <c r="I22" i="11"/>
  <c r="L5" i="11"/>
  <c r="L4" i="11"/>
  <c r="O23" i="11"/>
  <c r="O3" i="11"/>
  <c r="I10" i="11"/>
  <c r="N21" i="11"/>
  <c r="O21" i="11" s="1"/>
  <c r="I9" i="11"/>
  <c r="I24" i="11"/>
  <c r="O2" i="11"/>
  <c r="O22" i="11"/>
  <c r="L23" i="11"/>
  <c r="O26" i="11"/>
  <c r="O25" i="11"/>
  <c r="O35" i="11"/>
  <c r="O24" i="11"/>
  <c r="L6" i="11"/>
  <c r="L24" i="11"/>
  <c r="I3" i="11"/>
  <c r="I4" i="11"/>
  <c r="I5" i="11"/>
  <c r="I2" i="11"/>
  <c r="I7" i="11"/>
  <c r="I6" i="11"/>
  <c r="I34" i="11"/>
  <c r="I33" i="11"/>
  <c r="I32" i="11"/>
  <c r="I31" i="11"/>
  <c r="I30" i="11"/>
  <c r="I29" i="11"/>
  <c r="I28" i="11"/>
  <c r="I27" i="11"/>
  <c r="I26" i="11"/>
  <c r="I25" i="11"/>
  <c r="I36" i="11"/>
  <c r="I35" i="11"/>
  <c r="L8" i="11"/>
  <c r="O8" i="11"/>
  <c r="I8" i="11"/>
  <c r="AB34" i="10"/>
  <c r="AA34" i="10"/>
  <c r="AB37" i="10"/>
  <c r="AA37" i="10"/>
  <c r="AB24" i="10"/>
  <c r="AA24" i="10"/>
  <c r="D21" i="4"/>
  <c r="H21" i="4"/>
  <c r="H20" i="4"/>
  <c r="N8" i="4"/>
  <c r="AH25" i="8"/>
  <c r="R25" i="8"/>
  <c r="U11" i="8"/>
  <c r="X11" i="8"/>
  <c r="AA11" i="8"/>
  <c r="H5" i="8"/>
  <c r="W11" i="8"/>
  <c r="T11" i="8"/>
  <c r="D8" i="4"/>
  <c r="K18" i="4"/>
  <c r="K17" i="4"/>
  <c r="S25" i="8"/>
  <c r="U25" i="8"/>
  <c r="N21" i="4"/>
  <c r="D3" i="4"/>
  <c r="H4" i="4"/>
  <c r="W25" i="8"/>
  <c r="H22" i="4"/>
  <c r="K21" i="4"/>
  <c r="N17" i="4"/>
  <c r="N4" i="4"/>
  <c r="K4" i="4"/>
  <c r="K7" i="4"/>
  <c r="D7" i="4"/>
  <c r="O25" i="8"/>
  <c r="AE25" i="8"/>
  <c r="K5" i="4"/>
  <c r="N5" i="4"/>
  <c r="K6" i="4"/>
  <c r="N22" i="4"/>
  <c r="H8" i="4"/>
  <c r="X25" i="8"/>
  <c r="D22" i="4"/>
  <c r="D18" i="4"/>
  <c r="K22" i="4"/>
  <c r="K8" i="4"/>
  <c r="D5" i="4"/>
  <c r="D4" i="4"/>
  <c r="H7" i="4"/>
  <c r="H17" i="4"/>
  <c r="AA25" i="8"/>
  <c r="AB25" i="8"/>
  <c r="N7" i="4"/>
  <c r="H5" i="4"/>
  <c r="D20" i="4"/>
  <c r="AD25" i="8"/>
  <c r="S11" i="8"/>
  <c r="V11" i="8"/>
  <c r="H4" i="8"/>
  <c r="Y11" i="8"/>
  <c r="Z25" i="8"/>
  <c r="AC11" i="8"/>
  <c r="AD11" i="8"/>
  <c r="D6" i="8"/>
  <c r="AC25" i="8"/>
  <c r="P11" i="8"/>
  <c r="AF11" i="8"/>
  <c r="Q11" i="8"/>
  <c r="AG11" i="8"/>
  <c r="R11" i="8"/>
  <c r="AH11" i="8"/>
  <c r="Q25" i="8"/>
  <c r="K25" i="8"/>
  <c r="N25" i="8"/>
  <c r="AF25" i="8"/>
  <c r="D17" i="8"/>
  <c r="D25" i="8" s="1"/>
  <c r="T25" i="8"/>
  <c r="K3" i="8"/>
  <c r="K5" i="8"/>
  <c r="K6" i="8"/>
  <c r="V25" i="8"/>
  <c r="N3" i="8"/>
  <c r="N5" i="8"/>
  <c r="N6" i="8"/>
  <c r="H20" i="8"/>
  <c r="H25" i="8" s="1"/>
  <c r="AE11" i="8"/>
  <c r="Z11" i="8"/>
  <c r="Y25" i="8"/>
  <c r="O11" i="8"/>
  <c r="D3" i="8"/>
  <c r="AB11" i="8"/>
  <c r="P25" i="8"/>
  <c r="AG25" i="8"/>
  <c r="D6" i="4"/>
  <c r="N19" i="4"/>
  <c r="H6" i="4"/>
  <c r="N3" i="4"/>
  <c r="H3" i="4"/>
  <c r="D17" i="4"/>
  <c r="N20" i="4"/>
  <c r="N18" i="4"/>
  <c r="K20" i="4"/>
  <c r="K3" i="4"/>
  <c r="X11" i="4"/>
  <c r="W11" i="4"/>
  <c r="S11" i="4"/>
  <c r="U11" i="4"/>
  <c r="T11" i="4"/>
  <c r="V11" i="4"/>
  <c r="R11" i="4"/>
  <c r="AC11" i="4"/>
  <c r="AB11" i="4"/>
  <c r="AA11" i="4"/>
  <c r="P11" i="4"/>
  <c r="Z11" i="4"/>
  <c r="Y11" i="4"/>
  <c r="T25" i="4"/>
  <c r="Q11" i="4"/>
  <c r="K19" i="4"/>
  <c r="H19" i="4"/>
  <c r="D19" i="4"/>
  <c r="Y25" i="4"/>
  <c r="U25" i="4"/>
  <c r="O11" i="4"/>
  <c r="AB25" i="4"/>
  <c r="X25" i="4"/>
  <c r="V25" i="4"/>
  <c r="W25" i="4"/>
  <c r="AC25" i="4"/>
  <c r="O25" i="4"/>
  <c r="AA25" i="4"/>
  <c r="Z25" i="4"/>
  <c r="P25" i="4"/>
  <c r="S25" i="4"/>
  <c r="R25" i="4"/>
  <c r="Q25" i="4"/>
  <c r="C36" i="8" l="1"/>
  <c r="H11" i="8"/>
  <c r="C31" i="8" s="1"/>
  <c r="D31" i="8" s="1"/>
  <c r="D34" i="8"/>
  <c r="N11" i="4"/>
  <c r="D11" i="4"/>
  <c r="H25" i="4"/>
  <c r="K25" i="4"/>
  <c r="K11" i="4"/>
  <c r="H11" i="4"/>
  <c r="C34" i="8"/>
  <c r="D35" i="8"/>
  <c r="D36" i="8"/>
  <c r="C35" i="8"/>
  <c r="K11" i="8"/>
  <c r="C32" i="8" s="1"/>
  <c r="D32" i="8" s="1"/>
  <c r="D11" i="8"/>
  <c r="C30" i="8" s="1"/>
  <c r="D30" i="8" s="1"/>
  <c r="N11" i="8"/>
  <c r="C33" i="8" s="1"/>
  <c r="D33" i="8" s="1"/>
  <c r="N25" i="4"/>
  <c r="D25" i="4"/>
  <c r="D36" i="4"/>
  <c r="D35" i="4"/>
  <c r="D34" i="4"/>
  <c r="C36" i="4"/>
  <c r="C35" i="4"/>
  <c r="C34" i="4"/>
  <c r="C32" i="4" l="1"/>
  <c r="D32" i="4" s="1"/>
  <c r="C33" i="4"/>
  <c r="D33" i="4" s="1"/>
  <c r="C30" i="4"/>
  <c r="D30" i="4" s="1"/>
  <c r="C31" i="4"/>
  <c r="D31" i="4" s="1"/>
  <c r="J2" i="12"/>
</calcChain>
</file>

<file path=xl/sharedStrings.xml><?xml version="1.0" encoding="utf-8"?>
<sst xmlns="http://schemas.openxmlformats.org/spreadsheetml/2006/main" count="1418" uniqueCount="141">
  <si>
    <t>Player</t>
  </si>
  <si>
    <t>Hopes</t>
  </si>
  <si>
    <t>Perception</t>
  </si>
  <si>
    <t>Merk N U</t>
  </si>
  <si>
    <t>Wankr</t>
  </si>
  <si>
    <t>Poland</t>
  </si>
  <si>
    <t>Tailgunner</t>
  </si>
  <si>
    <t>Kills</t>
  </si>
  <si>
    <t>Wins</t>
  </si>
  <si>
    <t>Scharins</t>
  </si>
  <si>
    <t>Carnival</t>
  </si>
  <si>
    <t>Trainyard</t>
  </si>
  <si>
    <t>Airport 2</t>
  </si>
  <si>
    <t>Pancake</t>
  </si>
  <si>
    <t>Velocity</t>
  </si>
  <si>
    <t>Motion</t>
  </si>
  <si>
    <t>Maps</t>
  </si>
  <si>
    <t>Rooks</t>
  </si>
  <si>
    <t>Tony</t>
  </si>
  <si>
    <t>Carnage</t>
  </si>
  <si>
    <t>Mamba</t>
  </si>
  <si>
    <t>Losses</t>
  </si>
  <si>
    <t>Matches</t>
  </si>
  <si>
    <t>Rounds</t>
  </si>
  <si>
    <t>%</t>
  </si>
  <si>
    <t>Crusha</t>
  </si>
  <si>
    <t>Engineer</t>
  </si>
  <si>
    <t>Driver</t>
  </si>
  <si>
    <t>Kyle</t>
  </si>
  <si>
    <t>Itch</t>
  </si>
  <si>
    <t>Training</t>
  </si>
  <si>
    <t>Meat Factory</t>
  </si>
  <si>
    <t>Garage</t>
  </si>
  <si>
    <t>Close Quarters</t>
  </si>
  <si>
    <t>Budden</t>
  </si>
  <si>
    <t>Cajun</t>
  </si>
  <si>
    <t>Avg. Kills</t>
  </si>
  <si>
    <t>AJ</t>
  </si>
  <si>
    <t>Predator</t>
  </si>
  <si>
    <t>Warehouse</t>
  </si>
  <si>
    <t>Reality</t>
  </si>
  <si>
    <t>Airport 1</t>
  </si>
  <si>
    <t>Choi</t>
  </si>
  <si>
    <t>NinjaX</t>
  </si>
  <si>
    <t>Frag N Clear</t>
  </si>
  <si>
    <t>FlyinRyan</t>
  </si>
  <si>
    <t>Juvey</t>
  </si>
  <si>
    <t>MeatMan</t>
  </si>
  <si>
    <t>CSL</t>
  </si>
  <si>
    <t>Highest Single Game Kills</t>
  </si>
  <si>
    <t>Focus</t>
  </si>
  <si>
    <t>Lethal</t>
  </si>
  <si>
    <t>Fox</t>
  </si>
  <si>
    <t>Legend</t>
  </si>
  <si>
    <t>Phenom</t>
  </si>
  <si>
    <t>Wizzo</t>
  </si>
  <si>
    <t>Presidio</t>
  </si>
  <si>
    <t>Peaks</t>
  </si>
  <si>
    <t>Old City</t>
  </si>
  <si>
    <t>Trophies</t>
  </si>
  <si>
    <t>🏆</t>
  </si>
  <si>
    <t>MVPs</t>
  </si>
  <si>
    <t>Kesba</t>
  </si>
  <si>
    <t>Café</t>
  </si>
  <si>
    <t>Map Wins</t>
  </si>
  <si>
    <t>Import / Export</t>
  </si>
  <si>
    <t>Rocket Facility</t>
  </si>
  <si>
    <t>Old Ruins</t>
  </si>
  <si>
    <t>Subway</t>
  </si>
  <si>
    <t>Back Alleys</t>
  </si>
  <si>
    <t>Vengeful</t>
  </si>
  <si>
    <t>Broken</t>
  </si>
  <si>
    <t>Streets of Milan</t>
  </si>
  <si>
    <t>Military Base</t>
  </si>
  <si>
    <t>Erock</t>
  </si>
  <si>
    <t>GREEN TEAM</t>
  </si>
  <si>
    <t>🏆🏆*</t>
  </si>
  <si>
    <t>RED TEAM</t>
  </si>
  <si>
    <t>Empty</t>
  </si>
  <si>
    <t>-</t>
  </si>
  <si>
    <t>empty</t>
  </si>
  <si>
    <t>Green Team</t>
  </si>
  <si>
    <t>Red Team</t>
  </si>
  <si>
    <t>Match Win %</t>
  </si>
  <si>
    <t>Map Win %</t>
  </si>
  <si>
    <t>Round Win %</t>
  </si>
  <si>
    <t>Best Map 1</t>
  </si>
  <si>
    <t>Best Map 2</t>
  </si>
  <si>
    <t>Best Map 3</t>
  </si>
  <si>
    <t>Fallen</t>
  </si>
  <si>
    <t>Ortega</t>
  </si>
  <si>
    <t>Nuclear Reactor</t>
  </si>
  <si>
    <t>Office Complex</t>
  </si>
  <si>
    <t>Agora</t>
  </si>
  <si>
    <t>Weakness</t>
  </si>
  <si>
    <t>Observatory</t>
  </si>
  <si>
    <t>Village</t>
  </si>
  <si>
    <t>Match Wins</t>
  </si>
  <si>
    <t>Match Losses</t>
  </si>
  <si>
    <t>Round Wins</t>
  </si>
  <si>
    <t>Round Losses</t>
  </si>
  <si>
    <t>Map Losses</t>
  </si>
  <si>
    <t>Frag</t>
  </si>
  <si>
    <t>AttackRuby</t>
  </si>
  <si>
    <t>Pumping Station</t>
  </si>
  <si>
    <t>RuhnR</t>
  </si>
  <si>
    <t>Harbor Warehouse</t>
  </si>
  <si>
    <t>Wartz</t>
  </si>
  <si>
    <t>DropShot</t>
  </si>
  <si>
    <t>*2/5/26 exhibition match not included, match not finished</t>
  </si>
  <si>
    <t>*1/30/26 exhibition match 2 not included, match not finished</t>
  </si>
  <si>
    <t>*2/22/26 match not included, Tony fell asleep</t>
  </si>
  <si>
    <t>Ferry Boat</t>
  </si>
  <si>
    <t>Undisputed</t>
  </si>
  <si>
    <t>Bullets</t>
  </si>
  <si>
    <t>DevilDuck</t>
  </si>
  <si>
    <t>Castle</t>
  </si>
  <si>
    <t>*2/28/26 match did not have kills for both teams</t>
  </si>
  <si>
    <t>Sureshol</t>
  </si>
  <si>
    <t>*2/19 match not added due to incomplete data</t>
  </si>
  <si>
    <t>*1/31 match not added due to incomplete data</t>
  </si>
  <si>
    <t>Map %</t>
  </si>
  <si>
    <t>Round %</t>
  </si>
  <si>
    <t>Match %</t>
  </si>
  <si>
    <t>🏆🏆</t>
  </si>
  <si>
    <t>Includes match data from 1/1/26 thru 3/1/26</t>
  </si>
  <si>
    <t>Date</t>
  </si>
  <si>
    <t>Match Result</t>
  </si>
  <si>
    <t>Maps Played</t>
  </si>
  <si>
    <t>Maps Won</t>
  </si>
  <si>
    <t>Rds Played</t>
  </si>
  <si>
    <t>Rds Won</t>
  </si>
  <si>
    <t>Running Avg. Maps</t>
  </si>
  <si>
    <t>R Avg Rounds</t>
  </si>
  <si>
    <t>Overall Avg Kills</t>
  </si>
  <si>
    <t>Winter Lodge</t>
  </si>
  <si>
    <t>Running Avg. Matches</t>
  </si>
  <si>
    <t>Meatman</t>
  </si>
  <si>
    <t>Tail</t>
  </si>
  <si>
    <t>Entomb</t>
  </si>
  <si>
    <t>Hobbs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</si>
</sst>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2"/>
      <color rgb="FF001D35"/>
      <name val="Arial"/>
      <family val="2"/>
    </font>
    <font>
      <b/>
      <sz val="16"/>
      <color theme="0"/>
      <name val="Calibri"/>
      <family val="2"/>
      <scheme val="minor"/>
    </font>
    <font>
      <sz val="11"/>
      <color rgb="FF000000"/>
      <name val="Calibri"/>
    </font>
    <font>
      <b/>
      <sz val="12"/>
      <color rgb="FF001D35"/>
      <name val="Arial"/>
      <family val="2"/>
    </font>
    <font>
      <b/>
      <sz val="13"/>
      <color rgb="FF000000"/>
      <name val="Calibri"/>
      <family val="2"/>
    </font>
    <font>
      <sz val="10"/>
      <color theme="1"/>
      <name val="Calibri"/>
      <scheme val="minor"/>
    </font>
  </fonts>
  <fills count="7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1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114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  <xf numFmtId="0" fontId="2" fillId="0" borderId="0" xfId="0" applyFont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2" fillId="0" borderId="0" xfId="0" applyFont="1" applyAlignment="1">
      <alignment horizontal="center"/>
    </xf>
    <xf numFmtId="0" fontId="4" fillId="0" borderId="0" xfId="0" applyFont="1" applyAlignment="1">
      <alignment horizontal="center" vertical="center"/>
    </xf>
    <xf numFmtId="0" fontId="0" fillId="2" borderId="0" xfId="0" applyFill="1" applyAlignment="1">
      <alignment horizontal="center" vertical="center"/>
    </xf>
    <xf numFmtId="1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/>
    </xf>
    <xf numFmtId="0" fontId="3" fillId="3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2" fillId="5" borderId="9" xfId="0" applyFont="1" applyFill="1" applyBorder="1" applyAlignment="1">
      <alignment horizontal="center" vertical="center"/>
    </xf>
    <xf numFmtId="0" fontId="0" fillId="5" borderId="7" xfId="0" applyFill="1" applyBorder="1" applyAlignment="1">
      <alignment horizontal="center" vertical="center"/>
    </xf>
    <xf numFmtId="0" fontId="0" fillId="5" borderId="8" xfId="0" applyFill="1" applyBorder="1" applyAlignment="1">
      <alignment horizontal="center" vertical="center"/>
    </xf>
    <xf numFmtId="0" fontId="2" fillId="5" borderId="10" xfId="0" applyFont="1" applyFill="1" applyBorder="1" applyAlignment="1">
      <alignment horizontal="center" vertical="center" wrapText="1"/>
    </xf>
    <xf numFmtId="0" fontId="2" fillId="5" borderId="11" xfId="0" applyFont="1" applyFill="1" applyBorder="1" applyAlignment="1">
      <alignment horizontal="center" vertical="center" wrapText="1"/>
    </xf>
    <xf numFmtId="0" fontId="0" fillId="5" borderId="4" xfId="0" applyFill="1" applyBorder="1" applyAlignment="1">
      <alignment horizontal="center" vertical="center"/>
    </xf>
    <xf numFmtId="0" fontId="0" fillId="5" borderId="6" xfId="0" applyFill="1" applyBorder="1" applyAlignment="1">
      <alignment horizontal="center" vertical="center"/>
    </xf>
    <xf numFmtId="0" fontId="2" fillId="0" borderId="0" xfId="0" applyFont="1"/>
    <xf numFmtId="0" fontId="2" fillId="5" borderId="4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 wrapText="1"/>
    </xf>
    <xf numFmtId="0" fontId="2" fillId="5" borderId="6" xfId="0" applyFont="1" applyFill="1" applyBorder="1" applyAlignment="1">
      <alignment horizontal="center" vertical="center"/>
    </xf>
    <xf numFmtId="0" fontId="2" fillId="5" borderId="6" xfId="0" applyFont="1" applyFill="1" applyBorder="1" applyAlignment="1">
      <alignment horizontal="center" vertical="center" wrapText="1"/>
    </xf>
    <xf numFmtId="2" fontId="0" fillId="5" borderId="0" xfId="0" applyNumberFormat="1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9" fontId="0" fillId="5" borderId="8" xfId="1" applyFont="1" applyFill="1" applyBorder="1" applyAlignment="1">
      <alignment horizontal="center" vertical="center"/>
    </xf>
    <xf numFmtId="2" fontId="0" fillId="5" borderId="5" xfId="0" applyNumberFormat="1" applyFill="1" applyBorder="1" applyAlignment="1">
      <alignment horizontal="center" vertical="center"/>
    </xf>
    <xf numFmtId="0" fontId="0" fillId="5" borderId="5" xfId="0" applyFill="1" applyBorder="1" applyAlignment="1">
      <alignment horizontal="center" vertical="center"/>
    </xf>
    <xf numFmtId="9" fontId="0" fillId="5" borderId="6" xfId="1" applyFont="1" applyFill="1" applyBorder="1" applyAlignment="1">
      <alignment horizontal="center" vertical="center"/>
    </xf>
    <xf numFmtId="0" fontId="2" fillId="5" borderId="12" xfId="0" applyFont="1" applyFill="1" applyBorder="1" applyAlignment="1">
      <alignment horizontal="center" vertical="center"/>
    </xf>
    <xf numFmtId="0" fontId="2" fillId="5" borderId="13" xfId="0" applyFont="1" applyFill="1" applyBorder="1" applyAlignment="1">
      <alignment horizontal="center" vertical="center"/>
    </xf>
    <xf numFmtId="0" fontId="2" fillId="5" borderId="14" xfId="0" applyFont="1" applyFill="1" applyBorder="1" applyAlignment="1">
      <alignment horizontal="center" vertical="center" wrapText="1"/>
    </xf>
    <xf numFmtId="0" fontId="0" fillId="0" borderId="7" xfId="0" applyBorder="1" applyAlignment="1">
      <alignment horizontal="center" vertical="center"/>
    </xf>
    <xf numFmtId="1" fontId="0" fillId="0" borderId="8" xfId="0" applyNumberFormat="1" applyBorder="1" applyAlignment="1">
      <alignment horizontal="center" vertical="center"/>
    </xf>
    <xf numFmtId="0" fontId="0" fillId="0" borderId="7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4" xfId="0" applyBorder="1" applyAlignment="1">
      <alignment horizontal="center" vertical="center"/>
    </xf>
    <xf numFmtId="2" fontId="0" fillId="0" borderId="5" xfId="0" applyNumberFormat="1" applyBorder="1" applyAlignment="1">
      <alignment horizontal="center" vertical="center"/>
    </xf>
    <xf numFmtId="1" fontId="0" fillId="0" borderId="6" xfId="0" applyNumberFormat="1" applyBorder="1" applyAlignment="1">
      <alignment horizontal="center" vertical="center"/>
    </xf>
    <xf numFmtId="9" fontId="0" fillId="0" borderId="8" xfId="1" applyFont="1" applyBorder="1" applyAlignment="1">
      <alignment horizontal="center" vertical="center"/>
    </xf>
    <xf numFmtId="9" fontId="0" fillId="0" borderId="8" xfId="1" applyFont="1" applyBorder="1" applyAlignment="1">
      <alignment horizontal="center"/>
    </xf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9" fontId="0" fillId="0" borderId="6" xfId="1" applyFont="1" applyBorder="1" applyAlignment="1">
      <alignment horizontal="center"/>
    </xf>
    <xf numFmtId="0" fontId="2" fillId="5" borderId="14" xfId="0" applyFont="1" applyFill="1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2" fillId="5" borderId="4" xfId="0" applyFont="1" applyFill="1" applyBorder="1" applyAlignment="1">
      <alignment horizontal="center" vertical="center" wrapText="1"/>
    </xf>
    <xf numFmtId="0" fontId="2" fillId="5" borderId="12" xfId="0" applyFont="1" applyFill="1" applyBorder="1" applyAlignment="1">
      <alignment horizontal="center" vertical="center" wrapText="1"/>
    </xf>
    <xf numFmtId="0" fontId="2" fillId="5" borderId="13" xfId="0" applyFont="1" applyFill="1" applyBorder="1" applyAlignment="1">
      <alignment horizontal="center" vertical="center" wrapText="1"/>
    </xf>
    <xf numFmtId="14" fontId="0" fillId="0" borderId="0" xfId="0" applyNumberFormat="1" applyAlignment="1">
      <alignment horizontal="center"/>
    </xf>
    <xf numFmtId="0" fontId="6" fillId="0" borderId="0" xfId="0" applyFont="1"/>
    <xf numFmtId="0" fontId="0" fillId="5" borderId="2" xfId="0" applyFill="1" applyBorder="1"/>
    <xf numFmtId="0" fontId="0" fillId="5" borderId="3" xfId="0" applyFill="1" applyBorder="1"/>
    <xf numFmtId="0" fontId="0" fillId="5" borderId="5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/>
    </xf>
    <xf numFmtId="1" fontId="0" fillId="5" borderId="0" xfId="0" applyNumberFormat="1" applyFill="1" applyAlignment="1">
      <alignment horizontal="center" vertical="center"/>
    </xf>
    <xf numFmtId="1" fontId="0" fillId="5" borderId="5" xfId="0" applyNumberForma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3" fillId="4" borderId="8" xfId="0" applyFont="1" applyFill="1" applyBorder="1" applyAlignment="1">
      <alignment horizontal="center" vertical="center"/>
    </xf>
    <xf numFmtId="0" fontId="0" fillId="5" borderId="4" xfId="0" applyFill="1" applyBorder="1" applyAlignment="1">
      <alignment horizontal="center" vertical="center" wrapText="1"/>
    </xf>
    <xf numFmtId="0" fontId="0" fillId="5" borderId="6" xfId="0" applyFill="1" applyBorder="1" applyAlignment="1">
      <alignment horizontal="center" vertical="center" wrapText="1"/>
    </xf>
    <xf numFmtId="0" fontId="0" fillId="0" borderId="8" xfId="0" applyBorder="1" applyAlignment="1">
      <alignment horizontal="center"/>
    </xf>
    <xf numFmtId="1" fontId="0" fillId="0" borderId="0" xfId="0" applyNumberFormat="1" applyAlignment="1">
      <alignment horizontal="center" vertical="center"/>
    </xf>
    <xf numFmtId="1" fontId="0" fillId="0" borderId="5" xfId="0" applyNumberFormat="1" applyBorder="1" applyAlignment="1">
      <alignment horizontal="center" vertical="center"/>
    </xf>
    <xf numFmtId="0" fontId="0" fillId="0" borderId="12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 wrapText="1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2" fontId="0" fillId="5" borderId="8" xfId="1" applyNumberFormat="1" applyFont="1" applyFill="1" applyBorder="1" applyAlignment="1">
      <alignment horizontal="center" vertical="center"/>
    </xf>
    <xf numFmtId="2" fontId="0" fillId="5" borderId="6" xfId="1" applyNumberFormat="1" applyFont="1" applyFill="1" applyBorder="1" applyAlignment="1">
      <alignment horizontal="center" vertical="center"/>
    </xf>
    <xf numFmtId="2" fontId="0" fillId="0" borderId="8" xfId="1" applyNumberFormat="1" applyFont="1" applyBorder="1" applyAlignment="1">
      <alignment horizontal="center" vertical="center"/>
    </xf>
    <xf numFmtId="2" fontId="0" fillId="0" borderId="6" xfId="1" applyNumberFormat="1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/>
    </xf>
    <xf numFmtId="0" fontId="2" fillId="0" borderId="5" xfId="0" applyFont="1" applyBorder="1" applyAlignment="1">
      <alignment horizontal="center" vertical="center" wrapText="1"/>
    </xf>
    <xf numFmtId="0" fontId="2" fillId="0" borderId="6" xfId="0" applyFont="1" applyBorder="1" applyAlignment="1">
      <alignment horizontal="center" vertical="center"/>
    </xf>
    <xf numFmtId="0" fontId="7" fillId="0" borderId="0" xfId="0" applyFont="1" applyAlignment="1">
      <alignment horizontal="center"/>
    </xf>
    <xf numFmtId="16" fontId="0" fillId="0" borderId="0" xfId="0" applyNumberFormat="1"/>
    <xf numFmtId="0" fontId="8" fillId="0" borderId="0" xfId="0" applyFont="1"/>
    <xf numFmtId="0" fontId="9" fillId="0" borderId="0" xfId="0" applyFont="1" applyAlignment="1">
      <alignment wrapText="1"/>
    </xf>
    <xf numFmtId="0" fontId="2" fillId="5" borderId="0" xfId="0" applyFont="1" applyFill="1" applyAlignment="1">
      <alignment horizontal="center" vertical="center" wrapText="1"/>
    </xf>
    <xf numFmtId="164" fontId="9" fillId="0" borderId="0" xfId="0" applyNumberFormat="1" applyFont="1"/>
    <xf numFmtId="2" fontId="0" fillId="0" borderId="0" xfId="0" applyNumberFormat="1"/>
    <xf numFmtId="0" fontId="6" fillId="0" borderId="0" xfId="0" applyFont="1"/>
    <xf numFmtId="0" fontId="0" fillId="0" borderId="0" xfId="0"/>
    <xf numFmtId="0" fontId="5" fillId="4" borderId="0" xfId="0" applyFont="1" applyFill="1" applyAlignment="1">
      <alignment horizontal="center" vertical="center" textRotation="90"/>
    </xf>
    <xf numFmtId="0" fontId="2" fillId="5" borderId="1" xfId="0" applyFont="1" applyFill="1" applyBorder="1" applyAlignment="1">
      <alignment horizontal="center" vertical="center"/>
    </xf>
    <xf numFmtId="0" fontId="2" fillId="5" borderId="2" xfId="0" applyFont="1" applyFill="1" applyBorder="1" applyAlignment="1">
      <alignment horizontal="center" vertical="center"/>
    </xf>
    <xf numFmtId="0" fontId="2" fillId="5" borderId="3" xfId="0" applyFont="1" applyFill="1" applyBorder="1" applyAlignment="1">
      <alignment horizontal="center" vertical="center"/>
    </xf>
    <xf numFmtId="0" fontId="5" fillId="3" borderId="0" xfId="0" applyFont="1" applyFill="1" applyAlignment="1">
      <alignment horizontal="center" vertical="center" textRotation="90"/>
    </xf>
    <xf numFmtId="2" fontId="9" fillId="0" borderId="0" xfId="0" applyNumberFormat="1" applyFont="1" applyAlignment="1">
      <alignment wrapText="1"/>
    </xf>
    <xf numFmtId="0" fontId="0" fillId="0" borderId="0" xfId="0" applyNumberFormat="1"/>
    <xf numFmtId="0" fontId="9" fillId="0" borderId="0" xfId="0" applyNumberFormat="1" applyFont="1" applyAlignment="1">
      <alignment wrapText="1"/>
    </xf>
    <xf numFmtId="0" fontId="0" fillId="0" borderId="0" xfId="0" applyFill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9" fontId="0" fillId="0" borderId="8" xfId="1" applyFont="1" applyFill="1" applyBorder="1" applyAlignment="1">
      <alignment horizontal="center" vertical="center"/>
    </xf>
    <xf numFmtId="0" fontId="0" fillId="0" borderId="0" xfId="0" applyFill="1"/>
    <xf numFmtId="0" fontId="0" fillId="6" borderId="7" xfId="0" applyFill="1" applyBorder="1" applyAlignment="1">
      <alignment horizontal="center" vertical="center"/>
    </xf>
    <xf numFmtId="2" fontId="0" fillId="6" borderId="0" xfId="0" applyNumberFormat="1" applyFill="1" applyAlignment="1">
      <alignment horizontal="center" vertical="center"/>
    </xf>
    <xf numFmtId="1" fontId="0" fillId="6" borderId="8" xfId="0" applyNumberFormat="1" applyFill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6" borderId="0" xfId="0" applyFill="1" applyBorder="1" applyAlignment="1">
      <alignment horizontal="center" vertical="center"/>
    </xf>
    <xf numFmtId="164" fontId="9" fillId="0" borderId="0" xfId="0" applyNumberFormat="1" applyFont="1" applyFill="1"/>
    <xf numFmtId="2" fontId="0" fillId="0" borderId="0" xfId="1" applyNumberFormat="1" applyFont="1" applyBorder="1" applyAlignment="1">
      <alignment horizontal="center" vertical="center"/>
    </xf>
    <xf numFmtId="2" fontId="0" fillId="0" borderId="5" xfId="1" applyNumberFormat="1" applyFont="1" applyBorder="1" applyAlignment="1">
      <alignment horizontal="center" vertical="center"/>
    </xf>
    <xf numFmtId="0" fontId="0" fillId="0" borderId="1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 wrapText="1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0" xfId="0" applyBorder="1" applyAlignment="1">
      <alignment horizontal="center" vertic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72405B-8FFD-4E0F-BC56-B4D0A9588F9C}">
  <dimension ref="A1:AD44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P2" sqref="P2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101">
        <f>SUMIFS('OB History'!C:C,'OB History'!B:B,A2)</f>
        <v>190</v>
      </c>
      <c r="E2" s="102">
        <f>AVERAGEIFS('OB History'!C:C,'OB History'!B:B,A2)</f>
        <v>17.272727272727273</v>
      </c>
      <c r="F2" s="103">
        <f t="array" ref="F2">MAX(IF('OB History'!B:B=A2, 'OB History'!C:C))</f>
        <v>25</v>
      </c>
      <c r="G2" s="101">
        <f>COUNTIFS('OB History'!B:B,A2,'OB History'!D:D, 1)</f>
        <v>4</v>
      </c>
      <c r="H2" s="104">
        <f>COUNTIFS('OB History'!B:B,A2,'OB History'!D:D, 0)</f>
        <v>7</v>
      </c>
      <c r="I2" s="41">
        <f t="shared" ref="I2:I36" si="0">G2/(G2+H2)</f>
        <v>0.36363636363636365</v>
      </c>
      <c r="J2" s="101">
        <f>SUMIFS('OB History'!F:F,'OB History'!B:B,A2)</f>
        <v>20</v>
      </c>
      <c r="K2" s="104">
        <f>SUMIFS('OB History'!E:E,'OB History'!B:B,A2)-J2</f>
        <v>24</v>
      </c>
      <c r="L2" s="41">
        <f t="shared" ref="L2:L36" si="1">J2/(J2+K2)</f>
        <v>0.45454545454545453</v>
      </c>
      <c r="M2" s="101">
        <f>SUMIFS('OB History'!H:H,'OB History'!B:B,A2)</f>
        <v>83</v>
      </c>
      <c r="N2" s="104">
        <f>SUMIFS('OB History'!G:G,'OB History'!B:B,A2)-M2</f>
        <v>95</v>
      </c>
      <c r="O2" s="41">
        <f t="shared" ref="O2:O36" si="2">M2/(M2+N2)</f>
        <v>0.46629213483146065</v>
      </c>
      <c r="P2" s="105">
        <f>COUNTIFS('OB History'!$B:$B,$A$2,'OB History'!K:K, 1)</f>
        <v>3</v>
      </c>
      <c r="Q2" s="105">
        <f>COUNTIFS('OB History'!$B:$B,$A$2,'OB History'!L:L, 1)</f>
        <v>0</v>
      </c>
      <c r="R2" s="105">
        <f>COUNTIFS('OB History'!$B:$B,$A$2,'OB History'!M:M, 1)</f>
        <v>0</v>
      </c>
      <c r="S2" s="105">
        <f>COUNTIFS('OB History'!$B:$B,$A$2,'OB History'!N:N, 1)</f>
        <v>3</v>
      </c>
      <c r="T2" s="105">
        <f>COUNTIFS('OB History'!$B:$B,$A$2,'OB History'!O:O, 1)</f>
        <v>0</v>
      </c>
      <c r="U2" s="105">
        <f>COUNTIFS('OB History'!$B:$B,$A$2,'OB History'!P:P, 1)</f>
        <v>3</v>
      </c>
      <c r="V2" s="105">
        <f>COUNTIFS('OB History'!$B:$B,$A$2,'OB History'!Q:Q, 1)</f>
        <v>0</v>
      </c>
      <c r="W2" s="105">
        <f>COUNTIFS('OB History'!$B:$B,$A$2,'OB History'!R:R, 1)</f>
        <v>0</v>
      </c>
      <c r="X2" s="105">
        <f>COUNTIFS('OB History'!$B:$B,$A$2,'OB History'!S:S, 1)</f>
        <v>0</v>
      </c>
      <c r="Y2" s="105">
        <f>COUNTIFS('OB History'!$B:$B,$A$2,'OB History'!T:T, 1)</f>
        <v>0</v>
      </c>
      <c r="Z2" s="105">
        <f>COUNTIFS('OB History'!$B:$B,$A$2,'OB History'!U:U, 1)</f>
        <v>0</v>
      </c>
      <c r="AA2" s="105">
        <f>COUNTIFS('OB History'!$B:$B,$A$2,'OB History'!V:V, 1)</f>
        <v>1</v>
      </c>
      <c r="AB2" s="105">
        <f>COUNTIFS('OB History'!$B:$B,$A$2,'OB History'!W:W, 1)</f>
        <v>5</v>
      </c>
      <c r="AC2" s="105">
        <f>COUNTIFS('OB History'!$B:$B,$A$2,'OB History'!X:X, 1)</f>
        <v>1</v>
      </c>
      <c r="AD2" s="105">
        <f>COUNTIFS('OB History'!$B:$B,$A$2,'OB History'!Y:Y, 1)</f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101">
        <f>SUMIFS('OB History'!C:C,'OB History'!B:B,A3)</f>
        <v>11</v>
      </c>
      <c r="E3" s="102">
        <f>AVERAGEIFS('OB History'!C:C,'OB History'!B:B,A3)</f>
        <v>5.5</v>
      </c>
      <c r="F3" s="103">
        <f t="array" ref="F3">MAX(IF('OB History'!B:B=A3, 'OB History'!C:C))</f>
        <v>6</v>
      </c>
      <c r="G3" s="101">
        <f>COUNTIFS('OB History'!B:B,A3,'OB History'!D:D, 1)</f>
        <v>2</v>
      </c>
      <c r="H3" s="104">
        <f>COUNTIFS('OB History'!B:B,A3,'OB History'!D:D, 0)</f>
        <v>0</v>
      </c>
      <c r="I3" s="41">
        <f t="shared" si="0"/>
        <v>1</v>
      </c>
      <c r="J3" s="101">
        <f>SUMIFS('OB History'!F:F,'OB History'!B:B,A3)</f>
        <v>6</v>
      </c>
      <c r="K3" s="104">
        <f>SUMIFS('OB History'!E:E,'OB History'!B:B,A3)-J3</f>
        <v>1</v>
      </c>
      <c r="L3" s="41">
        <f t="shared" si="1"/>
        <v>0.8571428571428571</v>
      </c>
      <c r="M3" s="101">
        <f>SUMIFS('OB History'!H:H,'OB History'!B:B,'Old Bow v2'!A3)</f>
        <v>19</v>
      </c>
      <c r="N3" s="104">
        <f>SUMIFS('OB History'!G:G,'OB History'!B:B,'Old Bow v2'!A3)-M3</f>
        <v>8</v>
      </c>
      <c r="O3" s="41">
        <f t="shared" si="2"/>
        <v>0.70370370370370372</v>
      </c>
      <c r="P3" s="105">
        <f>COUNTIFS('OB History'!$B:$B,$A$3,'OB History'!K:K, 1)</f>
        <v>0</v>
      </c>
      <c r="Q3" s="105">
        <f>COUNTIFS('OB History'!$B:$B,$A$3,'OB History'!L:L, 1)</f>
        <v>1</v>
      </c>
      <c r="R3" s="105">
        <f>COUNTIFS('OB History'!$B:$B,$A$3,'OB History'!M:M, 1)</f>
        <v>0</v>
      </c>
      <c r="S3" s="105">
        <f>COUNTIFS('OB History'!$B:$B,$A$3,'OB History'!N:N, 1)</f>
        <v>2</v>
      </c>
      <c r="T3" s="105">
        <f>COUNTIFS('OB History'!$B:$B,$A$3,'OB History'!O:O, 1)</f>
        <v>0</v>
      </c>
      <c r="U3" s="105">
        <f>COUNTIFS('OB History'!$B:$B,$A$3,'OB History'!P:P, 1)</f>
        <v>1</v>
      </c>
      <c r="V3" s="105">
        <f>COUNTIFS('OB History'!$B:$B,$A$3,'OB History'!Q:Q, 1)</f>
        <v>0</v>
      </c>
      <c r="W3" s="105">
        <f>COUNTIFS('OB History'!$B:$B,$A$3,'OB History'!R:R, 1)</f>
        <v>0</v>
      </c>
      <c r="X3" s="105">
        <f>COUNTIFS('OB History'!$B:$B,$A$3,'OB History'!S:S, 1)</f>
        <v>0</v>
      </c>
      <c r="Y3" s="105">
        <f>COUNTIFS('OB History'!$B:$B,$A$3,'OB History'!T:T, 1)</f>
        <v>0</v>
      </c>
      <c r="Z3" s="105">
        <f>COUNTIFS('OB History'!$B:$B,$A$3,'OB History'!U:U, 1)</f>
        <v>0</v>
      </c>
      <c r="AA3" s="105">
        <f>COUNTIFS('OB History'!$B:$B,$A$3,'OB History'!V:V, 1)</f>
        <v>1</v>
      </c>
      <c r="AB3" s="105">
        <f>COUNTIFS('OB History'!$B:$B,$A$3,'OB History'!W:W, 1)</f>
        <v>1</v>
      </c>
      <c r="AC3" s="105">
        <f>COUNTIFS('OB History'!$B:$B,$A$3,'OB History'!X:X, 1)</f>
        <v>0</v>
      </c>
      <c r="AD3" s="105">
        <f>COUNTIFS('OB History'!$B:$B,$A$3,'OB History'!Y:Y, 1)</f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101">
        <f>SUMIFS('OB History'!C:C,'OB History'!B:B,A4)</f>
        <v>115</v>
      </c>
      <c r="E4" s="102">
        <f>AVERAGEIFS('OB History'!C:C,'OB History'!B:B,A4)</f>
        <v>10.454545454545455</v>
      </c>
      <c r="F4" s="103">
        <f t="array" ref="F4">MAX(IF('OB History'!B:B=A4, 'OB History'!C:C))</f>
        <v>21</v>
      </c>
      <c r="G4" s="101">
        <f>COUNTIFS('OB History'!B:B,A4,'OB History'!D:D, 1)</f>
        <v>7</v>
      </c>
      <c r="H4" s="104">
        <f>COUNTIFS('OB History'!B:B,A4,'OB History'!D:D, 0)</f>
        <v>4</v>
      </c>
      <c r="I4" s="41">
        <f t="shared" si="0"/>
        <v>0.63636363636363635</v>
      </c>
      <c r="J4" s="101">
        <f>SUMIFS('OB History'!F:F,'OB History'!B:B,A4)</f>
        <v>23</v>
      </c>
      <c r="K4" s="104">
        <f>SUMIFS('OB History'!E:E,'OB History'!B:B,A4)-J4</f>
        <v>20</v>
      </c>
      <c r="L4" s="41">
        <f t="shared" si="1"/>
        <v>0.53488372093023251</v>
      </c>
      <c r="M4" s="101">
        <f>SUMIFS('OB History'!H:H,'OB History'!B:B,'Old Bow v2'!A4)</f>
        <v>93</v>
      </c>
      <c r="N4" s="104">
        <f>SUMIFS('OB History'!G:G,'OB History'!B:B,'Old Bow v2'!A4)-M4</f>
        <v>81</v>
      </c>
      <c r="O4" s="41">
        <f t="shared" si="2"/>
        <v>0.53448275862068961</v>
      </c>
      <c r="P4" s="105">
        <f>COUNTIFS('OB History'!$B:$B,$A$4,'OB History'!K:K, 1)</f>
        <v>2</v>
      </c>
      <c r="Q4" s="105">
        <f>COUNTIFS('OB History'!$B:$B,$A$4,'OB History'!L:L, 1)</f>
        <v>2</v>
      </c>
      <c r="R4" s="105">
        <f>COUNTIFS('OB History'!$B:$B,$A$4,'OB History'!M:M, 1)</f>
        <v>0</v>
      </c>
      <c r="S4" s="105">
        <f>COUNTIFS('OB History'!$B:$B,$A$4,'OB History'!N:N, 1)</f>
        <v>3</v>
      </c>
      <c r="T4" s="105">
        <f>COUNTIFS('OB History'!$B:$B,$A$4,'OB History'!O:O, 1)</f>
        <v>0</v>
      </c>
      <c r="U4" s="105">
        <f>COUNTIFS('OB History'!$B:$B,$A$4,'OB History'!P:P, 1)</f>
        <v>5</v>
      </c>
      <c r="V4" s="105">
        <f>COUNTIFS('OB History'!$B:$B,$A$4,'OB History'!Q:Q, 1)</f>
        <v>0</v>
      </c>
      <c r="W4" s="105">
        <f>COUNTIFS('OB History'!$B:$B,$A$4,'OB History'!R:R, 1)</f>
        <v>0</v>
      </c>
      <c r="X4" s="105">
        <f>COUNTIFS('OB History'!$B:$B,$A$4,'OB History'!S:S, 1)</f>
        <v>0</v>
      </c>
      <c r="Y4" s="105">
        <f>COUNTIFS('OB History'!$B:$B,$A$4,'OB History'!T:T, 1)</f>
        <v>0</v>
      </c>
      <c r="Z4" s="105">
        <f>COUNTIFS('OB History'!$B:$B,$A$4,'OB History'!U:U, 1)</f>
        <v>0</v>
      </c>
      <c r="AA4" s="105">
        <f>COUNTIFS('OB History'!$B:$B,$A$4,'OB History'!V:V, 1)</f>
        <v>4</v>
      </c>
      <c r="AB4" s="105">
        <f>COUNTIFS('OB History'!$B:$B,$A$4,'OB History'!W:W, 1)</f>
        <v>3</v>
      </c>
      <c r="AC4" s="105">
        <f>COUNTIFS('OB History'!$B:$B,$A$4,'OB History'!X:X, 1)</f>
        <v>1</v>
      </c>
      <c r="AD4" s="105">
        <f>COUNTIFS('OB History'!$B:$B,$A$4,'OB History'!Y:Y, 1)</f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101">
        <f>SUMIFS('OB History'!C:C,'OB History'!B:B,A5)</f>
        <v>230</v>
      </c>
      <c r="E5" s="102">
        <f>AVERAGEIFS('OB History'!C:C,'OB History'!B:B,A5)</f>
        <v>11.5</v>
      </c>
      <c r="F5" s="103">
        <f t="array" ref="F5">MAX(IF('OB History'!B:B=A5, 'OB History'!C:C))</f>
        <v>26</v>
      </c>
      <c r="G5" s="101">
        <f>COUNTIFS('OB History'!B:B,A5,'OB History'!D:D, 1)</f>
        <v>6</v>
      </c>
      <c r="H5" s="104">
        <f>COUNTIFS('OB History'!B:B,A5,'OB History'!D:D, 0)</f>
        <v>14</v>
      </c>
      <c r="I5" s="41">
        <f t="shared" si="0"/>
        <v>0.3</v>
      </c>
      <c r="J5" s="101">
        <f>SUMIFS('OB History'!F:F,'OB History'!B:B,A5)</f>
        <v>32</v>
      </c>
      <c r="K5" s="104">
        <f>SUMIFS('OB History'!E:E,'OB History'!B:B,A5)-J5</f>
        <v>49</v>
      </c>
      <c r="L5" s="41">
        <f t="shared" si="1"/>
        <v>0.39506172839506171</v>
      </c>
      <c r="M5" s="101">
        <f>SUMIFS('OB History'!H:H,'OB History'!B:B,'Old Bow v2'!A5)</f>
        <v>149</v>
      </c>
      <c r="N5" s="104">
        <f>SUMIFS('OB History'!G:G,'OB History'!B:B,'Old Bow v2'!A5)-M5</f>
        <v>184</v>
      </c>
      <c r="O5" s="41">
        <f t="shared" si="2"/>
        <v>0.44744744744744747</v>
      </c>
      <c r="P5" s="105">
        <f>COUNTIFS('OB History'!$B:$B,$A$5,'OB History'!K:K, 1)</f>
        <v>3</v>
      </c>
      <c r="Q5" s="105">
        <f>COUNTIFS('OB History'!$B:$B,$A$5,'OB History'!L:L, 1)</f>
        <v>0</v>
      </c>
      <c r="R5" s="105">
        <f>COUNTIFS('OB History'!$B:$B,$A$5,'OB History'!M:M, 1)</f>
        <v>0</v>
      </c>
      <c r="S5" s="105">
        <f>COUNTIFS('OB History'!$B:$B,$A$5,'OB History'!N:N, 1)</f>
        <v>2</v>
      </c>
      <c r="T5" s="105">
        <f>COUNTIFS('OB History'!$B:$B,$A$5,'OB History'!O:O, 1)</f>
        <v>0</v>
      </c>
      <c r="U5" s="105">
        <f>COUNTIFS('OB History'!$B:$B,$A$5,'OB History'!P:P, 1)</f>
        <v>5</v>
      </c>
      <c r="V5" s="105">
        <f>COUNTIFS('OB History'!$B:$B,$A$5,'OB History'!Q:Q, 1)</f>
        <v>1</v>
      </c>
      <c r="W5" s="105">
        <f>COUNTIFS('OB History'!$B:$B,$A$5,'OB History'!R:R, 1)</f>
        <v>0</v>
      </c>
      <c r="X5" s="105">
        <f>COUNTIFS('OB History'!$B:$B,$A$5,'OB History'!S:S, 1)</f>
        <v>1</v>
      </c>
      <c r="Y5" s="105">
        <f>COUNTIFS('OB History'!$B:$B,$A$5,'OB History'!T:T, 1)</f>
        <v>1</v>
      </c>
      <c r="Z5" s="105">
        <f>COUNTIFS('OB History'!$B:$B,$A$5,'OB History'!U:U, 1)</f>
        <v>0</v>
      </c>
      <c r="AA5" s="105">
        <f>COUNTIFS('OB History'!$B:$B,$A$5,'OB History'!V:V, 1)</f>
        <v>4</v>
      </c>
      <c r="AB5" s="105">
        <f>COUNTIFS('OB History'!$B:$B,$A$5,'OB History'!W:W, 1)</f>
        <v>9</v>
      </c>
      <c r="AC5" s="105">
        <f>COUNTIFS('OB History'!$B:$B,$A$5,'OB History'!X:X, 1)</f>
        <v>0</v>
      </c>
      <c r="AD5" s="105">
        <f>COUNTIFS('OB History'!$B:$B,$A$5,'OB History'!Y:Y, 1)</f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101">
        <f>SUMIFS('OB History'!C:C,'OB History'!B:B,A6)</f>
        <v>5</v>
      </c>
      <c r="E6" s="102">
        <f>AVERAGEIFS('OB History'!C:C,'OB History'!B:B,A6)</f>
        <v>5</v>
      </c>
      <c r="F6" s="103">
        <f t="array" ref="F6">MAX(IF('OB History'!B:B=A6, 'OB History'!C:C))</f>
        <v>5</v>
      </c>
      <c r="G6" s="101">
        <f>COUNTIFS('OB History'!B:B,A6,'OB History'!D:D, 1)</f>
        <v>0</v>
      </c>
      <c r="H6" s="104">
        <f>COUNTIFS('OB History'!B:B,A6,'OB History'!D:D, 0)</f>
        <v>1</v>
      </c>
      <c r="I6" s="42">
        <f t="shared" si="0"/>
        <v>0</v>
      </c>
      <c r="J6" s="101">
        <f>SUMIFS('OB History'!F:F,'OB History'!B:B,A6)</f>
        <v>0</v>
      </c>
      <c r="K6" s="104">
        <f>SUMIFS('OB History'!E:E,'OB History'!B:B,A6)-J6</f>
        <v>3</v>
      </c>
      <c r="L6" s="42">
        <f t="shared" si="1"/>
        <v>0</v>
      </c>
      <c r="M6" s="101">
        <f>SUMIFS('OB History'!H:H,'OB History'!B:B,'Old Bow v2'!A6)</f>
        <v>2</v>
      </c>
      <c r="N6" s="104">
        <f>SUMIFS('OB History'!G:G,'OB History'!B:B,'Old Bow v2'!A6)-M6</f>
        <v>9</v>
      </c>
      <c r="O6" s="42">
        <f t="shared" si="2"/>
        <v>0.18181818181818182</v>
      </c>
      <c r="P6" s="105">
        <f>COUNTIFS('OB History'!$B:$B,$A$6,'OB History'!K:K, 1)</f>
        <v>0</v>
      </c>
      <c r="Q6" s="105">
        <f>COUNTIFS('OB History'!$B:$B,$A$6,'OB History'!L:L, 1)</f>
        <v>0</v>
      </c>
      <c r="R6" s="105">
        <f>COUNTIFS('OB History'!$B:$B,$A$6,'OB History'!M:M, 1)</f>
        <v>0</v>
      </c>
      <c r="S6" s="105">
        <f>COUNTIFS('OB History'!$B:$B,$A$6,'OB History'!N:N, 1)</f>
        <v>0</v>
      </c>
      <c r="T6" s="105">
        <f>COUNTIFS('OB History'!$B:$B,$A$6,'OB History'!O:O, 1)</f>
        <v>0</v>
      </c>
      <c r="U6" s="105">
        <f>COUNTIFS('OB History'!$B:$B,$A$6,'OB History'!P:P, 1)</f>
        <v>0</v>
      </c>
      <c r="V6" s="105">
        <f>COUNTIFS('OB History'!$B:$B,$A$6,'OB History'!Q:Q, 1)</f>
        <v>0</v>
      </c>
      <c r="W6" s="105">
        <f>COUNTIFS('OB History'!$B:$B,$A$6,'OB History'!R:R, 1)</f>
        <v>0</v>
      </c>
      <c r="X6" s="105">
        <f>COUNTIFS('OB History'!$B:$B,$A$6,'OB History'!S:S, 1)</f>
        <v>0</v>
      </c>
      <c r="Y6" s="105">
        <f>COUNTIFS('OB History'!$B:$B,$A$6,'OB History'!T:T, 1)</f>
        <v>0</v>
      </c>
      <c r="Z6" s="105">
        <f>COUNTIFS('OB History'!$B:$B,$A$6,'OB History'!U:U, 1)</f>
        <v>0</v>
      </c>
      <c r="AA6" s="105">
        <f>COUNTIFS('OB History'!$B:$B,$A$6,'OB History'!V:V, 1)</f>
        <v>0</v>
      </c>
      <c r="AB6" s="105">
        <f>COUNTIFS('OB History'!$B:$B,$A$6,'OB History'!W:W, 1)</f>
        <v>0</v>
      </c>
      <c r="AC6" s="105">
        <f>COUNTIFS('OB History'!$B:$B,$A$6,'OB History'!X:X, 1)</f>
        <v>0</v>
      </c>
      <c r="AD6" s="105">
        <f>COUNTIFS('OB History'!$B:$B,$A$6,'OB History'!Y:Y, 1)</f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101">
        <f>SUMIFS('OB History'!C:C,'OB History'!B:B,A7)</f>
        <v>117</v>
      </c>
      <c r="E7" s="102">
        <f>AVERAGEIFS('OB History'!C:C,'OB History'!B:B,A7)</f>
        <v>14.625</v>
      </c>
      <c r="F7" s="103">
        <f t="array" ref="F7">MAX(IF('OB History'!B:B=A7, 'OB History'!C:C))</f>
        <v>21</v>
      </c>
      <c r="G7" s="101">
        <f>COUNTIFS('OB History'!B:B,A7,'OB History'!D:D, 1)</f>
        <v>5</v>
      </c>
      <c r="H7" s="104">
        <f>COUNTIFS('OB History'!B:B,A7,'OB History'!D:D, 0)</f>
        <v>3</v>
      </c>
      <c r="I7" s="41">
        <f t="shared" si="0"/>
        <v>0.625</v>
      </c>
      <c r="J7" s="101">
        <f>SUMIFS('OB History'!F:F,'OB History'!B:B,A7)</f>
        <v>20</v>
      </c>
      <c r="K7" s="104">
        <f>SUMIFS('OB History'!E:E,'OB History'!B:B,A7)-J7</f>
        <v>12</v>
      </c>
      <c r="L7" s="41">
        <f t="shared" si="1"/>
        <v>0.625</v>
      </c>
      <c r="M7" s="101">
        <f>SUMIFS('OB History'!H:H,'OB History'!B:B,'Old Bow v2'!A7)</f>
        <v>78</v>
      </c>
      <c r="N7" s="104">
        <f>SUMIFS('OB History'!G:G,'OB History'!B:B,'Old Bow v2'!A7)-M7</f>
        <v>57</v>
      </c>
      <c r="O7" s="41">
        <f t="shared" si="2"/>
        <v>0.57777777777777772</v>
      </c>
      <c r="P7" s="105">
        <f>COUNTIFS('OB History'!$B:$B,$A$7,'OB History'!K:K, 1)</f>
        <v>2</v>
      </c>
      <c r="Q7" s="105">
        <f>COUNTIFS('OB History'!$B:$B,$A$7,'OB History'!L:L, 1)</f>
        <v>0</v>
      </c>
      <c r="R7" s="105">
        <f>COUNTIFS('OB History'!$B:$B,$A$7,'OB History'!M:M, 1)</f>
        <v>0</v>
      </c>
      <c r="S7" s="105">
        <f>COUNTIFS('OB History'!$B:$B,$A$7,'OB History'!N:N, 1)</f>
        <v>2</v>
      </c>
      <c r="T7" s="105">
        <f>COUNTIFS('OB History'!$B:$B,$A$7,'OB History'!O:O, 1)</f>
        <v>0</v>
      </c>
      <c r="U7" s="105">
        <f>COUNTIFS('OB History'!$B:$B,$A$7,'OB History'!P:P, 1)</f>
        <v>3</v>
      </c>
      <c r="V7" s="105">
        <f>COUNTIFS('OB History'!$B:$B,$A$7,'OB History'!Q:Q, 1)</f>
        <v>2</v>
      </c>
      <c r="W7" s="105">
        <f>COUNTIFS('OB History'!$B:$B,$A$7,'OB History'!R:R, 1)</f>
        <v>1</v>
      </c>
      <c r="X7" s="105">
        <f>COUNTIFS('OB History'!$B:$B,$A$7,'OB History'!S:S, 1)</f>
        <v>0</v>
      </c>
      <c r="Y7" s="105">
        <f>COUNTIFS('OB History'!$B:$B,$A$7,'OB History'!T:T, 1)</f>
        <v>0</v>
      </c>
      <c r="Z7" s="105">
        <f>COUNTIFS('OB History'!$B:$B,$A$7,'OB History'!U:U, 1)</f>
        <v>0</v>
      </c>
      <c r="AA7" s="105">
        <f>COUNTIFS('OB History'!$B:$B,$A$7,'OB History'!V:V, 1)</f>
        <v>2</v>
      </c>
      <c r="AB7" s="105">
        <f>COUNTIFS('OB History'!$B:$B,$A$7,'OB History'!W:W, 1)</f>
        <v>3</v>
      </c>
      <c r="AC7" s="105">
        <f>COUNTIFS('OB History'!$B:$B,$A$7,'OB History'!X:X, 1)</f>
        <v>1</v>
      </c>
      <c r="AD7" s="105">
        <f>COUNTIFS('OB History'!$B:$B,$A$7,'OB History'!Y:Y, 1)</f>
        <v>4</v>
      </c>
    </row>
    <row r="8" spans="1:30" s="100" customFormat="1" x14ac:dyDescent="0.25">
      <c r="A8" s="97" t="s">
        <v>27</v>
      </c>
      <c r="B8" s="98" t="s">
        <v>76</v>
      </c>
      <c r="C8" s="98" t="s">
        <v>79</v>
      </c>
      <c r="D8" s="101">
        <f>SUMIFS('OB History'!C:C,'OB History'!B:B,A8)</f>
        <v>161</v>
      </c>
      <c r="E8" s="102">
        <f>AVERAGEIFS('OB History'!C:C,'OB History'!B:B,A8)</f>
        <v>13.416666666666666</v>
      </c>
      <c r="F8" s="103">
        <f t="array" ref="F8">MAX(IF('OB History'!B:B=A8, 'OB History'!C:C))</f>
        <v>24</v>
      </c>
      <c r="G8" s="101">
        <f>COUNTIFS('OB History'!B:B,A8,'OB History'!D:D, 1)</f>
        <v>6</v>
      </c>
      <c r="H8" s="104">
        <f>COUNTIFS('OB History'!B:B,A8,'OB History'!D:D, 0)</f>
        <v>6</v>
      </c>
      <c r="I8" s="99">
        <f t="shared" si="0"/>
        <v>0.5</v>
      </c>
      <c r="J8" s="101">
        <f>SUMIFS('OB History'!F:F,'OB History'!B:B,A8)</f>
        <v>23</v>
      </c>
      <c r="K8" s="104">
        <f>SUMIFS('OB History'!E:E,'OB History'!B:B,A8)-J8</f>
        <v>26</v>
      </c>
      <c r="L8" s="99">
        <f t="shared" si="1"/>
        <v>0.46938775510204084</v>
      </c>
      <c r="M8" s="101">
        <f>SUMIFS('OB History'!H:H,'OB History'!B:B,'Old Bow v2'!A8)</f>
        <v>100</v>
      </c>
      <c r="N8" s="104">
        <f>SUMIFS('OB History'!G:G,'OB History'!B:B,'Old Bow v2'!A8)-M8</f>
        <v>108</v>
      </c>
      <c r="O8" s="99">
        <f t="shared" si="2"/>
        <v>0.48076923076923078</v>
      </c>
      <c r="P8" s="105">
        <f>COUNTIFS('OB History'!$B:$B,$A$8,'OB History'!K:K, 1)</f>
        <v>0</v>
      </c>
      <c r="Q8" s="105">
        <f>COUNTIFS('OB History'!$B:$B,$A$8,'OB History'!L:L, 1)</f>
        <v>1</v>
      </c>
      <c r="R8" s="105">
        <f>COUNTIFS('OB History'!$B:$B,$A$8,'OB History'!M:M, 1)</f>
        <v>0</v>
      </c>
      <c r="S8" s="105">
        <f>COUNTIFS('OB History'!$B:$B,$A$8,'OB History'!N:N, 1)</f>
        <v>1</v>
      </c>
      <c r="T8" s="105">
        <f>COUNTIFS('OB History'!$B:$B,$A$8,'OB History'!O:O, 1)</f>
        <v>2</v>
      </c>
      <c r="U8" s="105">
        <f>COUNTIFS('OB History'!$B:$B,$A$8,'OB History'!P:P, 1)</f>
        <v>4</v>
      </c>
      <c r="V8" s="105">
        <f>COUNTIFS('OB History'!$B:$B,$A$8,'OB History'!Q:Q, 1)</f>
        <v>1</v>
      </c>
      <c r="W8" s="105">
        <f>COUNTIFS('OB History'!$B:$B,$A$8,'OB History'!R:R, 1)</f>
        <v>0</v>
      </c>
      <c r="X8" s="105">
        <f>COUNTIFS('OB History'!$B:$B,$A$8,'OB History'!S:S, 1)</f>
        <v>0</v>
      </c>
      <c r="Y8" s="105">
        <f>COUNTIFS('OB History'!$B:$B,$A$8,'OB History'!T:T, 1)</f>
        <v>0</v>
      </c>
      <c r="Z8" s="105">
        <f>COUNTIFS('OB History'!$B:$B,$A$8,'OB History'!U:U, 1)</f>
        <v>0</v>
      </c>
      <c r="AA8" s="105">
        <f>COUNTIFS('OB History'!$B:$B,$A$8,'OB History'!V:V, 1)</f>
        <v>4</v>
      </c>
      <c r="AB8" s="105">
        <f>COUNTIFS('OB History'!$B:$B,$A$8,'OB History'!W:W, 1)</f>
        <v>4</v>
      </c>
      <c r="AC8" s="105">
        <f>COUNTIFS('OB History'!$B:$B,$A$8,'OB History'!X:X, 1)</f>
        <v>1</v>
      </c>
      <c r="AD8" s="105">
        <f>COUNTIFS('OB History'!$B:$B,$A$8,'OB History'!Y:Y, 1)</f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101">
        <f>SUMIFS('OB History'!C:C,'OB History'!B:B,A9)</f>
        <v>188</v>
      </c>
      <c r="E9" s="102">
        <f>AVERAGEIFS('OB History'!C:C,'OB History'!B:B,A9)</f>
        <v>12.533333333333333</v>
      </c>
      <c r="F9" s="103">
        <f t="array" ref="F9">MAX(IF('OB History'!B:B=A9, 'OB History'!C:C))</f>
        <v>24</v>
      </c>
      <c r="G9" s="101">
        <f>COUNTIFS('OB History'!B:B,A9,'OB History'!D:D, 1)</f>
        <v>11</v>
      </c>
      <c r="H9" s="104">
        <f>COUNTIFS('OB History'!B:B,A9,'OB History'!D:D, 0)</f>
        <v>4</v>
      </c>
      <c r="I9" s="41">
        <f t="shared" si="0"/>
        <v>0.73333333333333328</v>
      </c>
      <c r="J9" s="101">
        <f>SUMIFS('OB History'!F:F,'OB History'!B:B,A9)</f>
        <v>39</v>
      </c>
      <c r="K9" s="104">
        <f>SUMIFS('OB History'!E:E,'OB History'!B:B,A9)-J9</f>
        <v>22</v>
      </c>
      <c r="L9" s="41">
        <f t="shared" si="1"/>
        <v>0.63934426229508201</v>
      </c>
      <c r="M9" s="101">
        <f>SUMIFS('OB History'!H:H,'OB History'!B:B,'Old Bow v2'!A9)</f>
        <v>144</v>
      </c>
      <c r="N9" s="104">
        <f>SUMIFS('OB History'!G:G,'OB History'!B:B,'Old Bow v2'!A9)-M9</f>
        <v>108</v>
      </c>
      <c r="O9" s="41">
        <f t="shared" si="2"/>
        <v>0.5714285714285714</v>
      </c>
      <c r="P9" s="105">
        <f>COUNTIFS('OB History'!$B:$B,$A$9,'OB History'!K:K, 1)</f>
        <v>1</v>
      </c>
      <c r="Q9" s="105">
        <f>COUNTIFS('OB History'!$B:$B,$A$9,'OB History'!L:L, 1)</f>
        <v>2</v>
      </c>
      <c r="R9" s="105">
        <f>COUNTIFS('OB History'!$B:$B,$A$9,'OB History'!M:M, 1)</f>
        <v>0</v>
      </c>
      <c r="S9" s="105">
        <f>COUNTIFS('OB History'!$B:$B,$A$9,'OB History'!N:N, 1)</f>
        <v>7</v>
      </c>
      <c r="T9" s="105">
        <f>COUNTIFS('OB History'!$B:$B,$A$9,'OB History'!O:O, 1)</f>
        <v>2</v>
      </c>
      <c r="U9" s="105">
        <f>COUNTIFS('OB History'!$B:$B,$A$9,'OB History'!P:P, 1)</f>
        <v>7</v>
      </c>
      <c r="V9" s="105">
        <f>COUNTIFS('OB History'!$B:$B,$A$9,'OB History'!Q:Q, 1)</f>
        <v>3</v>
      </c>
      <c r="W9" s="105">
        <f>COUNTIFS('OB History'!$B:$B,$A$9,'OB History'!R:R, 1)</f>
        <v>2</v>
      </c>
      <c r="X9" s="105">
        <f>COUNTIFS('OB History'!$B:$B,$A$9,'OB History'!S:S, 1)</f>
        <v>1</v>
      </c>
      <c r="Y9" s="105">
        <f>COUNTIFS('OB History'!$B:$B,$A$9,'OB History'!T:T, 1)</f>
        <v>1</v>
      </c>
      <c r="Z9" s="105">
        <f>COUNTIFS('OB History'!$B:$B,$A$9,'OB History'!U:U, 1)</f>
        <v>0</v>
      </c>
      <c r="AA9" s="105">
        <f>COUNTIFS('OB History'!$B:$B,$A$9,'OB History'!V:V, 1)</f>
        <v>3</v>
      </c>
      <c r="AB9" s="105">
        <f>COUNTIFS('OB History'!$B:$B,$A$9,'OB History'!W:W, 1)</f>
        <v>4</v>
      </c>
      <c r="AC9" s="105">
        <f>COUNTIFS('OB History'!$B:$B,$A$9,'OB History'!X:X, 1)</f>
        <v>1</v>
      </c>
      <c r="AD9" s="105">
        <f>COUNTIFS('OB History'!$B:$B,$A$9,'OB History'!Y:Y, 1)</f>
        <v>3</v>
      </c>
    </row>
    <row r="10" spans="1:30" ht="15.75" x14ac:dyDescent="0.25">
      <c r="A10" s="1" t="s">
        <v>45</v>
      </c>
      <c r="B10" s="80" t="s">
        <v>60</v>
      </c>
      <c r="C10" s="2" t="s">
        <v>79</v>
      </c>
      <c r="D10" s="101">
        <f>SUMIFS('OB History'!C:C,'OB History'!B:B,A10)</f>
        <v>89</v>
      </c>
      <c r="E10" s="102">
        <f>AVERAGEIFS('OB History'!C:C,'OB History'!B:B,A10)</f>
        <v>9.8888888888888893</v>
      </c>
      <c r="F10" s="103">
        <f t="array" ref="F10">MAX(IF('OB History'!B:B=A10, 'OB History'!C:C))</f>
        <v>17</v>
      </c>
      <c r="G10" s="101">
        <f>COUNTIFS('OB History'!B:B,A10,'OB History'!D:D, 1)</f>
        <v>4</v>
      </c>
      <c r="H10" s="104">
        <f>COUNTIFS('OB History'!B:B,A10,'OB History'!D:D, 0)</f>
        <v>5</v>
      </c>
      <c r="I10" s="42">
        <f t="shared" si="0"/>
        <v>0.44444444444444442</v>
      </c>
      <c r="J10" s="101">
        <f>SUMIFS('OB History'!F:F,'OB History'!B:B,A10)</f>
        <v>17</v>
      </c>
      <c r="K10" s="104">
        <f>SUMIFS('OB History'!E:E,'OB History'!B:B,A10)-J10</f>
        <v>18</v>
      </c>
      <c r="L10" s="42">
        <f t="shared" si="1"/>
        <v>0.48571428571428571</v>
      </c>
      <c r="M10" s="101">
        <f>SUMIFS('OB History'!H:H,'OB History'!B:B,'Old Bow v2'!A10)</f>
        <v>71</v>
      </c>
      <c r="N10" s="104">
        <f>SUMIFS('OB History'!G:G,'OB History'!B:B,'Old Bow v2'!A10)-M10</f>
        <v>71</v>
      </c>
      <c r="O10" s="42">
        <f t="shared" si="2"/>
        <v>0.5</v>
      </c>
      <c r="P10" s="105">
        <f>COUNTIFS('OB History'!$B:$B,$A$10,'OB History'!K:K, 1)</f>
        <v>0</v>
      </c>
      <c r="Q10" s="105">
        <f>COUNTIFS('OB History'!$B:$B,$A$10,'OB History'!L:L, 1)</f>
        <v>2</v>
      </c>
      <c r="R10" s="105">
        <f>COUNTIFS('OB History'!$B:$B,$A$10,'OB History'!M:M, 1)</f>
        <v>0</v>
      </c>
      <c r="S10" s="105">
        <f>COUNTIFS('OB History'!$B:$B,$A$10,'OB History'!N:N, 1)</f>
        <v>3</v>
      </c>
      <c r="T10" s="105">
        <f>COUNTIFS('OB History'!$B:$B,$A$10,'OB History'!O:O, 1)</f>
        <v>0</v>
      </c>
      <c r="U10" s="105">
        <f>COUNTIFS('OB History'!$B:$B,$A$10,'OB History'!P:P, 1)</f>
        <v>4</v>
      </c>
      <c r="V10" s="105">
        <f>COUNTIFS('OB History'!$B:$B,$A$10,'OB History'!Q:Q, 1)</f>
        <v>0</v>
      </c>
      <c r="W10" s="105">
        <f>COUNTIFS('OB History'!$B:$B,$A$10,'OB History'!R:R, 1)</f>
        <v>0</v>
      </c>
      <c r="X10" s="105">
        <f>COUNTIFS('OB History'!$B:$B,$A$10,'OB History'!S:S, 1)</f>
        <v>0</v>
      </c>
      <c r="Y10" s="105">
        <f>COUNTIFS('OB History'!$B:$B,$A$10,'OB History'!T:T, 1)</f>
        <v>0</v>
      </c>
      <c r="Z10" s="105">
        <f>COUNTIFS('OB History'!$B:$B,$A$10,'OB History'!U:U, 1)</f>
        <v>0</v>
      </c>
      <c r="AA10" s="105">
        <f>COUNTIFS('OB History'!$B:$B,$A$10,'OB History'!V:V, 1)</f>
        <v>2</v>
      </c>
      <c r="AB10" s="105">
        <f>COUNTIFS('OB History'!$B:$B,$A$10,'OB History'!W:W, 1)</f>
        <v>3</v>
      </c>
      <c r="AC10" s="105">
        <f>COUNTIFS('OB History'!$B:$B,$A$10,'OB History'!X:X, 1)</f>
        <v>1</v>
      </c>
      <c r="AD10" s="105">
        <f>COUNTIFS('OB History'!$B:$B,$A$10,'OB History'!Y:Y, 1)</f>
        <v>2</v>
      </c>
    </row>
    <row r="11" spans="1:30" x14ac:dyDescent="0.25">
      <c r="A11" s="2" t="s">
        <v>50</v>
      </c>
      <c r="B11" s="2" t="s">
        <v>79</v>
      </c>
      <c r="C11" s="2" t="s">
        <v>79</v>
      </c>
      <c r="D11" s="101">
        <f>SUMIFS('OB History'!C:C,'OB History'!B:B,A11)</f>
        <v>26</v>
      </c>
      <c r="E11" s="102">
        <f>AVERAGEIFS('OB History'!C:C,'OB History'!B:B,A11)</f>
        <v>13</v>
      </c>
      <c r="F11" s="103">
        <f t="array" ref="F11">MAX(IF('OB History'!B:B=A11, 'OB History'!C:C))</f>
        <v>14</v>
      </c>
      <c r="G11" s="101">
        <f>COUNTIFS('OB History'!B:B,A11,'OB History'!D:D, 1)</f>
        <v>0</v>
      </c>
      <c r="H11" s="104">
        <f>COUNTIFS('OB History'!B:B,A11,'OB History'!D:D, 0)</f>
        <v>2</v>
      </c>
      <c r="I11" s="42">
        <f t="shared" si="0"/>
        <v>0</v>
      </c>
      <c r="J11" s="101">
        <f>SUMIFS('OB History'!F:F,'OB History'!B:B,A11)</f>
        <v>2</v>
      </c>
      <c r="K11" s="104">
        <f>SUMIFS('OB History'!E:E,'OB History'!B:B,A11)-J11</f>
        <v>6</v>
      </c>
      <c r="L11" s="42">
        <f t="shared" si="1"/>
        <v>0.25</v>
      </c>
      <c r="M11" s="101">
        <f>SUMIFS('OB History'!H:H,'OB History'!B:B,'Old Bow v2'!A11)</f>
        <v>13</v>
      </c>
      <c r="N11" s="104">
        <f>SUMIFS('OB History'!G:G,'OB History'!B:B,'Old Bow v2'!A11)-M11</f>
        <v>22</v>
      </c>
      <c r="O11" s="42">
        <f t="shared" si="2"/>
        <v>0.37142857142857144</v>
      </c>
      <c r="P11" s="105">
        <f>COUNTIFS('OB History'!$B:$B,$A$11,'OB History'!K:K, 1)</f>
        <v>0</v>
      </c>
      <c r="Q11" s="105">
        <f>COUNTIFS('OB History'!$B:$B,$A$11,'OB History'!L:L, 1)</f>
        <v>0</v>
      </c>
      <c r="R11" s="105">
        <f>COUNTIFS('OB History'!$B:$B,$A$11,'OB History'!M:M, 1)</f>
        <v>0</v>
      </c>
      <c r="S11" s="105">
        <f>COUNTIFS('OB History'!$B:$B,$A$11,'OB History'!N:N, 1)</f>
        <v>0</v>
      </c>
      <c r="T11" s="105">
        <f>COUNTIFS('OB History'!$B:$B,$A$11,'OB History'!O:O, 1)</f>
        <v>0</v>
      </c>
      <c r="U11" s="105">
        <f>COUNTIFS('OB History'!$B:$B,$A$11,'OB History'!P:P, 1)</f>
        <v>1</v>
      </c>
      <c r="V11" s="105">
        <f>COUNTIFS('OB History'!$B:$B,$A$11,'OB History'!Q:Q, 1)</f>
        <v>0</v>
      </c>
      <c r="W11" s="105">
        <f>COUNTIFS('OB History'!$B:$B,$A$11,'OB History'!R:R, 1)</f>
        <v>0</v>
      </c>
      <c r="X11" s="105">
        <f>COUNTIFS('OB History'!$B:$B,$A$11,'OB History'!S:S, 1)</f>
        <v>0</v>
      </c>
      <c r="Y11" s="105">
        <f>COUNTIFS('OB History'!$B:$B,$A$11,'OB History'!T:T, 1)</f>
        <v>0</v>
      </c>
      <c r="Z11" s="105">
        <f>COUNTIFS('OB History'!$B:$B,$A$11,'OB History'!U:U, 1)</f>
        <v>0</v>
      </c>
      <c r="AA11" s="105">
        <f>COUNTIFS('OB History'!$B:$B,$A$11,'OB History'!V:V, 1)</f>
        <v>1</v>
      </c>
      <c r="AB11" s="105">
        <f>COUNTIFS('OB History'!$B:$B,$A$11,'OB History'!W:W, 1)</f>
        <v>0</v>
      </c>
      <c r="AC11" s="105">
        <f>COUNTIFS('OB History'!$B:$B,$A$11,'OB History'!X:X, 1)</f>
        <v>0</v>
      </c>
      <c r="AD11" s="105">
        <f>COUNTIFS('OB History'!$B:$B,$A$11,'OB History'!Y:Y, 1)</f>
        <v>0</v>
      </c>
    </row>
    <row r="12" spans="1:30" x14ac:dyDescent="0.25">
      <c r="A12" s="2" t="s">
        <v>52</v>
      </c>
      <c r="B12" s="2" t="s">
        <v>79</v>
      </c>
      <c r="C12" s="2" t="s">
        <v>79</v>
      </c>
      <c r="D12" s="101">
        <f>SUMIFS('OB History'!C:C,'OB History'!B:B,A12)</f>
        <v>5</v>
      </c>
      <c r="E12" s="102">
        <f>AVERAGEIFS('OB History'!C:C,'OB History'!B:B,A12)</f>
        <v>5</v>
      </c>
      <c r="F12" s="103">
        <f t="array" ref="F12">MAX(IF('OB History'!B:B=A12, 'OB History'!C:C))</f>
        <v>5</v>
      </c>
      <c r="G12" s="101">
        <f>COUNTIFS('OB History'!B:B,A12,'OB History'!D:D, 1)</f>
        <v>0</v>
      </c>
      <c r="H12" s="104">
        <f>COUNTIFS('OB History'!B:B,A12,'OB History'!D:D, 0)</f>
        <v>1</v>
      </c>
      <c r="I12" s="42">
        <f t="shared" si="0"/>
        <v>0</v>
      </c>
      <c r="J12" s="101">
        <f>SUMIFS('OB History'!F:F,'OB History'!B:B,A12)</f>
        <v>0</v>
      </c>
      <c r="K12" s="104">
        <f>SUMIFS('OB History'!E:E,'OB History'!B:B,A12)-J12</f>
        <v>3</v>
      </c>
      <c r="L12" s="42">
        <f t="shared" si="1"/>
        <v>0</v>
      </c>
      <c r="M12" s="101">
        <f>SUMIFS('OB History'!H:H,'OB History'!B:B,'Old Bow v2'!A12)</f>
        <v>4</v>
      </c>
      <c r="N12" s="104">
        <f>SUMIFS('OB History'!G:G,'OB History'!B:B,'Old Bow v2'!A12)-M12</f>
        <v>9</v>
      </c>
      <c r="O12" s="42">
        <f t="shared" si="2"/>
        <v>0.30769230769230771</v>
      </c>
      <c r="P12" s="105">
        <f>COUNTIFS('OB History'!$B:$B,$A$12,'OB History'!K:K, 1)</f>
        <v>0</v>
      </c>
      <c r="Q12" s="105">
        <f>COUNTIFS('OB History'!$B:$B,$A$12,'OB History'!L:L, 1)</f>
        <v>0</v>
      </c>
      <c r="R12" s="105">
        <f>COUNTIFS('OB History'!$B:$B,$A$12,'OB History'!M:M, 1)</f>
        <v>0</v>
      </c>
      <c r="S12" s="105">
        <f>COUNTIFS('OB History'!$B:$B,$A$12,'OB History'!N:N, 1)</f>
        <v>0</v>
      </c>
      <c r="T12" s="105">
        <f>COUNTIFS('OB History'!$B:$B,$A$12,'OB History'!O:O, 1)</f>
        <v>0</v>
      </c>
      <c r="U12" s="105">
        <f>COUNTIFS('OB History'!$B:$B,$A$12,'OB History'!P:P, 1)</f>
        <v>0</v>
      </c>
      <c r="V12" s="105">
        <f>COUNTIFS('OB History'!$B:$B,$A$12,'OB History'!Q:Q, 1)</f>
        <v>0</v>
      </c>
      <c r="W12" s="105">
        <f>COUNTIFS('OB History'!$B:$B,$A$12,'OB History'!R:R, 1)</f>
        <v>0</v>
      </c>
      <c r="X12" s="105">
        <f>COUNTIFS('OB History'!$B:$B,$A$12,'OB History'!S:S, 1)</f>
        <v>0</v>
      </c>
      <c r="Y12" s="105">
        <f>COUNTIFS('OB History'!$B:$B,$A$12,'OB History'!T:T, 1)</f>
        <v>0</v>
      </c>
      <c r="Z12" s="105">
        <f>COUNTIFS('OB History'!$B:$B,$A$12,'OB History'!U:U, 1)</f>
        <v>0</v>
      </c>
      <c r="AA12" s="105">
        <f>COUNTIFS('OB History'!$B:$B,$A$12,'OB History'!V:V, 1)</f>
        <v>0</v>
      </c>
      <c r="AB12" s="105">
        <f>COUNTIFS('OB History'!$B:$B,$A$12,'OB History'!W:W, 1)</f>
        <v>0</v>
      </c>
      <c r="AC12" s="105">
        <f>COUNTIFS('OB History'!$B:$B,$A$12,'OB History'!X:X, 1)</f>
        <v>0</v>
      </c>
      <c r="AD12" s="105">
        <f>COUNTIFS('OB History'!$B:$B,$A$12,'OB History'!Y:Y, 1)</f>
        <v>0</v>
      </c>
    </row>
    <row r="13" spans="1:30" x14ac:dyDescent="0.25">
      <c r="A13" s="1" t="s">
        <v>44</v>
      </c>
      <c r="B13" s="2" t="s">
        <v>79</v>
      </c>
      <c r="C13" s="2" t="s">
        <v>79</v>
      </c>
      <c r="D13" s="101">
        <f>SUMIFS('OB History'!C:C,'OB History'!B:B,A13)</f>
        <v>12</v>
      </c>
      <c r="E13" s="102">
        <f>AVERAGEIFS('OB History'!C:C,'OB History'!B:B,A13)</f>
        <v>12</v>
      </c>
      <c r="F13" s="103">
        <f t="array" ref="F13">MAX(IF('OB History'!B:B=A13, 'OB History'!C:C))</f>
        <v>12</v>
      </c>
      <c r="G13" s="101">
        <f>COUNTIFS('OB History'!B:B,A13,'OB History'!D:D, 1)</f>
        <v>1</v>
      </c>
      <c r="H13" s="104">
        <f>COUNTIFS('OB History'!B:B,A13,'OB History'!D:D, 0)</f>
        <v>0</v>
      </c>
      <c r="I13" s="42">
        <f t="shared" si="0"/>
        <v>1</v>
      </c>
      <c r="J13" s="101">
        <f>SUMIFS('OB History'!F:F,'OB History'!B:B,A13)</f>
        <v>3</v>
      </c>
      <c r="K13" s="104">
        <f>SUMIFS('OB History'!E:E,'OB History'!B:B,A13)-J13</f>
        <v>0</v>
      </c>
      <c r="L13" s="42">
        <f t="shared" si="1"/>
        <v>1</v>
      </c>
      <c r="M13" s="101">
        <f>SUMIFS('OB History'!H:H,'OB History'!B:B,'Old Bow v2'!A13)</f>
        <v>9</v>
      </c>
      <c r="N13" s="104">
        <f>SUMIFS('OB History'!G:G,'OB History'!B:B,'Old Bow v2'!A13)-M13</f>
        <v>4</v>
      </c>
      <c r="O13" s="42">
        <f t="shared" si="2"/>
        <v>0.69230769230769229</v>
      </c>
      <c r="P13" s="105">
        <f>COUNTIFS('OB History'!$B:$B,$A$13,'OB History'!K:K, 1)</f>
        <v>0</v>
      </c>
      <c r="Q13" s="105">
        <f>COUNTIFS('OB History'!$B:$B,$A$13,'OB History'!L:L, 1)</f>
        <v>0</v>
      </c>
      <c r="R13" s="105">
        <f>COUNTIFS('OB History'!$B:$B,$A$13,'OB History'!M:M, 1)</f>
        <v>0</v>
      </c>
      <c r="S13" s="105">
        <f>COUNTIFS('OB History'!$B:$B,$A$13,'OB History'!N:N, 1)</f>
        <v>0</v>
      </c>
      <c r="T13" s="105">
        <f>COUNTIFS('OB History'!$B:$B,$A$13,'OB History'!O:O, 1)</f>
        <v>0</v>
      </c>
      <c r="U13" s="105">
        <f>COUNTIFS('OB History'!$B:$B,$A$13,'OB History'!P:P, 1)</f>
        <v>1</v>
      </c>
      <c r="V13" s="105">
        <f>COUNTIFS('OB History'!$B:$B,$A$13,'OB History'!Q:Q, 1)</f>
        <v>0</v>
      </c>
      <c r="W13" s="105">
        <f>COUNTIFS('OB History'!$B:$B,$A$13,'OB History'!R:R, 1)</f>
        <v>0</v>
      </c>
      <c r="X13" s="105">
        <f>COUNTIFS('OB History'!$B:$B,$A$13,'OB History'!S:S, 1)</f>
        <v>0</v>
      </c>
      <c r="Y13" s="105">
        <f>COUNTIFS('OB History'!$B:$B,$A$13,'OB History'!T:T, 1)</f>
        <v>0</v>
      </c>
      <c r="Z13" s="105">
        <f>COUNTIFS('OB History'!$B:$B,$A$13,'OB History'!U:U, 1)</f>
        <v>0</v>
      </c>
      <c r="AA13" s="105">
        <f>COUNTIFS('OB History'!$B:$B,$A$13,'OB History'!V:V, 1)</f>
        <v>0</v>
      </c>
      <c r="AB13" s="105">
        <f>COUNTIFS('OB History'!$B:$B,$A$13,'OB History'!W:W, 1)</f>
        <v>1</v>
      </c>
      <c r="AC13" s="105">
        <f>COUNTIFS('OB History'!$B:$B,$A$13,'OB History'!X:X, 1)</f>
        <v>0</v>
      </c>
      <c r="AD13" s="105">
        <f>COUNTIFS('OB History'!$B:$B,$A$13,'OB History'!Y:Y, 1)</f>
        <v>1</v>
      </c>
    </row>
    <row r="14" spans="1:30" x14ac:dyDescent="0.25">
      <c r="A14" s="2" t="s">
        <v>1</v>
      </c>
      <c r="B14" s="6" t="s">
        <v>60</v>
      </c>
      <c r="C14" s="2" t="s">
        <v>79</v>
      </c>
      <c r="D14" s="101">
        <f>SUMIFS('OB History'!C:C,'OB History'!B:B,A14)</f>
        <v>167</v>
      </c>
      <c r="E14" s="102">
        <f>AVERAGEIFS('OB History'!C:C,'OB History'!B:B,A14)</f>
        <v>27.833333333333332</v>
      </c>
      <c r="F14" s="103">
        <f t="array" ref="F14">MAX(IF('OB History'!B:B=A14, 'OB History'!C:C))</f>
        <v>37</v>
      </c>
      <c r="G14" s="101">
        <f>COUNTIFS('OB History'!B:B,A14,'OB History'!D:D, 1)</f>
        <v>4</v>
      </c>
      <c r="H14" s="104">
        <f>COUNTIFS('OB History'!B:B,A14,'OB History'!D:D, 0)</f>
        <v>2</v>
      </c>
      <c r="I14" s="41">
        <f t="shared" si="0"/>
        <v>0.66666666666666663</v>
      </c>
      <c r="J14" s="101">
        <f>SUMIFS('OB History'!F:F,'OB History'!B:B,A14)</f>
        <v>15</v>
      </c>
      <c r="K14" s="104">
        <f>SUMIFS('OB History'!E:E,'OB History'!B:B,A14)-J14</f>
        <v>12</v>
      </c>
      <c r="L14" s="41">
        <f t="shared" si="1"/>
        <v>0.55555555555555558</v>
      </c>
      <c r="M14" s="101">
        <f>SUMIFS('OB History'!H:H,'OB History'!B:B,'Old Bow v2'!A14)</f>
        <v>60</v>
      </c>
      <c r="N14" s="104">
        <f>SUMIFS('OB History'!G:G,'OB History'!B:B,'Old Bow v2'!A14)-M14</f>
        <v>60</v>
      </c>
      <c r="O14" s="41">
        <f t="shared" si="2"/>
        <v>0.5</v>
      </c>
      <c r="P14" s="105">
        <f>COUNTIFS('OB History'!$B:$B,$A$14,'OB History'!K:K, 1)</f>
        <v>0</v>
      </c>
      <c r="Q14" s="105">
        <f>COUNTIFS('OB History'!$B:$B,$A$14,'OB History'!L:L, 1)</f>
        <v>1</v>
      </c>
      <c r="R14" s="105">
        <f>COUNTIFS('OB History'!$B:$B,$A$14,'OB History'!M:M, 1)</f>
        <v>0</v>
      </c>
      <c r="S14" s="105">
        <f>COUNTIFS('OB History'!$B:$B,$A$14,'OB History'!N:N, 1)</f>
        <v>0</v>
      </c>
      <c r="T14" s="105">
        <f>COUNTIFS('OB History'!$B:$B,$A$14,'OB History'!O:O, 1)</f>
        <v>1</v>
      </c>
      <c r="U14" s="105">
        <f>COUNTIFS('OB History'!$B:$B,$A$14,'OB History'!P:P, 1)</f>
        <v>1</v>
      </c>
      <c r="V14" s="105">
        <f>COUNTIFS('OB History'!$B:$B,$A$14,'OB History'!Q:Q, 1)</f>
        <v>0</v>
      </c>
      <c r="W14" s="105">
        <f>COUNTIFS('OB History'!$B:$B,$A$14,'OB History'!R:R, 1)</f>
        <v>0</v>
      </c>
      <c r="X14" s="105">
        <f>COUNTIFS('OB History'!$B:$B,$A$14,'OB History'!S:S, 1)</f>
        <v>0</v>
      </c>
      <c r="Y14" s="105">
        <f>COUNTIFS('OB History'!$B:$B,$A$14,'OB History'!T:T, 1)</f>
        <v>0</v>
      </c>
      <c r="Z14" s="105">
        <f>COUNTIFS('OB History'!$B:$B,$A$14,'OB History'!U:U, 1)</f>
        <v>0</v>
      </c>
      <c r="AA14" s="105">
        <f>COUNTIFS('OB History'!$B:$B,$A$14,'OB History'!V:V, 1)</f>
        <v>1</v>
      </c>
      <c r="AB14" s="105">
        <f>COUNTIFS('OB History'!$B:$B,$A$14,'OB History'!W:W, 1)</f>
        <v>3</v>
      </c>
      <c r="AC14" s="105">
        <f>COUNTIFS('OB History'!$B:$B,$A$14,'OB History'!X:X, 1)</f>
        <v>2</v>
      </c>
      <c r="AD14" s="105">
        <f>COUNTIFS('OB History'!$B:$B,$A$14,'OB History'!Y:Y, 1)</f>
        <v>4</v>
      </c>
    </row>
    <row r="15" spans="1:30" x14ac:dyDescent="0.25">
      <c r="A15" s="2" t="s">
        <v>29</v>
      </c>
      <c r="B15" s="6" t="s">
        <v>124</v>
      </c>
      <c r="C15" s="2" t="s">
        <v>79</v>
      </c>
      <c r="D15" s="101">
        <f>SUMIFS('OB History'!C:C,'OB History'!B:B,A15)</f>
        <v>152</v>
      </c>
      <c r="E15" s="102">
        <f>AVERAGEIFS('OB History'!C:C,'OB History'!B:B,A15)</f>
        <v>9.5</v>
      </c>
      <c r="F15" s="103">
        <f t="array" ref="F15">MAX(IF('OB History'!B:B=A15, 'OB History'!C:C))</f>
        <v>21</v>
      </c>
      <c r="G15" s="101">
        <f>COUNTIFS('OB History'!B:B,A15,'OB History'!D:D, 1)</f>
        <v>8</v>
      </c>
      <c r="H15" s="104">
        <f>COUNTIFS('OB History'!B:B,A15,'OB History'!D:D, 0)</f>
        <v>8</v>
      </c>
      <c r="I15" s="41">
        <f t="shared" si="0"/>
        <v>0.5</v>
      </c>
      <c r="J15" s="101">
        <f>SUMIFS('OB History'!F:F,'OB History'!B:B,A15)</f>
        <v>31</v>
      </c>
      <c r="K15" s="104">
        <f>SUMIFS('OB History'!E:E,'OB History'!B:B,A15)-J15</f>
        <v>33</v>
      </c>
      <c r="L15" s="41">
        <f t="shared" si="1"/>
        <v>0.484375</v>
      </c>
      <c r="M15" s="101">
        <f>SUMIFS('OB History'!H:H,'OB History'!B:B,'Old Bow v2'!A15)</f>
        <v>134</v>
      </c>
      <c r="N15" s="104">
        <f>SUMIFS('OB History'!G:G,'OB History'!B:B,'Old Bow v2'!A15)-M15</f>
        <v>135</v>
      </c>
      <c r="O15" s="41">
        <f t="shared" si="2"/>
        <v>0.49814126394052044</v>
      </c>
      <c r="P15" s="105">
        <f>COUNTIFS('OB History'!$B:$B,$A$15,'OB History'!K:K, 1)</f>
        <v>2</v>
      </c>
      <c r="Q15" s="105">
        <f>COUNTIFS('OB History'!$B:$B,$A$15,'OB History'!L:L, 1)</f>
        <v>2</v>
      </c>
      <c r="R15" s="105">
        <f>COUNTIFS('OB History'!$B:$B,$A$15,'OB History'!M:M, 1)</f>
        <v>0</v>
      </c>
      <c r="S15" s="105">
        <f>COUNTIFS('OB History'!$B:$B,$A$15,'OB History'!N:N, 1)</f>
        <v>3</v>
      </c>
      <c r="T15" s="105">
        <f>COUNTIFS('OB History'!$B:$B,$A$15,'OB History'!O:O, 1)</f>
        <v>1</v>
      </c>
      <c r="U15" s="105">
        <f>COUNTIFS('OB History'!$B:$B,$A$15,'OB History'!P:P, 1)</f>
        <v>3</v>
      </c>
      <c r="V15" s="105">
        <f>COUNTIFS('OB History'!$B:$B,$A$15,'OB History'!Q:Q, 1)</f>
        <v>1</v>
      </c>
      <c r="W15" s="105">
        <f>COUNTIFS('OB History'!$B:$B,$A$15,'OB History'!R:R, 1)</f>
        <v>0</v>
      </c>
      <c r="X15" s="105">
        <f>COUNTIFS('OB History'!$B:$B,$A$15,'OB History'!S:S, 1)</f>
        <v>0</v>
      </c>
      <c r="Y15" s="105">
        <f>COUNTIFS('OB History'!$B:$B,$A$15,'OB History'!T:T, 1)</f>
        <v>0</v>
      </c>
      <c r="Z15" s="105">
        <f>COUNTIFS('OB History'!$B:$B,$A$15,'OB History'!U:U, 1)</f>
        <v>1</v>
      </c>
      <c r="AA15" s="105">
        <f>COUNTIFS('OB History'!$B:$B,$A$15,'OB History'!V:V, 1)</f>
        <v>4</v>
      </c>
      <c r="AB15" s="105">
        <f>COUNTIFS('OB History'!$B:$B,$A$15,'OB History'!W:W, 1)</f>
        <v>6</v>
      </c>
      <c r="AC15" s="105">
        <f>COUNTIFS('OB History'!$B:$B,$A$15,'OB History'!X:X, 1)</f>
        <v>2</v>
      </c>
      <c r="AD15" s="105">
        <f>COUNTIFS('OB History'!$B:$B,$A$15,'OB History'!Y:Y, 1)</f>
        <v>5</v>
      </c>
    </row>
    <row r="16" spans="1:30" x14ac:dyDescent="0.25">
      <c r="A16" s="2" t="s">
        <v>46</v>
      </c>
      <c r="B16" s="2"/>
      <c r="C16" s="2" t="s">
        <v>79</v>
      </c>
      <c r="D16" s="101">
        <f>SUMIFS('OB History'!C:C,'OB History'!B:B,A16)</f>
        <v>183</v>
      </c>
      <c r="E16" s="102">
        <f>AVERAGEIFS('OB History'!C:C,'OB History'!B:B,A16)</f>
        <v>20.333333333333332</v>
      </c>
      <c r="F16" s="103">
        <f t="array" ref="F16">MAX(IF('OB History'!B:B=A16, 'OB History'!C:C))</f>
        <v>36</v>
      </c>
      <c r="G16" s="101">
        <f>COUNTIFS('OB History'!B:B,A16,'OB History'!D:D, 1)</f>
        <v>4</v>
      </c>
      <c r="H16" s="104">
        <f>COUNTIFS('OB History'!B:B,A16,'OB History'!D:D, 0)</f>
        <v>5</v>
      </c>
      <c r="I16" s="41">
        <f t="shared" si="0"/>
        <v>0.44444444444444442</v>
      </c>
      <c r="J16" s="101">
        <f>SUMIFS('OB History'!F:F,'OB History'!B:B,A16)</f>
        <v>16</v>
      </c>
      <c r="K16" s="104">
        <f>SUMIFS('OB History'!E:E,'OB History'!B:B,A16)-J16</f>
        <v>20</v>
      </c>
      <c r="L16" s="41">
        <f t="shared" si="1"/>
        <v>0.44444444444444442</v>
      </c>
      <c r="M16" s="101">
        <f>SUMIFS('OB History'!H:H,'OB History'!B:B,'Old Bow v2'!A16)</f>
        <v>70</v>
      </c>
      <c r="N16" s="104">
        <f>SUMIFS('OB History'!G:G,'OB History'!B:B,'Old Bow v2'!A16)-M16</f>
        <v>83</v>
      </c>
      <c r="O16" s="41">
        <f t="shared" si="2"/>
        <v>0.45751633986928103</v>
      </c>
      <c r="P16" s="105">
        <f>COUNTIFS('OB History'!$B:$B,$A$16,'OB History'!K:K, 1)</f>
        <v>0</v>
      </c>
      <c r="Q16" s="105">
        <f>COUNTIFS('OB History'!$B:$B,$A$16,'OB History'!L:L, 1)</f>
        <v>1</v>
      </c>
      <c r="R16" s="105">
        <f>COUNTIFS('OB History'!$B:$B,$A$16,'OB History'!M:M, 1)</f>
        <v>0</v>
      </c>
      <c r="S16" s="105">
        <f>COUNTIFS('OB History'!$B:$B,$A$16,'OB History'!N:N, 1)</f>
        <v>1</v>
      </c>
      <c r="T16" s="105">
        <f>COUNTIFS('OB History'!$B:$B,$A$16,'OB History'!O:O, 1)</f>
        <v>0</v>
      </c>
      <c r="U16" s="105">
        <f>COUNTIFS('OB History'!$B:$B,$A$16,'OB History'!P:P, 1)</f>
        <v>5</v>
      </c>
      <c r="V16" s="105">
        <f>COUNTIFS('OB History'!$B:$B,$A$16,'OB History'!Q:Q, 1)</f>
        <v>0</v>
      </c>
      <c r="W16" s="105">
        <f>COUNTIFS('OB History'!$B:$B,$A$16,'OB History'!R:R, 1)</f>
        <v>1</v>
      </c>
      <c r="X16" s="105">
        <f>COUNTIFS('OB History'!$B:$B,$A$16,'OB History'!S:S, 1)</f>
        <v>0</v>
      </c>
      <c r="Y16" s="105">
        <f>COUNTIFS('OB History'!$B:$B,$A$16,'OB History'!T:T, 1)</f>
        <v>0</v>
      </c>
      <c r="Z16" s="105">
        <f>COUNTIFS('OB History'!$B:$B,$A$16,'OB History'!U:U, 1)</f>
        <v>0</v>
      </c>
      <c r="AA16" s="105">
        <f>COUNTIFS('OB History'!$B:$B,$A$16,'OB History'!V:V, 1)</f>
        <v>1</v>
      </c>
      <c r="AB16" s="105">
        <f>COUNTIFS('OB History'!$B:$B,$A$16,'OB History'!W:W, 1)</f>
        <v>3</v>
      </c>
      <c r="AC16" s="105">
        <f>COUNTIFS('OB History'!$B:$B,$A$16,'OB History'!X:X, 1)</f>
        <v>1</v>
      </c>
      <c r="AD16" s="105">
        <f>COUNTIFS('OB History'!$B:$B,$A$16,'OB History'!Y:Y, 1)</f>
        <v>2</v>
      </c>
    </row>
    <row r="17" spans="1:30" x14ac:dyDescent="0.25">
      <c r="A17" s="2" t="s">
        <v>28</v>
      </c>
      <c r="B17" s="6" t="s">
        <v>60</v>
      </c>
      <c r="C17" s="2" t="s">
        <v>79</v>
      </c>
      <c r="D17" s="101">
        <f>SUMIFS('OB History'!C:C,'OB History'!B:B,A17)</f>
        <v>178</v>
      </c>
      <c r="E17" s="102">
        <f>AVERAGEIFS('OB History'!C:C,'OB History'!B:B,A17)</f>
        <v>12.714285714285714</v>
      </c>
      <c r="F17" s="103">
        <f t="array" ref="F17">MAX(IF('OB History'!B:B=A17, 'OB History'!C:C))</f>
        <v>23</v>
      </c>
      <c r="G17" s="101">
        <f>COUNTIFS('OB History'!B:B,A17,'OB History'!D:D, 1)</f>
        <v>5</v>
      </c>
      <c r="H17" s="104">
        <f>COUNTIFS('OB History'!B:B,A17,'OB History'!D:D, 0)</f>
        <v>9</v>
      </c>
      <c r="I17" s="41">
        <f t="shared" si="0"/>
        <v>0.35714285714285715</v>
      </c>
      <c r="J17" s="101">
        <f>SUMIFS('OB History'!F:F,'OB History'!B:B,A17)</f>
        <v>23</v>
      </c>
      <c r="K17" s="104">
        <f>SUMIFS('OB History'!E:E,'OB History'!B:B,A17)-J17</f>
        <v>34</v>
      </c>
      <c r="L17" s="41">
        <f t="shared" si="1"/>
        <v>0.40350877192982454</v>
      </c>
      <c r="M17" s="101">
        <f>SUMIFS('OB History'!H:H,'OB History'!B:B,'Old Bow v2'!A17)</f>
        <v>110</v>
      </c>
      <c r="N17" s="104">
        <f>SUMIFS('OB History'!G:G,'OB History'!B:B,'Old Bow v2'!A17)-M17</f>
        <v>130</v>
      </c>
      <c r="O17" s="41">
        <f t="shared" si="2"/>
        <v>0.45833333333333331</v>
      </c>
      <c r="P17" s="105">
        <f>COUNTIFS('OB History'!$B:$B,$A$17,'OB History'!K:K, 1)</f>
        <v>3</v>
      </c>
      <c r="Q17" s="105">
        <f>COUNTIFS('OB History'!$B:$B,$A$17,'OB History'!L:L, 1)</f>
        <v>0</v>
      </c>
      <c r="R17" s="105">
        <f>COUNTIFS('OB History'!$B:$B,$A$17,'OB History'!M:M, 1)</f>
        <v>0</v>
      </c>
      <c r="S17" s="105">
        <f>COUNTIFS('OB History'!$B:$B,$A$17,'OB History'!N:N, 1)</f>
        <v>0</v>
      </c>
      <c r="T17" s="105">
        <f>COUNTIFS('OB History'!$B:$B,$A$17,'OB History'!O:O, 1)</f>
        <v>1</v>
      </c>
      <c r="U17" s="105">
        <f>COUNTIFS('OB History'!$B:$B,$A$17,'OB History'!P:P, 1)</f>
        <v>2</v>
      </c>
      <c r="V17" s="105">
        <f>COUNTIFS('OB History'!$B:$B,$A$17,'OB History'!Q:Q, 1)</f>
        <v>1</v>
      </c>
      <c r="W17" s="105">
        <f>COUNTIFS('OB History'!$B:$B,$A$17,'OB History'!R:R, 1)</f>
        <v>0</v>
      </c>
      <c r="X17" s="105">
        <f>COUNTIFS('OB History'!$B:$B,$A$17,'OB History'!S:S, 1)</f>
        <v>1</v>
      </c>
      <c r="Y17" s="105">
        <f>COUNTIFS('OB History'!$B:$B,$A$17,'OB History'!T:T, 1)</f>
        <v>1</v>
      </c>
      <c r="Z17" s="105">
        <f>COUNTIFS('OB History'!$B:$B,$A$17,'OB History'!U:U, 1)</f>
        <v>0</v>
      </c>
      <c r="AA17" s="105">
        <f>COUNTIFS('OB History'!$B:$B,$A$17,'OB History'!V:V, 1)</f>
        <v>1</v>
      </c>
      <c r="AB17" s="105">
        <f>COUNTIFS('OB History'!$B:$B,$A$17,'OB History'!W:W, 1)</f>
        <v>3</v>
      </c>
      <c r="AC17" s="105">
        <f>COUNTIFS('OB History'!$B:$B,$A$17,'OB History'!X:X, 1)</f>
        <v>2</v>
      </c>
      <c r="AD17" s="105">
        <f>COUNTIFS('OB History'!$B:$B,$A$17,'OB History'!Y:Y, 1)</f>
        <v>7</v>
      </c>
    </row>
    <row r="18" spans="1:30" x14ac:dyDescent="0.25">
      <c r="A18" s="2" t="s">
        <v>53</v>
      </c>
      <c r="B18" s="6" t="s">
        <v>60</v>
      </c>
      <c r="C18" s="6" t="s">
        <v>79</v>
      </c>
      <c r="D18" s="101">
        <f>SUMIFS('OB History'!C:C,'OB History'!B:B,A18)</f>
        <v>43</v>
      </c>
      <c r="E18" s="102">
        <f>AVERAGEIFS('OB History'!C:C,'OB History'!B:B,A18)</f>
        <v>14.333333333333334</v>
      </c>
      <c r="F18" s="103">
        <f t="array" ref="F18">MAX(IF('OB History'!B:B=A18, 'OB History'!C:C))</f>
        <v>25</v>
      </c>
      <c r="G18" s="101">
        <f>COUNTIFS('OB History'!B:B,A18,'OB History'!D:D, 1)</f>
        <v>2</v>
      </c>
      <c r="H18" s="104">
        <f>COUNTIFS('OB History'!B:B,A18,'OB History'!D:D, 0)</f>
        <v>1</v>
      </c>
      <c r="I18" s="42">
        <f t="shared" si="0"/>
        <v>0.66666666666666663</v>
      </c>
      <c r="J18" s="101">
        <f>SUMIFS('OB History'!F:F,'OB History'!B:B,A18)</f>
        <v>6</v>
      </c>
      <c r="K18" s="104">
        <f>SUMIFS('OB History'!E:E,'OB History'!B:B,A18)-J18</f>
        <v>7</v>
      </c>
      <c r="L18" s="42">
        <f t="shared" si="1"/>
        <v>0.46153846153846156</v>
      </c>
      <c r="M18" s="101">
        <f>SUMIFS('OB History'!H:H,'OB History'!B:B,'Old Bow v2'!A18)</f>
        <v>27</v>
      </c>
      <c r="N18" s="104">
        <f>SUMIFS('OB History'!G:G,'OB History'!B:B,'Old Bow v2'!A18)-M18</f>
        <v>26</v>
      </c>
      <c r="O18" s="42">
        <f t="shared" si="2"/>
        <v>0.50943396226415094</v>
      </c>
      <c r="P18" s="105">
        <f>COUNTIFS('OB History'!$B:$B,$A$18,'OB History'!K:K, 1)</f>
        <v>0</v>
      </c>
      <c r="Q18" s="105">
        <f>COUNTIFS('OB History'!$B:$B,$A$18,'OB History'!L:L, 1)</f>
        <v>0</v>
      </c>
      <c r="R18" s="105">
        <f>COUNTIFS('OB History'!$B:$B,$A$18,'OB History'!M:M, 1)</f>
        <v>0</v>
      </c>
      <c r="S18" s="105">
        <f>COUNTIFS('OB History'!$B:$B,$A$18,'OB History'!N:N, 1)</f>
        <v>1</v>
      </c>
      <c r="T18" s="105">
        <f>COUNTIFS('OB History'!$B:$B,$A$18,'OB History'!O:O, 1)</f>
        <v>2</v>
      </c>
      <c r="U18" s="105">
        <f>COUNTIFS('OB History'!$B:$B,$A$18,'OB History'!P:P, 1)</f>
        <v>1</v>
      </c>
      <c r="V18" s="105">
        <f>COUNTIFS('OB History'!$B:$B,$A$18,'OB History'!Q:Q, 1)</f>
        <v>2</v>
      </c>
      <c r="W18" s="105">
        <f>COUNTIFS('OB History'!$B:$B,$A$18,'OB History'!R:R, 1)</f>
        <v>0</v>
      </c>
      <c r="X18" s="105">
        <f>COUNTIFS('OB History'!$B:$B,$A$18,'OB History'!S:S, 1)</f>
        <v>0</v>
      </c>
      <c r="Y18" s="105">
        <f>COUNTIFS('OB History'!$B:$B,$A$18,'OB History'!T:T, 1)</f>
        <v>0</v>
      </c>
      <c r="Z18" s="105">
        <f>COUNTIFS('OB History'!$B:$B,$A$18,'OB History'!U:U, 1)</f>
        <v>0</v>
      </c>
      <c r="AA18" s="105">
        <f>COUNTIFS('OB History'!$B:$B,$A$18,'OB History'!V:V, 1)</f>
        <v>0</v>
      </c>
      <c r="AB18" s="105">
        <f>COUNTIFS('OB History'!$B:$B,$A$18,'OB History'!W:W, 1)</f>
        <v>0</v>
      </c>
      <c r="AC18" s="105">
        <f>COUNTIFS('OB History'!$B:$B,$A$18,'OB History'!X:X, 1)</f>
        <v>0</v>
      </c>
      <c r="AD18" s="105">
        <f>COUNTIFS('OB History'!$B:$B,$A$18,'OB History'!Y:Y, 1)</f>
        <v>0</v>
      </c>
    </row>
    <row r="19" spans="1:30" x14ac:dyDescent="0.25">
      <c r="A19" s="2" t="s">
        <v>51</v>
      </c>
      <c r="B19" s="2" t="s">
        <v>79</v>
      </c>
      <c r="C19" s="2" t="s">
        <v>79</v>
      </c>
      <c r="D19" s="101">
        <f>SUMIFS('OB History'!C:C,'OB History'!B:B,A19)</f>
        <v>167</v>
      </c>
      <c r="E19" s="102">
        <f>AVERAGEIFS('OB History'!C:C,'OB History'!B:B,A19)</f>
        <v>13.916666666666666</v>
      </c>
      <c r="F19" s="103">
        <f t="array" ref="F19">MAX(IF('OB History'!B:B=A19, 'OB History'!C:C))</f>
        <v>22</v>
      </c>
      <c r="G19" s="101">
        <f>COUNTIFS('OB History'!B:B,A19,'OB History'!D:D, 1)</f>
        <v>7</v>
      </c>
      <c r="H19" s="104">
        <f>COUNTIFS('OB History'!B:B,A19,'OB History'!D:D, 0)</f>
        <v>5</v>
      </c>
      <c r="I19" s="42">
        <f t="shared" si="0"/>
        <v>0.58333333333333337</v>
      </c>
      <c r="J19" s="101">
        <f>SUMIFS('OB History'!F:F,'OB History'!B:B,A19)</f>
        <v>27</v>
      </c>
      <c r="K19" s="104">
        <f>SUMIFS('OB History'!E:E,'OB History'!B:B,A19)-J19</f>
        <v>23</v>
      </c>
      <c r="L19" s="42">
        <f t="shared" si="1"/>
        <v>0.54</v>
      </c>
      <c r="M19" s="101">
        <f>SUMIFS('OB History'!H:H,'OB History'!B:B,'Old Bow v2'!A19)</f>
        <v>104</v>
      </c>
      <c r="N19" s="104">
        <f>SUMIFS('OB History'!G:G,'OB History'!B:B,'Old Bow v2'!A19)-M19</f>
        <v>99</v>
      </c>
      <c r="O19" s="42">
        <f t="shared" si="2"/>
        <v>0.51231527093596063</v>
      </c>
      <c r="P19" s="105">
        <f>COUNTIFS('OB History'!$B:$B,$A$19,'OB History'!K:K, 1)</f>
        <v>4</v>
      </c>
      <c r="Q19" s="105">
        <f>COUNTIFS('OB History'!$B:$B,$A$19,'OB History'!L:L, 1)</f>
        <v>1</v>
      </c>
      <c r="R19" s="105">
        <f>COUNTIFS('OB History'!$B:$B,$A$19,'OB History'!M:M, 1)</f>
        <v>0</v>
      </c>
      <c r="S19" s="105">
        <f>COUNTIFS('OB History'!$B:$B,$A$19,'OB History'!N:N, 1)</f>
        <v>3</v>
      </c>
      <c r="T19" s="105">
        <f>COUNTIFS('OB History'!$B:$B,$A$19,'OB History'!O:O, 1)</f>
        <v>0</v>
      </c>
      <c r="U19" s="105">
        <f>COUNTIFS('OB History'!$B:$B,$A$19,'OB History'!P:P, 1)</f>
        <v>3</v>
      </c>
      <c r="V19" s="105">
        <f>COUNTIFS('OB History'!$B:$B,$A$19,'OB History'!Q:Q, 1)</f>
        <v>0</v>
      </c>
      <c r="W19" s="105">
        <f>COUNTIFS('OB History'!$B:$B,$A$19,'OB History'!R:R, 1)</f>
        <v>1</v>
      </c>
      <c r="X19" s="105">
        <f>COUNTIFS('OB History'!$B:$B,$A$19,'OB History'!S:S, 1)</f>
        <v>0</v>
      </c>
      <c r="Y19" s="105">
        <f>COUNTIFS('OB History'!$B:$B,$A$19,'OB History'!T:T, 1)</f>
        <v>0</v>
      </c>
      <c r="Z19" s="105">
        <f>COUNTIFS('OB History'!$B:$B,$A$19,'OB History'!U:U, 1)</f>
        <v>1</v>
      </c>
      <c r="AA19" s="105">
        <f>COUNTIFS('OB History'!$B:$B,$A$19,'OB History'!V:V, 1)</f>
        <v>5</v>
      </c>
      <c r="AB19" s="105">
        <f>COUNTIFS('OB History'!$B:$B,$A$19,'OB History'!W:W, 1)</f>
        <v>4</v>
      </c>
      <c r="AC19" s="105">
        <f>COUNTIFS('OB History'!$B:$B,$A$19,'OB History'!X:X, 1)</f>
        <v>2</v>
      </c>
      <c r="AD19" s="105">
        <f>COUNTIFS('OB History'!$B:$B,$A$19,'OB History'!Y:Y, 1)</f>
        <v>3</v>
      </c>
    </row>
    <row r="20" spans="1:30" ht="15.75" x14ac:dyDescent="0.25">
      <c r="A20" s="2" t="s">
        <v>20</v>
      </c>
      <c r="B20" s="80" t="s">
        <v>60</v>
      </c>
      <c r="C20" s="2" t="s">
        <v>79</v>
      </c>
      <c r="D20" s="101">
        <f>SUMIFS('OB History'!C:C,'OB History'!B:B,A20)</f>
        <v>213</v>
      </c>
      <c r="E20" s="102">
        <f>AVERAGEIFS('OB History'!C:C,'OB History'!B:B,A20)</f>
        <v>13.3125</v>
      </c>
      <c r="F20" s="103">
        <f t="array" ref="F20">MAX(IF('OB History'!B:B=A20, 'OB History'!C:C))</f>
        <v>28</v>
      </c>
      <c r="G20" s="101">
        <f>COUNTIFS('OB History'!B:B,A20,'OB History'!D:D, 1)</f>
        <v>6</v>
      </c>
      <c r="H20" s="104">
        <f>COUNTIFS('OB History'!B:B,A20,'OB History'!D:D, 0)</f>
        <v>10</v>
      </c>
      <c r="I20" s="41">
        <f t="shared" si="0"/>
        <v>0.375</v>
      </c>
      <c r="J20" s="101">
        <f>SUMIFS('OB History'!F:F,'OB History'!B:B,A20)</f>
        <v>32</v>
      </c>
      <c r="K20" s="104">
        <f>SUMIFS('OB History'!E:E,'OB History'!B:B,A20)-J20</f>
        <v>35</v>
      </c>
      <c r="L20" s="41">
        <f t="shared" si="1"/>
        <v>0.47761194029850745</v>
      </c>
      <c r="M20" s="101">
        <f>SUMIFS('OB History'!H:H,'OB History'!B:B,'Old Bow v2'!A20)</f>
        <v>140</v>
      </c>
      <c r="N20" s="104">
        <f>SUMIFS('OB History'!G:G,'OB History'!B:B,'Old Bow v2'!A20)-M20</f>
        <v>142</v>
      </c>
      <c r="O20" s="41">
        <f t="shared" si="2"/>
        <v>0.49645390070921985</v>
      </c>
      <c r="P20" s="105">
        <f>COUNTIFS('OB History'!$B:$B,$A$20,'OB History'!K:K, 1)</f>
        <v>1</v>
      </c>
      <c r="Q20" s="105">
        <f>COUNTIFS('OB History'!$B:$B,$A$20,'OB History'!L:L, 1)</f>
        <v>3</v>
      </c>
      <c r="R20" s="105">
        <f>COUNTIFS('OB History'!$B:$B,$A$20,'OB History'!M:M, 1)</f>
        <v>0</v>
      </c>
      <c r="S20" s="105">
        <f>COUNTIFS('OB History'!$B:$B,$A$20,'OB History'!N:N, 1)</f>
        <v>6</v>
      </c>
      <c r="T20" s="105">
        <f>COUNTIFS('OB History'!$B:$B,$A$20,'OB History'!O:O, 1)</f>
        <v>0</v>
      </c>
      <c r="U20" s="105">
        <f>COUNTIFS('OB History'!$B:$B,$A$20,'OB History'!P:P, 1)</f>
        <v>3</v>
      </c>
      <c r="V20" s="105">
        <f>COUNTIFS('OB History'!$B:$B,$A$20,'OB History'!Q:Q, 1)</f>
        <v>1</v>
      </c>
      <c r="W20" s="105">
        <f>COUNTIFS('OB History'!$B:$B,$A$20,'OB History'!R:R, 1)</f>
        <v>1</v>
      </c>
      <c r="X20" s="105">
        <f>COUNTIFS('OB History'!$B:$B,$A$20,'OB History'!S:S, 1)</f>
        <v>0</v>
      </c>
      <c r="Y20" s="105">
        <f>COUNTIFS('OB History'!$B:$B,$A$20,'OB History'!T:T, 1)</f>
        <v>0</v>
      </c>
      <c r="Z20" s="105">
        <f>COUNTIFS('OB History'!$B:$B,$A$20,'OB History'!U:U, 1)</f>
        <v>2</v>
      </c>
      <c r="AA20" s="105">
        <f>COUNTIFS('OB History'!$B:$B,$A$20,'OB History'!V:V, 1)</f>
        <v>7</v>
      </c>
      <c r="AB20" s="105">
        <f>COUNTIFS('OB History'!$B:$B,$A$20,'OB History'!W:W, 1)</f>
        <v>5</v>
      </c>
      <c r="AC20" s="105">
        <f>COUNTIFS('OB History'!$B:$B,$A$20,'OB History'!X:X, 1)</f>
        <v>1</v>
      </c>
      <c r="AD20" s="105">
        <f>COUNTIFS('OB History'!$B:$B,$A$20,'OB History'!Y:Y, 1)</f>
        <v>2</v>
      </c>
    </row>
    <row r="21" spans="1:30" x14ac:dyDescent="0.25">
      <c r="A21" s="1" t="s">
        <v>47</v>
      </c>
      <c r="B21" s="2" t="s">
        <v>79</v>
      </c>
      <c r="C21" s="2" t="s">
        <v>79</v>
      </c>
      <c r="D21" s="101">
        <f>SUMIFS('OB History'!C:C,'OB History'!B:B,A21)</f>
        <v>36</v>
      </c>
      <c r="E21" s="102">
        <f>AVERAGEIFS('OB History'!C:C,'OB History'!B:B,A21)</f>
        <v>9</v>
      </c>
      <c r="F21" s="103">
        <f t="array" ref="F21">MAX(IF('OB History'!B:B=A21, 'OB History'!C:C))</f>
        <v>13</v>
      </c>
      <c r="G21" s="101">
        <f>COUNTIFS('OB History'!B:B,A21,'OB History'!D:D, 1)</f>
        <v>2</v>
      </c>
      <c r="H21" s="104">
        <f>COUNTIFS('OB History'!B:B,A21,'OB History'!D:D, 0)</f>
        <v>2</v>
      </c>
      <c r="I21" s="42">
        <f t="shared" si="0"/>
        <v>0.5</v>
      </c>
      <c r="J21" s="101">
        <f>SUMIFS('OB History'!F:F,'OB History'!B:B,A21)</f>
        <v>9</v>
      </c>
      <c r="K21" s="104">
        <f>SUMIFS('OB History'!E:E,'OB History'!B:B,A21)-J21</f>
        <v>7</v>
      </c>
      <c r="L21" s="42">
        <f t="shared" si="1"/>
        <v>0.5625</v>
      </c>
      <c r="M21" s="101">
        <f>SUMIFS('OB History'!H:H,'OB History'!B:B,'Old Bow v2'!A21)</f>
        <v>38</v>
      </c>
      <c r="N21" s="104">
        <f>SUMIFS('OB History'!G:G,'OB History'!B:B,'Old Bow v2'!A21)-M21</f>
        <v>34</v>
      </c>
      <c r="O21" s="42">
        <f t="shared" si="2"/>
        <v>0.52777777777777779</v>
      </c>
      <c r="P21" s="105">
        <f>COUNTIFS('OB History'!$B:$B,$A$21,'OB History'!K:K, 1)</f>
        <v>0</v>
      </c>
      <c r="Q21" s="105">
        <f>COUNTIFS('OB History'!$B:$B,$A$21,'OB History'!L:L, 1)</f>
        <v>0</v>
      </c>
      <c r="R21" s="105">
        <f>COUNTIFS('OB History'!$B:$B,$A$21,'OB History'!M:M, 1)</f>
        <v>0</v>
      </c>
      <c r="S21" s="105">
        <f>COUNTIFS('OB History'!$B:$B,$A$21,'OB History'!N:N, 1)</f>
        <v>1</v>
      </c>
      <c r="T21" s="105">
        <f>COUNTIFS('OB History'!$B:$B,$A$21,'OB History'!O:O, 1)</f>
        <v>0</v>
      </c>
      <c r="U21" s="105">
        <f>COUNTIFS('OB History'!$B:$B,$A$21,'OB History'!P:P, 1)</f>
        <v>1</v>
      </c>
      <c r="V21" s="105">
        <f>COUNTIFS('OB History'!$B:$B,$A$21,'OB History'!Q:Q, 1)</f>
        <v>0</v>
      </c>
      <c r="W21" s="105">
        <f>COUNTIFS('OB History'!$B:$B,$A$21,'OB History'!R:R, 1)</f>
        <v>0</v>
      </c>
      <c r="X21" s="105">
        <f>COUNTIFS('OB History'!$B:$B,$A$21,'OB History'!S:S, 1)</f>
        <v>0</v>
      </c>
      <c r="Y21" s="105">
        <f>COUNTIFS('OB History'!$B:$B,$A$21,'OB History'!T:T, 1)</f>
        <v>0</v>
      </c>
      <c r="Z21" s="105">
        <f>COUNTIFS('OB History'!$B:$B,$A$21,'OB History'!U:U, 1)</f>
        <v>0</v>
      </c>
      <c r="AA21" s="105">
        <f>COUNTIFS('OB History'!$B:$B,$A$21,'OB History'!V:V, 1)</f>
        <v>3</v>
      </c>
      <c r="AB21" s="105">
        <f>COUNTIFS('OB History'!$B:$B,$A$21,'OB History'!W:W, 1)</f>
        <v>1</v>
      </c>
      <c r="AC21" s="105">
        <f>COUNTIFS('OB History'!$B:$B,$A$21,'OB History'!X:X, 1)</f>
        <v>0</v>
      </c>
      <c r="AD21" s="105">
        <f>COUNTIFS('OB History'!$B:$B,$A$21,'OB History'!Y:Y, 1)</f>
        <v>2</v>
      </c>
    </row>
    <row r="22" spans="1:30" x14ac:dyDescent="0.25">
      <c r="A22" s="2" t="s">
        <v>3</v>
      </c>
      <c r="B22" s="6" t="s">
        <v>60</v>
      </c>
      <c r="C22" s="6" t="s">
        <v>60</v>
      </c>
      <c r="D22" s="101">
        <f>SUMIFS('OB History'!C:C,'OB History'!B:B,A22)</f>
        <v>230</v>
      </c>
      <c r="E22" s="102">
        <f>AVERAGEIFS('OB History'!C:C,'OB History'!B:B,A22)</f>
        <v>23</v>
      </c>
      <c r="F22" s="103">
        <f t="array" ref="F22">MAX(IF('OB History'!B:B=A22, 'OB History'!C:C))</f>
        <v>44</v>
      </c>
      <c r="G22" s="101">
        <f>COUNTIFS('OB History'!B:B,A22,'OB History'!D:D, 1)</f>
        <v>6</v>
      </c>
      <c r="H22" s="104">
        <f>COUNTIFS('OB History'!B:B,A22,'OB History'!D:D, 0)</f>
        <v>4</v>
      </c>
      <c r="I22" s="41">
        <f t="shared" si="0"/>
        <v>0.6</v>
      </c>
      <c r="J22" s="101">
        <f>SUMIFS('OB History'!F:F,'OB History'!B:B,A22)</f>
        <v>22</v>
      </c>
      <c r="K22" s="104">
        <f>SUMIFS('OB History'!E:E,'OB History'!B:B,A22)-J22</f>
        <v>21</v>
      </c>
      <c r="L22" s="41">
        <f t="shared" si="1"/>
        <v>0.51162790697674421</v>
      </c>
      <c r="M22" s="101">
        <f>SUMIFS('OB History'!H:H,'OB History'!B:B,'Old Bow v2'!A22)</f>
        <v>87</v>
      </c>
      <c r="N22" s="104">
        <f>SUMIFS('OB History'!G:G,'OB History'!B:B,'Old Bow v2'!A22)-M22</f>
        <v>88</v>
      </c>
      <c r="O22" s="41">
        <f t="shared" si="2"/>
        <v>0.49714285714285716</v>
      </c>
      <c r="P22" s="105">
        <f>COUNTIFS('OB History'!$B:$B,$A$22,'OB History'!K:K, 1)</f>
        <v>2</v>
      </c>
      <c r="Q22" s="105">
        <f>COUNTIFS('OB History'!$B:$B,$A$22,'OB History'!L:L, 1)</f>
        <v>3</v>
      </c>
      <c r="R22" s="105">
        <f>COUNTIFS('OB History'!$B:$B,$A$22,'OB History'!M:M, 1)</f>
        <v>0</v>
      </c>
      <c r="S22" s="105">
        <f>COUNTIFS('OB History'!$B:$B,$A$22,'OB History'!N:N, 1)</f>
        <v>1</v>
      </c>
      <c r="T22" s="105">
        <f>COUNTIFS('OB History'!$B:$B,$A$22,'OB History'!O:O, 1)</f>
        <v>2</v>
      </c>
      <c r="U22" s="105">
        <f>COUNTIFS('OB History'!$B:$B,$A$22,'OB History'!P:P, 1)</f>
        <v>2</v>
      </c>
      <c r="V22" s="105">
        <f>COUNTIFS('OB History'!$B:$B,$A$22,'OB History'!Q:Q, 1)</f>
        <v>3</v>
      </c>
      <c r="W22" s="105">
        <f>COUNTIFS('OB History'!$B:$B,$A$22,'OB History'!R:R, 1)</f>
        <v>0</v>
      </c>
      <c r="X22" s="105">
        <f>COUNTIFS('OB History'!$B:$B,$A$22,'OB History'!S:S, 1)</f>
        <v>0</v>
      </c>
      <c r="Y22" s="105">
        <f>COUNTIFS('OB History'!$B:$B,$A$22,'OB History'!T:T, 1)</f>
        <v>0</v>
      </c>
      <c r="Z22" s="105">
        <f>COUNTIFS('OB History'!$B:$B,$A$22,'OB History'!U:U, 1)</f>
        <v>1</v>
      </c>
      <c r="AA22" s="105">
        <f>COUNTIFS('OB History'!$B:$B,$A$22,'OB History'!V:V, 1)</f>
        <v>1</v>
      </c>
      <c r="AB22" s="105">
        <f>COUNTIFS('OB History'!$B:$B,$A$22,'OB History'!W:W, 1)</f>
        <v>3</v>
      </c>
      <c r="AC22" s="105">
        <f>COUNTIFS('OB History'!$B:$B,$A$22,'OB History'!X:X, 1)</f>
        <v>2</v>
      </c>
      <c r="AD22" s="105">
        <f>COUNTIFS('OB History'!$B:$B,$A$22,'OB History'!Y:Y, 1)</f>
        <v>1</v>
      </c>
    </row>
    <row r="23" spans="1:30" x14ac:dyDescent="0.25">
      <c r="A23" s="2" t="s">
        <v>15</v>
      </c>
      <c r="B23" s="2" t="s">
        <v>79</v>
      </c>
      <c r="C23" s="2" t="s">
        <v>79</v>
      </c>
      <c r="D23" s="101">
        <f>SUMIFS('OB History'!C:C,'OB History'!B:B,A23)</f>
        <v>445</v>
      </c>
      <c r="E23" s="102">
        <f>AVERAGEIFS('OB History'!C:C,'OB History'!B:B,A23)</f>
        <v>26.176470588235293</v>
      </c>
      <c r="F23" s="103">
        <f t="array" ref="F23">MAX(IF('OB History'!B:B=A23, 'OB History'!C:C))</f>
        <v>55</v>
      </c>
      <c r="G23" s="101">
        <f>COUNTIFS('OB History'!B:B,A23,'OB History'!D:D, 1)</f>
        <v>4</v>
      </c>
      <c r="H23" s="104">
        <f>COUNTIFS('OB History'!B:B,A23,'OB History'!D:D, 0)</f>
        <v>13</v>
      </c>
      <c r="I23" s="41">
        <f t="shared" si="0"/>
        <v>0.23529411764705882</v>
      </c>
      <c r="J23" s="101">
        <f>SUMIFS('OB History'!F:F,'OB History'!B:B,A23)</f>
        <v>28</v>
      </c>
      <c r="K23" s="104">
        <f>SUMIFS('OB History'!E:E,'OB History'!B:B,A23)-J23</f>
        <v>42</v>
      </c>
      <c r="L23" s="41">
        <f t="shared" si="1"/>
        <v>0.4</v>
      </c>
      <c r="M23" s="101">
        <f>SUMIFS('OB History'!H:H,'OB History'!B:B,'Old Bow v2'!A23)</f>
        <v>136</v>
      </c>
      <c r="N23" s="104">
        <f>SUMIFS('OB History'!G:G,'OB History'!B:B,'Old Bow v2'!A23)-M23</f>
        <v>159</v>
      </c>
      <c r="O23" s="41">
        <f t="shared" si="2"/>
        <v>0.46101694915254238</v>
      </c>
      <c r="P23" s="105">
        <f>COUNTIFS('OB History'!$B:$B,$A$23,'OB History'!K:K, 1)</f>
        <v>2</v>
      </c>
      <c r="Q23" s="105">
        <f>COUNTIFS('OB History'!$B:$B,$A$23,'OB History'!L:L, 1)</f>
        <v>0</v>
      </c>
      <c r="R23" s="105">
        <f>COUNTIFS('OB History'!$B:$B,$A$23,'OB History'!M:M, 1)</f>
        <v>0</v>
      </c>
      <c r="S23" s="105">
        <f>COUNTIFS('OB History'!$B:$B,$A$23,'OB History'!N:N, 1)</f>
        <v>3</v>
      </c>
      <c r="T23" s="105">
        <f>COUNTIFS('OB History'!$B:$B,$A$23,'OB History'!O:O, 1)</f>
        <v>0</v>
      </c>
      <c r="U23" s="105">
        <f>COUNTIFS('OB History'!$B:$B,$A$23,'OB History'!P:P, 1)</f>
        <v>4</v>
      </c>
      <c r="V23" s="105">
        <f>COUNTIFS('OB History'!$B:$B,$A$23,'OB History'!Q:Q, 1)</f>
        <v>1</v>
      </c>
      <c r="W23" s="105">
        <f>COUNTIFS('OB History'!$B:$B,$A$23,'OB History'!R:R, 1)</f>
        <v>0</v>
      </c>
      <c r="X23" s="105">
        <f>COUNTIFS('OB History'!$B:$B,$A$23,'OB History'!S:S, 1)</f>
        <v>0</v>
      </c>
      <c r="Y23" s="105">
        <f>COUNTIFS('OB History'!$B:$B,$A$23,'OB History'!T:T, 1)</f>
        <v>0</v>
      </c>
      <c r="Z23" s="105">
        <f>COUNTIFS('OB History'!$B:$B,$A$23,'OB History'!U:U, 1)</f>
        <v>0</v>
      </c>
      <c r="AA23" s="105">
        <f>COUNTIFS('OB History'!$B:$B,$A$23,'OB History'!V:V, 1)</f>
        <v>5</v>
      </c>
      <c r="AB23" s="105">
        <f>COUNTIFS('OB History'!$B:$B,$A$23,'OB History'!W:W, 1)</f>
        <v>6</v>
      </c>
      <c r="AC23" s="105">
        <f>COUNTIFS('OB History'!$B:$B,$A$23,'OB History'!X:X, 1)</f>
        <v>2</v>
      </c>
      <c r="AD23" s="105">
        <f>COUNTIFS('OB History'!$B:$B,$A$23,'OB History'!Y:Y, 1)</f>
        <v>5</v>
      </c>
    </row>
    <row r="24" spans="1:30" x14ac:dyDescent="0.25">
      <c r="A24" s="1" t="s">
        <v>43</v>
      </c>
      <c r="B24" s="2" t="s">
        <v>79</v>
      </c>
      <c r="C24" s="2" t="s">
        <v>79</v>
      </c>
      <c r="D24" s="101">
        <f>SUMIFS('OB History'!C:C,'OB History'!B:B,A24)</f>
        <v>4</v>
      </c>
      <c r="E24" s="102">
        <f>AVERAGEIFS('OB History'!C:C,'OB History'!B:B,A24)</f>
        <v>4</v>
      </c>
      <c r="F24" s="103">
        <f t="array" ref="F24">MAX(IF('OB History'!B:B=A24, 'OB History'!C:C))</f>
        <v>4</v>
      </c>
      <c r="G24" s="101">
        <f>COUNTIFS('OB History'!B:B,A24,'OB History'!D:D, 1)</f>
        <v>1</v>
      </c>
      <c r="H24" s="104">
        <f>COUNTIFS('OB History'!B:B,A24,'OB History'!D:D, 0)</f>
        <v>0</v>
      </c>
      <c r="I24" s="42">
        <f t="shared" si="0"/>
        <v>1</v>
      </c>
      <c r="J24" s="101">
        <f>SUMIFS('OB History'!F:F,'OB History'!B:B,A24)</f>
        <v>3</v>
      </c>
      <c r="K24" s="104">
        <f>SUMIFS('OB History'!E:E,'OB History'!B:B,A24)-J24</f>
        <v>0</v>
      </c>
      <c r="L24" s="42">
        <f t="shared" si="1"/>
        <v>1</v>
      </c>
      <c r="M24" s="101">
        <f>SUMIFS('OB History'!H:H,'OB History'!B:B,'Old Bow v2'!A24)</f>
        <v>9</v>
      </c>
      <c r="N24" s="104">
        <f>SUMIFS('OB History'!G:G,'OB History'!B:B,'Old Bow v2'!A24)-M24</f>
        <v>4</v>
      </c>
      <c r="O24" s="42">
        <f t="shared" si="2"/>
        <v>0.69230769230769229</v>
      </c>
      <c r="P24" s="105">
        <f>COUNTIFS('OB History'!$B:$B,$A$24,'OB History'!K:K, 1)</f>
        <v>0</v>
      </c>
      <c r="Q24" s="105">
        <f>COUNTIFS('OB History'!$B:$B,$A$24,'OB History'!L:L, 1)</f>
        <v>0</v>
      </c>
      <c r="R24" s="105">
        <f>COUNTIFS('OB History'!$B:$B,$A$24,'OB History'!M:M, 1)</f>
        <v>0</v>
      </c>
      <c r="S24" s="105">
        <f>COUNTIFS('OB History'!$B:$B,$A$24,'OB History'!N:N, 1)</f>
        <v>0</v>
      </c>
      <c r="T24" s="105">
        <f>COUNTIFS('OB History'!$B:$B,$A$24,'OB History'!O:O, 1)</f>
        <v>0</v>
      </c>
      <c r="U24" s="105">
        <f>COUNTIFS('OB History'!$B:$B,$A$24,'OB History'!P:P, 1)</f>
        <v>1</v>
      </c>
      <c r="V24" s="105">
        <f>COUNTIFS('OB History'!$B:$B,$A$24,'OB History'!Q:Q, 1)</f>
        <v>0</v>
      </c>
      <c r="W24" s="105">
        <f>COUNTIFS('OB History'!$B:$B,$A$24,'OB History'!R:R, 1)</f>
        <v>0</v>
      </c>
      <c r="X24" s="105">
        <f>COUNTIFS('OB History'!$B:$B,$A$24,'OB History'!S:S, 1)</f>
        <v>0</v>
      </c>
      <c r="Y24" s="105">
        <f>COUNTIFS('OB History'!$B:$B,$A$24,'OB History'!T:T, 1)</f>
        <v>0</v>
      </c>
      <c r="Z24" s="105">
        <f>COUNTIFS('OB History'!$B:$B,$A$24,'OB History'!U:U, 1)</f>
        <v>0</v>
      </c>
      <c r="AA24" s="105">
        <f>COUNTIFS('OB History'!$B:$B,$A$24,'OB History'!V:V, 1)</f>
        <v>0</v>
      </c>
      <c r="AB24" s="105">
        <f>COUNTIFS('OB History'!$B:$B,$A$24,'OB History'!W:W, 1)</f>
        <v>1</v>
      </c>
      <c r="AC24" s="105">
        <f>COUNTIFS('OB History'!$B:$B,$A$24,'OB History'!X:X, 1)</f>
        <v>0</v>
      </c>
      <c r="AD24" s="105">
        <f>COUNTIFS('OB History'!$B:$B,$A$24,'OB History'!Y:Y, 1)</f>
        <v>1</v>
      </c>
    </row>
    <row r="25" spans="1:30" x14ac:dyDescent="0.25">
      <c r="A25" s="2" t="s">
        <v>13</v>
      </c>
      <c r="B25" s="6" t="s">
        <v>124</v>
      </c>
      <c r="C25" s="6" t="s">
        <v>60</v>
      </c>
      <c r="D25" s="101">
        <f>SUMIFS('OB History'!C:C,'OB History'!B:B,A25)</f>
        <v>640</v>
      </c>
      <c r="E25" s="102">
        <f>AVERAGEIFS('OB History'!C:C,'OB History'!B:B,A25)</f>
        <v>27.826086956521738</v>
      </c>
      <c r="F25" s="103">
        <f t="array" ref="F25">MAX(IF('OB History'!B:B=A25, 'OB History'!C:C))</f>
        <v>57</v>
      </c>
      <c r="G25" s="101">
        <f>COUNTIFS('OB History'!B:B,A25,'OB History'!D:D, 1)</f>
        <v>16</v>
      </c>
      <c r="H25" s="104">
        <f>COUNTIFS('OB History'!B:B,A25,'OB History'!D:D, 0)</f>
        <v>7</v>
      </c>
      <c r="I25" s="41">
        <f t="shared" si="0"/>
        <v>0.69565217391304346</v>
      </c>
      <c r="J25" s="101">
        <f>SUMIFS('OB History'!F:F,'OB History'!B:B,A25)</f>
        <v>54</v>
      </c>
      <c r="K25" s="104">
        <f>SUMIFS('OB History'!E:E,'OB History'!B:B,A25)-J25</f>
        <v>39</v>
      </c>
      <c r="L25" s="41">
        <f t="shared" si="1"/>
        <v>0.58064516129032262</v>
      </c>
      <c r="M25" s="101">
        <f>SUMIFS('OB History'!H:H,'OB History'!B:B,'Old Bow v2'!A25)</f>
        <v>209</v>
      </c>
      <c r="N25" s="104">
        <f>SUMIFS('OB History'!G:G,'OB History'!B:B,'Old Bow v2'!A25)-M25</f>
        <v>173</v>
      </c>
      <c r="O25" s="41">
        <f t="shared" si="2"/>
        <v>0.54712041884816753</v>
      </c>
      <c r="P25" s="105">
        <f>COUNTIFS('OB History'!$B:$B,$A$25,'OB History'!K:K, 1)</f>
        <v>2</v>
      </c>
      <c r="Q25" s="105">
        <f>COUNTIFS('OB History'!$B:$B,$A$25,'OB History'!L:L, 1)</f>
        <v>6</v>
      </c>
      <c r="R25" s="105">
        <f>COUNTIFS('OB History'!$B:$B,$A$25,'OB History'!M:M, 1)</f>
        <v>0</v>
      </c>
      <c r="S25" s="105">
        <f>COUNTIFS('OB History'!$B:$B,$A$25,'OB History'!N:N, 1)</f>
        <v>7</v>
      </c>
      <c r="T25" s="105">
        <f>COUNTIFS('OB History'!$B:$B,$A$25,'OB History'!O:O, 1)</f>
        <v>2</v>
      </c>
      <c r="U25" s="105">
        <f>COUNTIFS('OB History'!$B:$B,$A$25,'OB History'!P:P, 1)</f>
        <v>8</v>
      </c>
      <c r="V25" s="105">
        <f>COUNTIFS('OB History'!$B:$B,$A$25,'OB History'!Q:Q, 1)</f>
        <v>3</v>
      </c>
      <c r="W25" s="105">
        <f>COUNTIFS('OB History'!$B:$B,$A$25,'OB History'!R:R, 1)</f>
        <v>1</v>
      </c>
      <c r="X25" s="105">
        <f>COUNTIFS('OB History'!$B:$B,$A$25,'OB History'!S:S, 1)</f>
        <v>1</v>
      </c>
      <c r="Y25" s="105">
        <f>COUNTIFS('OB History'!$B:$B,$A$25,'OB History'!T:T, 1)</f>
        <v>1</v>
      </c>
      <c r="Z25" s="105">
        <f>COUNTIFS('OB History'!$B:$B,$A$25,'OB History'!U:U, 1)</f>
        <v>2</v>
      </c>
      <c r="AA25" s="105">
        <f>COUNTIFS('OB History'!$B:$B,$A$25,'OB History'!V:V, 1)</f>
        <v>6</v>
      </c>
      <c r="AB25" s="105">
        <f>COUNTIFS('OB History'!$B:$B,$A$25,'OB History'!W:W, 1)</f>
        <v>6</v>
      </c>
      <c r="AC25" s="105">
        <f>COUNTIFS('OB History'!$B:$B,$A$25,'OB History'!X:X, 1)</f>
        <v>0</v>
      </c>
      <c r="AD25" s="105">
        <f>COUNTIFS('OB History'!$B:$B,$A$25,'OB History'!Y:Y, 1)</f>
        <v>7</v>
      </c>
    </row>
    <row r="26" spans="1:30" x14ac:dyDescent="0.25">
      <c r="A26" s="2" t="s">
        <v>2</v>
      </c>
      <c r="B26" s="6" t="s">
        <v>60</v>
      </c>
      <c r="C26" s="2" t="s">
        <v>79</v>
      </c>
      <c r="D26" s="101">
        <f>SUMIFS('OB History'!C:C,'OB History'!B:B,A26)</f>
        <v>297</v>
      </c>
      <c r="E26" s="102">
        <f>AVERAGEIFS('OB History'!C:C,'OB History'!B:B,A26)</f>
        <v>27</v>
      </c>
      <c r="F26" s="103">
        <f t="array" ref="F26">MAX(IF('OB History'!B:B=A26, 'OB History'!C:C))</f>
        <v>42</v>
      </c>
      <c r="G26" s="101">
        <f>COUNTIFS('OB History'!B:B,A26,'OB History'!D:D, 1)</f>
        <v>6</v>
      </c>
      <c r="H26" s="104">
        <f>COUNTIFS('OB History'!B:B,A26,'OB History'!D:D, 0)</f>
        <v>5</v>
      </c>
      <c r="I26" s="41">
        <f t="shared" si="0"/>
        <v>0.54545454545454541</v>
      </c>
      <c r="J26" s="101">
        <f>SUMIFS('OB History'!F:F,'OB History'!B:B,A26)</f>
        <v>25</v>
      </c>
      <c r="K26" s="104">
        <f>SUMIFS('OB History'!E:E,'OB History'!B:B,A26)-J26</f>
        <v>21</v>
      </c>
      <c r="L26" s="41">
        <f t="shared" si="1"/>
        <v>0.54347826086956519</v>
      </c>
      <c r="M26" s="101">
        <f>SUMIFS('OB History'!H:H,'OB History'!B:B,'Old Bow v2'!A26)</f>
        <v>102</v>
      </c>
      <c r="N26" s="104">
        <f>SUMIFS('OB History'!G:G,'OB History'!B:B,'Old Bow v2'!A26)-M26</f>
        <v>91</v>
      </c>
      <c r="O26" s="41">
        <f t="shared" si="2"/>
        <v>0.52849740932642486</v>
      </c>
      <c r="P26" s="105">
        <f>COUNTIFS('OB History'!$B:$B,$A$26,'OB History'!K:K, 1)</f>
        <v>2</v>
      </c>
      <c r="Q26" s="105">
        <f>COUNTIFS('OB History'!$B:$B,$A$26,'OB History'!L:L, 1)</f>
        <v>2</v>
      </c>
      <c r="R26" s="105">
        <f>COUNTIFS('OB History'!$B:$B,$A$26,'OB History'!M:M, 1)</f>
        <v>0</v>
      </c>
      <c r="S26" s="105">
        <f>COUNTIFS('OB History'!$B:$B,$A$26,'OB History'!N:N, 1)</f>
        <v>4</v>
      </c>
      <c r="T26" s="105">
        <f>COUNTIFS('OB History'!$B:$B,$A$26,'OB History'!O:O, 1)</f>
        <v>0</v>
      </c>
      <c r="U26" s="105">
        <f>COUNTIFS('OB History'!$B:$B,$A$26,'OB History'!P:P, 1)</f>
        <v>3</v>
      </c>
      <c r="V26" s="105">
        <f>COUNTIFS('OB History'!$B:$B,$A$26,'OB History'!Q:Q, 1)</f>
        <v>0</v>
      </c>
      <c r="W26" s="105">
        <f>COUNTIFS('OB History'!$B:$B,$A$26,'OB History'!R:R, 1)</f>
        <v>0</v>
      </c>
      <c r="X26" s="105">
        <f>COUNTIFS('OB History'!$B:$B,$A$26,'OB History'!S:S, 1)</f>
        <v>0</v>
      </c>
      <c r="Y26" s="105">
        <f>COUNTIFS('OB History'!$B:$B,$A$26,'OB History'!T:T, 1)</f>
        <v>0</v>
      </c>
      <c r="Z26" s="105">
        <f>COUNTIFS('OB History'!$B:$B,$A$26,'OB History'!U:U, 1)</f>
        <v>0</v>
      </c>
      <c r="AA26" s="105">
        <f>COUNTIFS('OB History'!$B:$B,$A$26,'OB History'!V:V, 1)</f>
        <v>5</v>
      </c>
      <c r="AB26" s="105">
        <f>COUNTIFS('OB History'!$B:$B,$A$26,'OB History'!W:W, 1)</f>
        <v>0</v>
      </c>
      <c r="AC26" s="105">
        <f>COUNTIFS('OB History'!$B:$B,$A$26,'OB History'!X:X, 1)</f>
        <v>4</v>
      </c>
      <c r="AD26" s="105">
        <f>COUNTIFS('OB History'!$B:$B,$A$26,'OB History'!Y:Y, 1)</f>
        <v>3</v>
      </c>
    </row>
    <row r="27" spans="1:30" x14ac:dyDescent="0.25">
      <c r="A27" s="2" t="s">
        <v>54</v>
      </c>
      <c r="B27" s="6" t="s">
        <v>60</v>
      </c>
      <c r="C27" s="6" t="s">
        <v>79</v>
      </c>
      <c r="D27" s="101">
        <f>SUMIFS('OB History'!C:C,'OB History'!B:B,A27)</f>
        <v>65</v>
      </c>
      <c r="E27" s="102">
        <f>AVERAGEIFS('OB History'!C:C,'OB History'!B:B,A27)</f>
        <v>21.666666666666668</v>
      </c>
      <c r="F27" s="103">
        <f t="array" ref="F27">MAX(IF('OB History'!B:B=A27, 'OB History'!C:C))</f>
        <v>29</v>
      </c>
      <c r="G27" s="101">
        <f>COUNTIFS('OB History'!B:B,A27,'OB History'!D:D, 1)</f>
        <v>3</v>
      </c>
      <c r="H27" s="104">
        <f>COUNTIFS('OB History'!B:B,A27,'OB History'!D:D, 0)</f>
        <v>0</v>
      </c>
      <c r="I27" s="42">
        <f t="shared" si="0"/>
        <v>1</v>
      </c>
      <c r="J27" s="101">
        <f>SUMIFS('OB History'!F:F,'OB History'!B:B,A27)</f>
        <v>9</v>
      </c>
      <c r="K27" s="104">
        <f>SUMIFS('OB History'!E:E,'OB History'!B:B,A27)-J27</f>
        <v>6</v>
      </c>
      <c r="L27" s="42">
        <f t="shared" si="1"/>
        <v>0.6</v>
      </c>
      <c r="M27" s="101">
        <f>SUMIFS('OB History'!H:H,'OB History'!B:B,'Old Bow v2'!A27)</f>
        <v>36</v>
      </c>
      <c r="N27" s="104">
        <f>SUMIFS('OB History'!G:G,'OB History'!B:B,'Old Bow v2'!A27)-M27</f>
        <v>26</v>
      </c>
      <c r="O27" s="42">
        <f t="shared" si="2"/>
        <v>0.58064516129032262</v>
      </c>
      <c r="P27" s="105">
        <f>COUNTIFS('OB History'!$B:$B,$A$27,'OB History'!K:K, 1)</f>
        <v>0</v>
      </c>
      <c r="Q27" s="105">
        <f>COUNTIFS('OB History'!$B:$B,$A$27,'OB History'!L:L, 1)</f>
        <v>1</v>
      </c>
      <c r="R27" s="105">
        <f>COUNTIFS('OB History'!$B:$B,$A$27,'OB History'!M:M, 1)</f>
        <v>0</v>
      </c>
      <c r="S27" s="105">
        <f>COUNTIFS('OB History'!$B:$B,$A$27,'OB History'!N:N, 1)</f>
        <v>1</v>
      </c>
      <c r="T27" s="105">
        <f>COUNTIFS('OB History'!$B:$B,$A$27,'OB History'!O:O, 1)</f>
        <v>2</v>
      </c>
      <c r="U27" s="105">
        <f>COUNTIFS('OB History'!$B:$B,$A$27,'OB History'!P:P, 1)</f>
        <v>1</v>
      </c>
      <c r="V27" s="105">
        <f>COUNTIFS('OB History'!$B:$B,$A$27,'OB History'!Q:Q, 1)</f>
        <v>2</v>
      </c>
      <c r="W27" s="105">
        <f>COUNTIFS('OB History'!$B:$B,$A$27,'OB History'!R:R, 1)</f>
        <v>0</v>
      </c>
      <c r="X27" s="105">
        <f>COUNTIFS('OB History'!$B:$B,$A$27,'OB History'!S:S, 1)</f>
        <v>0</v>
      </c>
      <c r="Y27" s="105">
        <f>COUNTIFS('OB History'!$B:$B,$A$27,'OB History'!T:T, 1)</f>
        <v>0</v>
      </c>
      <c r="Z27" s="105">
        <f>COUNTIFS('OB History'!$B:$B,$A$27,'OB History'!U:U, 1)</f>
        <v>1</v>
      </c>
      <c r="AA27" s="105">
        <f>COUNTIFS('OB History'!$B:$B,$A$27,'OB History'!V:V, 1)</f>
        <v>1</v>
      </c>
      <c r="AB27" s="105">
        <f>COUNTIFS('OB History'!$B:$B,$A$27,'OB History'!W:W, 1)</f>
        <v>0</v>
      </c>
      <c r="AC27" s="105">
        <f>COUNTIFS('OB History'!$B:$B,$A$27,'OB History'!X:X, 1)</f>
        <v>0</v>
      </c>
      <c r="AD27" s="105">
        <f>COUNTIFS('OB History'!$B:$B,$A$27,'OB History'!Y:Y, 1)</f>
        <v>0</v>
      </c>
    </row>
    <row r="28" spans="1:30" x14ac:dyDescent="0.25">
      <c r="A28" s="2" t="s">
        <v>5</v>
      </c>
      <c r="B28" s="6" t="s">
        <v>60</v>
      </c>
      <c r="C28" s="2" t="s">
        <v>79</v>
      </c>
      <c r="D28" s="101">
        <f>SUMIFS('OB History'!C:C,'OB History'!B:B,A28)</f>
        <v>216</v>
      </c>
      <c r="E28" s="102">
        <f>AVERAGEIFS('OB History'!C:C,'OB History'!B:B,A28)</f>
        <v>24</v>
      </c>
      <c r="F28" s="103">
        <f t="array" ref="F28">MAX(IF('OB History'!B:B=A28, 'OB History'!C:C))</f>
        <v>36</v>
      </c>
      <c r="G28" s="101">
        <f>COUNTIFS('OB History'!B:B,A28,'OB History'!D:D, 1)</f>
        <v>4</v>
      </c>
      <c r="H28" s="104">
        <f>COUNTIFS('OB History'!B:B,A28,'OB History'!D:D, 0)</f>
        <v>5</v>
      </c>
      <c r="I28" s="41">
        <f t="shared" si="0"/>
        <v>0.44444444444444442</v>
      </c>
      <c r="J28" s="101">
        <f>SUMIFS('OB History'!F:F,'OB History'!B:B,A28)</f>
        <v>18</v>
      </c>
      <c r="K28" s="104">
        <f>SUMIFS('OB History'!E:E,'OB History'!B:B,A28)-J28</f>
        <v>21</v>
      </c>
      <c r="L28" s="41">
        <f t="shared" si="1"/>
        <v>0.46153846153846156</v>
      </c>
      <c r="M28" s="101">
        <f>SUMIFS('OB History'!H:H,'OB History'!B:B,'Old Bow v2'!A28)</f>
        <v>79</v>
      </c>
      <c r="N28" s="104">
        <f>SUMIFS('OB History'!G:G,'OB History'!B:B,'Old Bow v2'!A28)-M28</f>
        <v>86</v>
      </c>
      <c r="O28" s="41">
        <f t="shared" si="2"/>
        <v>0.47878787878787876</v>
      </c>
      <c r="P28" s="105">
        <f>COUNTIFS('OB History'!$B:$B,$A$28,'OB History'!K:K, 1)</f>
        <v>1</v>
      </c>
      <c r="Q28" s="105">
        <f>COUNTIFS('OB History'!$B:$B,$A$28,'OB History'!L:L, 1)</f>
        <v>1</v>
      </c>
      <c r="R28" s="105">
        <f>COUNTIFS('OB History'!$B:$B,$A$28,'OB History'!M:M, 1)</f>
        <v>0</v>
      </c>
      <c r="S28" s="105">
        <f>COUNTIFS('OB History'!$B:$B,$A$28,'OB History'!N:N, 1)</f>
        <v>2</v>
      </c>
      <c r="T28" s="105">
        <f>COUNTIFS('OB History'!$B:$B,$A$28,'OB History'!O:O, 1)</f>
        <v>1</v>
      </c>
      <c r="U28" s="105">
        <f>COUNTIFS('OB History'!$B:$B,$A$28,'OB History'!P:P, 1)</f>
        <v>1</v>
      </c>
      <c r="V28" s="105">
        <f>COUNTIFS('OB History'!$B:$B,$A$28,'OB History'!Q:Q, 1)</f>
        <v>0</v>
      </c>
      <c r="W28" s="105">
        <f>COUNTIFS('OB History'!$B:$B,$A$28,'OB History'!R:R, 1)</f>
        <v>0</v>
      </c>
      <c r="X28" s="105">
        <f>COUNTIFS('OB History'!$B:$B,$A$28,'OB History'!S:S, 1)</f>
        <v>0</v>
      </c>
      <c r="Y28" s="105">
        <f>COUNTIFS('OB History'!$B:$B,$A$28,'OB History'!T:T, 1)</f>
        <v>0</v>
      </c>
      <c r="Z28" s="105">
        <f>COUNTIFS('OB History'!$B:$B,$A$28,'OB History'!U:U, 1)</f>
        <v>0</v>
      </c>
      <c r="AA28" s="105">
        <f>COUNTIFS('OB History'!$B:$B,$A$28,'OB History'!V:V, 1)</f>
        <v>1</v>
      </c>
      <c r="AB28" s="105">
        <f>COUNTIFS('OB History'!$B:$B,$A$28,'OB History'!W:W, 1)</f>
        <v>4</v>
      </c>
      <c r="AC28" s="105">
        <f>COUNTIFS('OB History'!$B:$B,$A$28,'OB History'!X:X, 1)</f>
        <v>3</v>
      </c>
      <c r="AD28" s="105">
        <f>COUNTIFS('OB History'!$B:$B,$A$28,'OB History'!Y:Y, 1)</f>
        <v>2</v>
      </c>
    </row>
    <row r="29" spans="1:30" x14ac:dyDescent="0.25">
      <c r="A29" s="2" t="s">
        <v>38</v>
      </c>
      <c r="B29" s="2" t="s">
        <v>79</v>
      </c>
      <c r="C29" s="2" t="s">
        <v>79</v>
      </c>
      <c r="D29" s="101">
        <f>SUMIFS('OB History'!C:C,'OB History'!B:B,A29)</f>
        <v>17</v>
      </c>
      <c r="E29" s="102">
        <f>AVERAGEIFS('OB History'!C:C,'OB History'!B:B,A29)</f>
        <v>3.4</v>
      </c>
      <c r="F29" s="103">
        <f t="array" ref="F29">MAX(IF('OB History'!B:B=A29, 'OB History'!C:C))</f>
        <v>6</v>
      </c>
      <c r="G29" s="101">
        <f>COUNTIFS('OB History'!B:B,A29,'OB History'!D:D, 1)</f>
        <v>2</v>
      </c>
      <c r="H29" s="104">
        <f>COUNTIFS('OB History'!B:B,A29,'OB History'!D:D, 0)</f>
        <v>3</v>
      </c>
      <c r="I29" s="41">
        <f t="shared" si="0"/>
        <v>0.4</v>
      </c>
      <c r="J29" s="101">
        <f>SUMIFS('OB History'!F:F,'OB History'!B:B,A29)</f>
        <v>8</v>
      </c>
      <c r="K29" s="104">
        <f>SUMIFS('OB History'!E:E,'OB History'!B:B,A29)-J29</f>
        <v>10</v>
      </c>
      <c r="L29" s="41">
        <f t="shared" si="1"/>
        <v>0.44444444444444442</v>
      </c>
      <c r="M29" s="101">
        <f>SUMIFS('OB History'!H:H,'OB History'!B:B,'Old Bow v2'!A29)</f>
        <v>32</v>
      </c>
      <c r="N29" s="104">
        <f>SUMIFS('OB History'!G:G,'OB History'!B:B,'Old Bow v2'!A29)-M29</f>
        <v>41</v>
      </c>
      <c r="O29" s="41">
        <f t="shared" si="2"/>
        <v>0.43835616438356162</v>
      </c>
      <c r="P29" s="105">
        <f>COUNTIFS('OB History'!$B:$B,$A$29,'OB History'!K:K, 1)</f>
        <v>1</v>
      </c>
      <c r="Q29" s="105">
        <f>COUNTIFS('OB History'!$B:$B,$A$29,'OB History'!L:L, 1)</f>
        <v>1</v>
      </c>
      <c r="R29" s="105">
        <f>COUNTIFS('OB History'!$B:$B,$A$29,'OB History'!M:M, 1)</f>
        <v>0</v>
      </c>
      <c r="S29" s="105">
        <f>COUNTIFS('OB History'!$B:$B,$A$29,'OB History'!N:N, 1)</f>
        <v>1</v>
      </c>
      <c r="T29" s="105">
        <f>COUNTIFS('OB History'!$B:$B,$A$29,'OB History'!O:O, 1)</f>
        <v>0</v>
      </c>
      <c r="U29" s="105">
        <f>COUNTIFS('OB History'!$B:$B,$A$29,'OB History'!P:P, 1)</f>
        <v>2</v>
      </c>
      <c r="V29" s="105">
        <f>COUNTIFS('OB History'!$B:$B,$A$29,'OB History'!Q:Q, 1)</f>
        <v>0</v>
      </c>
      <c r="W29" s="105">
        <f>COUNTIFS('OB History'!$B:$B,$A$29,'OB History'!R:R, 1)</f>
        <v>1</v>
      </c>
      <c r="X29" s="105">
        <f>COUNTIFS('OB History'!$B:$B,$A$29,'OB History'!S:S, 1)</f>
        <v>0</v>
      </c>
      <c r="Y29" s="105">
        <f>COUNTIFS('OB History'!$B:$B,$A$29,'OB History'!T:T, 1)</f>
        <v>0</v>
      </c>
      <c r="Z29" s="105">
        <f>COUNTIFS('OB History'!$B:$B,$A$29,'OB History'!U:U, 1)</f>
        <v>0</v>
      </c>
      <c r="AA29" s="105">
        <f>COUNTIFS('OB History'!$B:$B,$A$29,'OB History'!V:V, 1)</f>
        <v>1</v>
      </c>
      <c r="AB29" s="105">
        <f>COUNTIFS('OB History'!$B:$B,$A$29,'OB History'!W:W, 1)</f>
        <v>0</v>
      </c>
      <c r="AC29" s="105">
        <f>COUNTIFS('OB History'!$B:$B,$A$29,'OB History'!X:X, 1)</f>
        <v>0</v>
      </c>
      <c r="AD29" s="105">
        <f>COUNTIFS('OB History'!$B:$B,$A$29,'OB History'!Y:Y, 1)</f>
        <v>0</v>
      </c>
    </row>
    <row r="30" spans="1:30" x14ac:dyDescent="0.25">
      <c r="A30" s="2" t="s">
        <v>40</v>
      </c>
      <c r="B30" s="2" t="s">
        <v>79</v>
      </c>
      <c r="C30" s="2" t="s">
        <v>79</v>
      </c>
      <c r="D30" s="101">
        <f>SUMIFS('OB History'!C:C,'OB History'!B:B,A30)</f>
        <v>37</v>
      </c>
      <c r="E30" s="102">
        <f>AVERAGEIFS('OB History'!C:C,'OB History'!B:B,A30)</f>
        <v>12.333333333333334</v>
      </c>
      <c r="F30" s="103">
        <f t="array" ref="F30">MAX(IF('OB History'!B:B=A30, 'OB History'!C:C))</f>
        <v>16</v>
      </c>
      <c r="G30" s="101">
        <f>COUNTIFS('OB History'!B:B,A30,'OB History'!D:D, 1)</f>
        <v>0</v>
      </c>
      <c r="H30" s="104">
        <f>COUNTIFS('OB History'!B:B,A30,'OB History'!D:D, 0)</f>
        <v>3</v>
      </c>
      <c r="I30" s="42">
        <f t="shared" si="0"/>
        <v>0</v>
      </c>
      <c r="J30" s="101">
        <f>SUMIFS('OB History'!F:F,'OB History'!B:B,A30)</f>
        <v>2</v>
      </c>
      <c r="K30" s="104">
        <f>SUMIFS('OB History'!E:E,'OB History'!B:B,A30)-J30</f>
        <v>9</v>
      </c>
      <c r="L30" s="42">
        <f t="shared" si="1"/>
        <v>0.18181818181818182</v>
      </c>
      <c r="M30" s="101">
        <f>SUMIFS('OB History'!H:H,'OB History'!B:B,'Old Bow v2'!A30)</f>
        <v>15</v>
      </c>
      <c r="N30" s="104">
        <f>SUMIFS('OB History'!G:G,'OB History'!B:B,'Old Bow v2'!A30)-M30</f>
        <v>30</v>
      </c>
      <c r="O30" s="42">
        <f t="shared" si="2"/>
        <v>0.33333333333333331</v>
      </c>
      <c r="P30" s="105">
        <f>COUNTIFS('OB History'!$B:$B,$A$30,'OB History'!K:K, 1)</f>
        <v>1</v>
      </c>
      <c r="Q30" s="105">
        <f>COUNTIFS('OB History'!$B:$B,$A$30,'OB History'!L:L, 1)</f>
        <v>0</v>
      </c>
      <c r="R30" s="105">
        <f>COUNTIFS('OB History'!$B:$B,$A$30,'OB History'!M:M, 1)</f>
        <v>0</v>
      </c>
      <c r="S30" s="105">
        <f>COUNTIFS('OB History'!$B:$B,$A$30,'OB History'!N:N, 1)</f>
        <v>0</v>
      </c>
      <c r="T30" s="105">
        <f>COUNTIFS('OB History'!$B:$B,$A$30,'OB History'!O:O, 1)</f>
        <v>0</v>
      </c>
      <c r="U30" s="105">
        <f>COUNTIFS('OB History'!$B:$B,$A$30,'OB History'!P:P, 1)</f>
        <v>0</v>
      </c>
      <c r="V30" s="105">
        <f>COUNTIFS('OB History'!$B:$B,$A$30,'OB History'!Q:Q, 1)</f>
        <v>0</v>
      </c>
      <c r="W30" s="105">
        <f>COUNTIFS('OB History'!$B:$B,$A$30,'OB History'!R:R, 1)</f>
        <v>0</v>
      </c>
      <c r="X30" s="105">
        <f>COUNTIFS('OB History'!$B:$B,$A$30,'OB History'!S:S, 1)</f>
        <v>0</v>
      </c>
      <c r="Y30" s="105">
        <f>COUNTIFS('OB History'!$B:$B,$A$30,'OB History'!T:T, 1)</f>
        <v>0</v>
      </c>
      <c r="Z30" s="105">
        <f>COUNTIFS('OB History'!$B:$B,$A$30,'OB History'!U:U, 1)</f>
        <v>0</v>
      </c>
      <c r="AA30" s="105">
        <f>COUNTIFS('OB History'!$B:$B,$A$30,'OB History'!V:V, 1)</f>
        <v>0</v>
      </c>
      <c r="AB30" s="105">
        <f>COUNTIFS('OB History'!$B:$B,$A$30,'OB History'!W:W, 1)</f>
        <v>0</v>
      </c>
      <c r="AC30" s="105">
        <f>COUNTIFS('OB History'!$B:$B,$A$30,'OB History'!X:X, 1)</f>
        <v>0</v>
      </c>
      <c r="AD30" s="105">
        <f>COUNTIFS('OB History'!$B:$B,$A$30,'OB History'!Y:Y, 1)</f>
        <v>1</v>
      </c>
    </row>
    <row r="31" spans="1:30" x14ac:dyDescent="0.25">
      <c r="A31" s="2" t="s">
        <v>17</v>
      </c>
      <c r="B31" s="2" t="s">
        <v>79</v>
      </c>
      <c r="C31" s="2" t="s">
        <v>79</v>
      </c>
      <c r="D31" s="101">
        <f>SUMIFS('OB History'!C:C,'OB History'!B:B,A31)</f>
        <v>555</v>
      </c>
      <c r="E31" s="102">
        <f>AVERAGEIFS('OB History'!C:C,'OB History'!B:B,A31)</f>
        <v>25.227272727272727</v>
      </c>
      <c r="F31" s="103">
        <f t="array" ref="F31">MAX(IF('OB History'!B:B=A31, 'OB History'!C:C))</f>
        <v>49</v>
      </c>
      <c r="G31" s="101">
        <f>COUNTIFS('OB History'!B:B,A31,'OB History'!D:D, 1)</f>
        <v>10</v>
      </c>
      <c r="H31" s="104">
        <f>COUNTIFS('OB History'!B:B,A31,'OB History'!D:D, 0)</f>
        <v>12</v>
      </c>
      <c r="I31" s="41">
        <f t="shared" si="0"/>
        <v>0.45454545454545453</v>
      </c>
      <c r="J31" s="101">
        <f>SUMIFS('OB History'!F:F,'OB History'!B:B,A31)</f>
        <v>46</v>
      </c>
      <c r="K31" s="104">
        <f>SUMIFS('OB History'!E:E,'OB History'!B:B,A31)-J31</f>
        <v>43</v>
      </c>
      <c r="L31" s="41">
        <f t="shared" si="1"/>
        <v>0.5168539325842697</v>
      </c>
      <c r="M31" s="101">
        <f>SUMIFS('OB History'!H:H,'OB History'!B:B,'Old Bow v2'!A31)</f>
        <v>196</v>
      </c>
      <c r="N31" s="104">
        <f>SUMIFS('OB History'!G:G,'OB History'!B:B,'Old Bow v2'!A31)-M31</f>
        <v>177</v>
      </c>
      <c r="O31" s="41">
        <f t="shared" si="2"/>
        <v>0.52546916890080431</v>
      </c>
      <c r="P31" s="105">
        <f>COUNTIFS('OB History'!$B:$B,$A$31,'OB History'!K:K, 1)</f>
        <v>5</v>
      </c>
      <c r="Q31" s="105">
        <f>COUNTIFS('OB History'!$B:$B,$A$31,'OB History'!L:L, 1)</f>
        <v>2</v>
      </c>
      <c r="R31" s="105">
        <f>COUNTIFS('OB History'!$B:$B,$A$31,'OB History'!M:M, 1)</f>
        <v>0</v>
      </c>
      <c r="S31" s="105">
        <f>COUNTIFS('OB History'!$B:$B,$A$31,'OB History'!N:N, 1)</f>
        <v>4</v>
      </c>
      <c r="T31" s="105">
        <f>COUNTIFS('OB History'!$B:$B,$A$31,'OB History'!O:O, 1)</f>
        <v>0</v>
      </c>
      <c r="U31" s="105">
        <f>COUNTIFS('OB History'!$B:$B,$A$31,'OB History'!P:P, 1)</f>
        <v>9</v>
      </c>
      <c r="V31" s="105">
        <f>COUNTIFS('OB History'!$B:$B,$A$31,'OB History'!Q:Q, 1)</f>
        <v>2</v>
      </c>
      <c r="W31" s="105">
        <f>COUNTIFS('OB History'!$B:$B,$A$31,'OB History'!R:R, 1)</f>
        <v>0</v>
      </c>
      <c r="X31" s="105">
        <f>COUNTIFS('OB History'!$B:$B,$A$31,'OB History'!S:S, 1)</f>
        <v>1</v>
      </c>
      <c r="Y31" s="105">
        <f>COUNTIFS('OB History'!$B:$B,$A$31,'OB History'!T:T, 1)</f>
        <v>1</v>
      </c>
      <c r="Z31" s="105">
        <f>COUNTIFS('OB History'!$B:$B,$A$31,'OB History'!U:U, 1)</f>
        <v>0</v>
      </c>
      <c r="AA31" s="105">
        <f>COUNTIFS('OB History'!$B:$B,$A$31,'OB History'!V:V, 1)</f>
        <v>6</v>
      </c>
      <c r="AB31" s="105">
        <f>COUNTIFS('OB History'!$B:$B,$A$31,'OB History'!W:W, 1)</f>
        <v>4</v>
      </c>
      <c r="AC31" s="105">
        <f>COUNTIFS('OB History'!$B:$B,$A$31,'OB History'!X:X, 1)</f>
        <v>3</v>
      </c>
      <c r="AD31" s="105">
        <f>COUNTIFS('OB History'!$B:$B,$A$31,'OB History'!Y:Y, 1)</f>
        <v>7</v>
      </c>
    </row>
    <row r="32" spans="1:30" x14ac:dyDescent="0.25">
      <c r="A32" s="2" t="s">
        <v>6</v>
      </c>
      <c r="B32" s="2" t="s">
        <v>79</v>
      </c>
      <c r="C32" s="2" t="s">
        <v>79</v>
      </c>
      <c r="D32" s="101">
        <f>SUMIFS('OB History'!C:C,'OB History'!B:B,A32)</f>
        <v>306</v>
      </c>
      <c r="E32" s="102">
        <f>AVERAGEIFS('OB History'!C:C,'OB History'!B:B,A32)</f>
        <v>23.53846153846154</v>
      </c>
      <c r="F32" s="103">
        <f t="array" ref="F32">MAX(IF('OB History'!B:B=A32, 'OB History'!C:C))</f>
        <v>43</v>
      </c>
      <c r="G32" s="101">
        <f>COUNTIFS('OB History'!B:B,A32,'OB History'!D:D, 1)</f>
        <v>9</v>
      </c>
      <c r="H32" s="104">
        <f>COUNTIFS('OB History'!B:B,A32,'OB History'!D:D, 0)</f>
        <v>4</v>
      </c>
      <c r="I32" s="41">
        <f t="shared" si="0"/>
        <v>0.69230769230769229</v>
      </c>
      <c r="J32" s="101">
        <f>SUMIFS('OB History'!F:F,'OB History'!B:B,A32)</f>
        <v>31</v>
      </c>
      <c r="K32" s="104">
        <f>SUMIFS('OB History'!E:E,'OB History'!B:B,A32)-J32</f>
        <v>22</v>
      </c>
      <c r="L32" s="41">
        <f t="shared" si="1"/>
        <v>0.58490566037735847</v>
      </c>
      <c r="M32" s="101">
        <f>SUMIFS('OB History'!H:H,'OB History'!B:B,'Old Bow v2'!A32)</f>
        <v>118</v>
      </c>
      <c r="N32" s="104">
        <f>SUMIFS('OB History'!G:G,'OB History'!B:B,'Old Bow v2'!A32)-M32</f>
        <v>108</v>
      </c>
      <c r="O32" s="41">
        <f t="shared" si="2"/>
        <v>0.52212389380530977</v>
      </c>
      <c r="P32" s="105">
        <f>COUNTIFS('OB History'!$B:$B,$A$32,'OB History'!K:K, 1)</f>
        <v>1</v>
      </c>
      <c r="Q32" s="105">
        <f>COUNTIFS('OB History'!$B:$B,$A$32,'OB History'!L:L, 1)</f>
        <v>3</v>
      </c>
      <c r="R32" s="105">
        <f>COUNTIFS('OB History'!$B:$B,$A$32,'OB History'!M:M, 1)</f>
        <v>0</v>
      </c>
      <c r="S32" s="105">
        <f>COUNTIFS('OB History'!$B:$B,$A$32,'OB History'!N:N, 1)</f>
        <v>1</v>
      </c>
      <c r="T32" s="105">
        <f>COUNTIFS('OB History'!$B:$B,$A$32,'OB History'!O:O, 1)</f>
        <v>0</v>
      </c>
      <c r="U32" s="105">
        <f>COUNTIFS('OB History'!$B:$B,$A$32,'OB History'!P:P, 1)</f>
        <v>7</v>
      </c>
      <c r="V32" s="105">
        <f>COUNTIFS('OB History'!$B:$B,$A$32,'OB History'!Q:Q, 1)</f>
        <v>0</v>
      </c>
      <c r="W32" s="105">
        <f>COUNTIFS('OB History'!$B:$B,$A$32,'OB History'!R:R, 1)</f>
        <v>1</v>
      </c>
      <c r="X32" s="105">
        <f>COUNTIFS('OB History'!$B:$B,$A$32,'OB History'!S:S, 1)</f>
        <v>0</v>
      </c>
      <c r="Y32" s="105">
        <f>COUNTIFS('OB History'!$B:$B,$A$32,'OB History'!T:T, 1)</f>
        <v>0</v>
      </c>
      <c r="Z32" s="105">
        <f>COUNTIFS('OB History'!$B:$B,$A$32,'OB History'!U:U, 1)</f>
        <v>1</v>
      </c>
      <c r="AA32" s="105">
        <f>COUNTIFS('OB History'!$B:$B,$A$32,'OB History'!V:V, 1)</f>
        <v>4</v>
      </c>
      <c r="AB32" s="105">
        <f>COUNTIFS('OB History'!$B:$B,$A$32,'OB History'!W:W, 1)</f>
        <v>5</v>
      </c>
      <c r="AC32" s="105">
        <f>COUNTIFS('OB History'!$B:$B,$A$32,'OB History'!X:X, 1)</f>
        <v>2</v>
      </c>
      <c r="AD32" s="105">
        <f>COUNTIFS('OB History'!$B:$B,$A$32,'OB History'!Y:Y, 1)</f>
        <v>5</v>
      </c>
    </row>
    <row r="33" spans="1:30" x14ac:dyDescent="0.25">
      <c r="A33" s="2" t="s">
        <v>18</v>
      </c>
      <c r="B33" s="2" t="s">
        <v>79</v>
      </c>
      <c r="C33" s="2" t="s">
        <v>79</v>
      </c>
      <c r="D33" s="101">
        <f>SUMIFS('OB History'!C:C,'OB History'!B:B,A33)</f>
        <v>293</v>
      </c>
      <c r="E33" s="102">
        <f>AVERAGEIFS('OB History'!C:C,'OB History'!B:B,A33)</f>
        <v>26.636363636363637</v>
      </c>
      <c r="F33" s="103">
        <f t="array" ref="F33">MAX(IF('OB History'!B:B=A33, 'OB History'!C:C))</f>
        <v>41</v>
      </c>
      <c r="G33" s="101">
        <f>COUNTIFS('OB History'!B:B,A33,'OB History'!D:D, 1)</f>
        <v>4</v>
      </c>
      <c r="H33" s="104">
        <f>COUNTIFS('OB History'!B:B,A33,'OB History'!D:D, 0)</f>
        <v>7</v>
      </c>
      <c r="I33" s="41">
        <f t="shared" si="0"/>
        <v>0.36363636363636365</v>
      </c>
      <c r="J33" s="101">
        <f>SUMIFS('OB History'!F:F,'OB History'!B:B,A33)</f>
        <v>20</v>
      </c>
      <c r="K33" s="104">
        <f>SUMIFS('OB History'!E:E,'OB History'!B:B,A33)-J33</f>
        <v>26</v>
      </c>
      <c r="L33" s="41">
        <f t="shared" si="1"/>
        <v>0.43478260869565216</v>
      </c>
      <c r="M33" s="101">
        <f>SUMIFS('OB History'!H:H,'OB History'!B:B,'Old Bow v2'!A33)</f>
        <v>88</v>
      </c>
      <c r="N33" s="104">
        <f>SUMIFS('OB History'!G:G,'OB History'!B:B,'Old Bow v2'!A33)-M33</f>
        <v>104</v>
      </c>
      <c r="O33" s="41">
        <f t="shared" si="2"/>
        <v>0.45833333333333331</v>
      </c>
      <c r="P33" s="105">
        <f>COUNTIFS('OB History'!$B:$B,$A$33,'OB History'!K:K, 1)</f>
        <v>2</v>
      </c>
      <c r="Q33" s="105">
        <f>COUNTIFS('OB History'!$B:$B,$A$33,'OB History'!L:L, 1)</f>
        <v>0</v>
      </c>
      <c r="R33" s="105">
        <f>COUNTIFS('OB History'!$B:$B,$A$33,'OB History'!M:M, 1)</f>
        <v>0</v>
      </c>
      <c r="S33" s="105">
        <f>COUNTIFS('OB History'!$B:$B,$A$33,'OB History'!N:N, 1)</f>
        <v>4</v>
      </c>
      <c r="T33" s="105">
        <f>COUNTIFS('OB History'!$B:$B,$A$33,'OB History'!O:O, 1)</f>
        <v>0</v>
      </c>
      <c r="U33" s="105">
        <f>COUNTIFS('OB History'!$B:$B,$A$33,'OB History'!P:P, 1)</f>
        <v>3</v>
      </c>
      <c r="V33" s="105">
        <f>COUNTIFS('OB History'!$B:$B,$A$33,'OB History'!Q:Q, 1)</f>
        <v>1</v>
      </c>
      <c r="W33" s="105">
        <f>COUNTIFS('OB History'!$B:$B,$A$33,'OB History'!R:R, 1)</f>
        <v>1</v>
      </c>
      <c r="X33" s="105">
        <f>COUNTIFS('OB History'!$B:$B,$A$33,'OB History'!S:S, 1)</f>
        <v>0</v>
      </c>
      <c r="Y33" s="105">
        <f>COUNTIFS('OB History'!$B:$B,$A$33,'OB History'!T:T, 1)</f>
        <v>0</v>
      </c>
      <c r="Z33" s="105">
        <f>COUNTIFS('OB History'!$B:$B,$A$33,'OB History'!U:U, 1)</f>
        <v>0</v>
      </c>
      <c r="AA33" s="105">
        <f>COUNTIFS('OB History'!$B:$B,$A$33,'OB History'!V:V, 1)</f>
        <v>3</v>
      </c>
      <c r="AB33" s="105">
        <f>COUNTIFS('OB History'!$B:$B,$A$33,'OB History'!W:W, 1)</f>
        <v>4</v>
      </c>
      <c r="AC33" s="105">
        <f>COUNTIFS('OB History'!$B:$B,$A$33,'OB History'!X:X, 1)</f>
        <v>0</v>
      </c>
      <c r="AD33" s="105">
        <f>COUNTIFS('OB History'!$B:$B,$A$33,'OB History'!Y:Y, 1)</f>
        <v>2</v>
      </c>
    </row>
    <row r="34" spans="1:30" x14ac:dyDescent="0.25">
      <c r="A34" s="2" t="s">
        <v>14</v>
      </c>
      <c r="B34" s="6" t="s">
        <v>60</v>
      </c>
      <c r="C34" s="6" t="s">
        <v>60</v>
      </c>
      <c r="D34" s="101">
        <f>SUMIFS('OB History'!C:C,'OB History'!B:B,A34)</f>
        <v>478</v>
      </c>
      <c r="E34" s="102">
        <f>AVERAGEIFS('OB History'!C:C,'OB History'!B:B,A34)</f>
        <v>25.157894736842106</v>
      </c>
      <c r="F34" s="103">
        <f t="array" ref="F34">MAX(IF('OB History'!B:B=A34, 'OB History'!C:C))</f>
        <v>56</v>
      </c>
      <c r="G34" s="101">
        <f>COUNTIFS('OB History'!B:B,A34,'OB History'!D:D, 1)</f>
        <v>10</v>
      </c>
      <c r="H34" s="104">
        <f>COUNTIFS('OB History'!B:B,A34,'OB History'!D:D, 0)</f>
        <v>9</v>
      </c>
      <c r="I34" s="41">
        <f t="shared" si="0"/>
        <v>0.52631578947368418</v>
      </c>
      <c r="J34" s="101">
        <f>SUMIFS('OB History'!F:F,'OB History'!B:B,A34)</f>
        <v>39</v>
      </c>
      <c r="K34" s="104">
        <f>SUMIFS('OB History'!E:E,'OB History'!B:B,A34)-J34</f>
        <v>38</v>
      </c>
      <c r="L34" s="41">
        <f t="shared" si="1"/>
        <v>0.50649350649350644</v>
      </c>
      <c r="M34" s="101">
        <f>SUMIFS('OB History'!H:H,'OB History'!B:B,'Old Bow v2'!A34)</f>
        <v>159</v>
      </c>
      <c r="N34" s="104">
        <f>SUMIFS('OB History'!G:G,'OB History'!B:B,'Old Bow v2'!A34)-M34</f>
        <v>163</v>
      </c>
      <c r="O34" s="41">
        <f t="shared" si="2"/>
        <v>0.49378881987577639</v>
      </c>
      <c r="P34" s="105">
        <f>COUNTIFS('OB History'!$B:$B,$A$34,'OB History'!K:K, 1)</f>
        <v>3</v>
      </c>
      <c r="Q34" s="105">
        <f>COUNTIFS('OB History'!$B:$B,$A$34,'OB History'!L:L, 1)</f>
        <v>3</v>
      </c>
      <c r="R34" s="105">
        <f>COUNTIFS('OB History'!$B:$B,$A$34,'OB History'!M:M, 1)</f>
        <v>0</v>
      </c>
      <c r="S34" s="105">
        <f>COUNTIFS('OB History'!$B:$B,$A$34,'OB History'!N:N, 1)</f>
        <v>3</v>
      </c>
      <c r="T34" s="105">
        <f>COUNTIFS('OB History'!$B:$B,$A$34,'OB History'!O:O, 1)</f>
        <v>1</v>
      </c>
      <c r="U34" s="105">
        <f>COUNTIFS('OB History'!$B:$B,$A$34,'OB History'!P:P, 1)</f>
        <v>4</v>
      </c>
      <c r="V34" s="105">
        <f>COUNTIFS('OB History'!$B:$B,$A$34,'OB History'!Q:Q, 1)</f>
        <v>0</v>
      </c>
      <c r="W34" s="105">
        <f>COUNTIFS('OB History'!$B:$B,$A$34,'OB History'!R:R, 1)</f>
        <v>1</v>
      </c>
      <c r="X34" s="105">
        <f>COUNTIFS('OB History'!$B:$B,$A$34,'OB History'!S:S, 1)</f>
        <v>0</v>
      </c>
      <c r="Y34" s="105">
        <f>COUNTIFS('OB History'!$B:$B,$A$34,'OB History'!T:T, 1)</f>
        <v>0</v>
      </c>
      <c r="Z34" s="105">
        <f>COUNTIFS('OB History'!$B:$B,$A$34,'OB History'!U:U, 1)</f>
        <v>2</v>
      </c>
      <c r="AA34" s="105">
        <f>COUNTIFS('OB History'!$B:$B,$A$34,'OB History'!V:V, 1)</f>
        <v>5</v>
      </c>
      <c r="AB34" s="105">
        <f>COUNTIFS('OB History'!$B:$B,$A$34,'OB History'!W:W, 1)</f>
        <v>10</v>
      </c>
      <c r="AC34" s="105">
        <f>COUNTIFS('OB History'!$B:$B,$A$34,'OB History'!X:X, 1)</f>
        <v>2</v>
      </c>
      <c r="AD34" s="105">
        <f>COUNTIFS('OB History'!$B:$B,$A$34,'OB History'!Y:Y, 1)</f>
        <v>3</v>
      </c>
    </row>
    <row r="35" spans="1:30" x14ac:dyDescent="0.25">
      <c r="A35" s="2" t="s">
        <v>4</v>
      </c>
      <c r="B35" s="2" t="s">
        <v>79</v>
      </c>
      <c r="C35" s="2" t="s">
        <v>79</v>
      </c>
      <c r="D35" s="101">
        <f>SUMIFS('OB History'!C:C,'OB History'!B:B,A35)</f>
        <v>33</v>
      </c>
      <c r="E35" s="102">
        <f>AVERAGEIFS('OB History'!C:C,'OB History'!B:B,A35)</f>
        <v>16.5</v>
      </c>
      <c r="F35" s="103">
        <f t="array" ref="F35">MAX(IF('OB History'!B:B=A35, 'OB History'!C:C))</f>
        <v>24</v>
      </c>
      <c r="G35" s="101">
        <f>COUNTIFS('OB History'!B:B,A35,'OB History'!D:D, 1)</f>
        <v>2</v>
      </c>
      <c r="H35" s="104">
        <f>COUNTIFS('OB History'!B:B,A35,'OB History'!D:D, 0)</f>
        <v>0</v>
      </c>
      <c r="I35" s="41">
        <f t="shared" si="0"/>
        <v>1</v>
      </c>
      <c r="J35" s="101">
        <f>SUMIFS('OB History'!F:F,'OB History'!B:B,A35)</f>
        <v>6</v>
      </c>
      <c r="K35" s="104">
        <f>SUMIFS('OB History'!E:E,'OB History'!B:B,A35)-J35</f>
        <v>1</v>
      </c>
      <c r="L35" s="41">
        <f t="shared" si="1"/>
        <v>0.8571428571428571</v>
      </c>
      <c r="M35" s="101">
        <f>SUMIFS('OB History'!H:H,'OB History'!B:B,'Old Bow v2'!A35)</f>
        <v>19</v>
      </c>
      <c r="N35" s="104">
        <f>SUMIFS('OB History'!G:G,'OB History'!B:B,'Old Bow v2'!A35)-M35</f>
        <v>10</v>
      </c>
      <c r="O35" s="41">
        <f t="shared" si="2"/>
        <v>0.65517241379310343</v>
      </c>
      <c r="P35" s="105">
        <f>COUNTIFS('OB History'!$B:$B,$A$35,'OB History'!K:K, 1)</f>
        <v>0</v>
      </c>
      <c r="Q35" s="105">
        <f>COUNTIFS('OB History'!$B:$B,$A$35,'OB History'!L:L, 1)</f>
        <v>2</v>
      </c>
      <c r="R35" s="105">
        <f>COUNTIFS('OB History'!$B:$B,$A$35,'OB History'!M:M, 1)</f>
        <v>0</v>
      </c>
      <c r="S35" s="105">
        <f>COUNTIFS('OB History'!$B:$B,$A$35,'OB History'!N:N, 1)</f>
        <v>0</v>
      </c>
      <c r="T35" s="105">
        <f>COUNTIFS('OB History'!$B:$B,$A$35,'OB History'!O:O, 1)</f>
        <v>0</v>
      </c>
      <c r="U35" s="105">
        <f>COUNTIFS('OB History'!$B:$B,$A$35,'OB History'!P:P, 1)</f>
        <v>1</v>
      </c>
      <c r="V35" s="105">
        <f>COUNTIFS('OB History'!$B:$B,$A$35,'OB History'!Q:Q, 1)</f>
        <v>0</v>
      </c>
      <c r="W35" s="105">
        <f>COUNTIFS('OB History'!$B:$B,$A$35,'OB History'!R:R, 1)</f>
        <v>0</v>
      </c>
      <c r="X35" s="105">
        <f>COUNTIFS('OB History'!$B:$B,$A$35,'OB History'!S:S, 1)</f>
        <v>0</v>
      </c>
      <c r="Y35" s="105">
        <f>COUNTIFS('OB History'!$B:$B,$A$35,'OB History'!T:T, 1)</f>
        <v>0</v>
      </c>
      <c r="Z35" s="105">
        <f>COUNTIFS('OB History'!$B:$B,$A$35,'OB History'!U:U, 1)</f>
        <v>0</v>
      </c>
      <c r="AA35" s="105">
        <f>COUNTIFS('OB History'!$B:$B,$A$35,'OB History'!V:V, 1)</f>
        <v>0</v>
      </c>
      <c r="AB35" s="105">
        <f>COUNTIFS('OB History'!$B:$B,$A$35,'OB History'!W:W, 1)</f>
        <v>0</v>
      </c>
      <c r="AC35" s="105">
        <f>COUNTIFS('OB History'!$B:$B,$A$35,'OB History'!X:X, 1)</f>
        <v>1</v>
      </c>
      <c r="AD35" s="105">
        <f>COUNTIFS('OB History'!$B:$B,$A$35,'OB History'!Y:Y, 1)</f>
        <v>0</v>
      </c>
    </row>
    <row r="36" spans="1:30" ht="15.75" thickBot="1" x14ac:dyDescent="0.3">
      <c r="A36" s="2" t="s">
        <v>55</v>
      </c>
      <c r="B36" s="2" t="s">
        <v>79</v>
      </c>
      <c r="C36" s="2" t="s">
        <v>79</v>
      </c>
      <c r="D36" s="101">
        <f>SUMIFS('OB History'!C:C,'OB History'!B:B,A36)</f>
        <v>69</v>
      </c>
      <c r="E36" s="102">
        <f>AVERAGEIFS('OB History'!C:C,'OB History'!B:B,A36)</f>
        <v>9.8571428571428577</v>
      </c>
      <c r="F36" s="103">
        <f t="array" ref="F36">MAX(IF('OB History'!B:B=A36, 'OB History'!C:C))</f>
        <v>18</v>
      </c>
      <c r="G36" s="101">
        <f>COUNTIFS('OB History'!B:B,A36,'OB History'!D:D, 1)</f>
        <v>4</v>
      </c>
      <c r="H36" s="104">
        <f>COUNTIFS('OB History'!B:B,A36,'OB History'!D:D, 0)</f>
        <v>3</v>
      </c>
      <c r="I36" s="45">
        <f t="shared" si="0"/>
        <v>0.5714285714285714</v>
      </c>
      <c r="J36" s="101">
        <f>SUMIFS('OB History'!F:F,'OB History'!B:B,A36)</f>
        <v>15</v>
      </c>
      <c r="K36" s="104">
        <f>SUMIFS('OB History'!E:E,'OB History'!B:B,A36)-J36</f>
        <v>14</v>
      </c>
      <c r="L36" s="45">
        <f t="shared" si="1"/>
        <v>0.51724137931034486</v>
      </c>
      <c r="M36" s="101">
        <f>SUMIFS('OB History'!H:H,'OB History'!B:B,'Old Bow v2'!A36)</f>
        <v>57</v>
      </c>
      <c r="N36" s="104">
        <f>SUMIFS('OB History'!G:G,'OB History'!B:B,'Old Bow v2'!A36)-M36</f>
        <v>61</v>
      </c>
      <c r="O36" s="45">
        <f t="shared" si="2"/>
        <v>0.48305084745762711</v>
      </c>
      <c r="P36" s="105">
        <f>COUNTIFS('OB History'!$B:$B,$A$36,'OB History'!K:K, 1)</f>
        <v>1</v>
      </c>
      <c r="Q36" s="105">
        <f>COUNTIFS('OB History'!$B:$B,$A$36,'OB History'!L:L, 1)</f>
        <v>0</v>
      </c>
      <c r="R36" s="105">
        <f>COUNTIFS('OB History'!$B:$B,$A$36,'OB History'!M:M, 1)</f>
        <v>0</v>
      </c>
      <c r="S36" s="105">
        <f>COUNTIFS('OB History'!$B:$B,$A$36,'OB History'!N:N, 1)</f>
        <v>3</v>
      </c>
      <c r="T36" s="105">
        <f>COUNTIFS('OB History'!$B:$B,$A$36,'OB History'!O:O, 1)</f>
        <v>1</v>
      </c>
      <c r="U36" s="105">
        <f>COUNTIFS('OB History'!$B:$B,$A$36,'OB History'!P:P, 1)</f>
        <v>0</v>
      </c>
      <c r="V36" s="105">
        <f>COUNTIFS('OB History'!$B:$B,$A$36,'OB History'!Q:Q, 1)</f>
        <v>1</v>
      </c>
      <c r="W36" s="105">
        <f>COUNTIFS('OB History'!$B:$B,$A$36,'OB History'!R:R, 1)</f>
        <v>0</v>
      </c>
      <c r="X36" s="105">
        <f>COUNTIFS('OB History'!$B:$B,$A$36,'OB History'!S:S, 1)</f>
        <v>0</v>
      </c>
      <c r="Y36" s="105">
        <f>COUNTIFS('OB History'!$B:$B,$A$36,'OB History'!T:T, 1)</f>
        <v>0</v>
      </c>
      <c r="Z36" s="105">
        <f>COUNTIFS('OB History'!$B:$B,$A$36,'OB History'!U:U, 1)</f>
        <v>0</v>
      </c>
      <c r="AA36" s="105">
        <f>COUNTIFS('OB History'!$B:$B,$A$36,'OB History'!V:V, 1)</f>
        <v>3</v>
      </c>
      <c r="AB36" s="105">
        <f>COUNTIFS('OB History'!$B:$B,$A$36,'OB History'!W:W, 1)</f>
        <v>3</v>
      </c>
      <c r="AC36" s="105">
        <f>COUNTIFS('OB History'!$B:$B,$A$36,'OB History'!X:X, 1)</f>
        <v>1</v>
      </c>
      <c r="AD36" s="105">
        <f>COUNTIFS('OB History'!$B:$B,$A$36,'OB History'!Y:Y, 1)</f>
        <v>1</v>
      </c>
    </row>
    <row r="42" spans="1:30" x14ac:dyDescent="0.25">
      <c r="F42" s="81"/>
    </row>
    <row r="44" spans="1:30" x14ac:dyDescent="0.25">
      <c r="F44" s="81"/>
    </row>
  </sheetData>
  <autoFilter ref="A1:AD36" xr:uid="{EEC03B8F-669F-4FC0-BA62-50F3D395660C}"/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C03B8F-669F-4FC0-BA62-50F3D395660C}">
  <dimension ref="A1:AD45"/>
  <sheetViews>
    <sheetView workbookViewId="0">
      <selection activeCell="J2" sqref="J2:K37"/>
    </sheetView>
  </sheetViews>
  <sheetFormatPr defaultRowHeight="15" x14ac:dyDescent="0.25"/>
  <cols>
    <col min="1" max="1" width="11.5703125" bestFit="1" customWidth="1"/>
    <col min="2" max="2" width="16.7109375" bestFit="1" customWidth="1"/>
    <col min="3" max="3" width="16.7109375" customWidth="1"/>
    <col min="6" max="6" width="17.140625" customWidth="1"/>
    <col min="7" max="14" width="9.140625" style="1"/>
    <col min="15" max="15" width="14.85546875" style="1" customWidth="1"/>
    <col min="16" max="17" width="13.28515625" bestFit="1" customWidth="1"/>
    <col min="18" max="18" width="12.7109375" bestFit="1" customWidth="1"/>
    <col min="19" max="19" width="18.7109375" bestFit="1" customWidth="1"/>
    <col min="20" max="20" width="8.5703125" bestFit="1" customWidth="1"/>
    <col min="21" max="21" width="11.7109375" bestFit="1" customWidth="1"/>
    <col min="22" max="22" width="11.85546875" customWidth="1"/>
    <col min="23" max="23" width="17" bestFit="1" customWidth="1"/>
    <col min="24" max="24" width="12.5703125" bestFit="1" customWidth="1"/>
    <col min="25" max="25" width="10.7109375" bestFit="1" customWidth="1"/>
    <col min="26" max="27" width="12.85546875" bestFit="1" customWidth="1"/>
    <col min="28" max="28" width="12.7109375" bestFit="1" customWidth="1"/>
    <col min="29" max="29" width="13.85546875" bestFit="1" customWidth="1"/>
    <col min="30" max="30" width="15.7109375" bestFit="1" customWidth="1"/>
  </cols>
  <sheetData>
    <row r="1" spans="1:30" ht="30.75" thickBot="1" x14ac:dyDescent="0.3">
      <c r="A1" s="3" t="s">
        <v>0</v>
      </c>
      <c r="B1" s="3" t="s">
        <v>59</v>
      </c>
      <c r="C1" s="3" t="s">
        <v>61</v>
      </c>
      <c r="D1" s="31" t="s">
        <v>7</v>
      </c>
      <c r="E1" s="32" t="s">
        <v>36</v>
      </c>
      <c r="F1" s="33" t="s">
        <v>49</v>
      </c>
      <c r="G1" s="50" t="s">
        <v>97</v>
      </c>
      <c r="H1" s="22" t="s">
        <v>98</v>
      </c>
      <c r="I1" s="23" t="s">
        <v>123</v>
      </c>
      <c r="J1" s="50" t="s">
        <v>64</v>
      </c>
      <c r="K1" s="22" t="s">
        <v>101</v>
      </c>
      <c r="L1" s="23" t="s">
        <v>121</v>
      </c>
      <c r="M1" s="51" t="s">
        <v>99</v>
      </c>
      <c r="N1" s="52" t="s">
        <v>100</v>
      </c>
      <c r="O1" s="46" t="s">
        <v>122</v>
      </c>
      <c r="P1" s="31" t="s">
        <v>41</v>
      </c>
      <c r="Q1" s="32" t="s">
        <v>12</v>
      </c>
      <c r="R1" s="32" t="s">
        <v>10</v>
      </c>
      <c r="S1" s="32" t="s">
        <v>33</v>
      </c>
      <c r="T1" s="32" t="s">
        <v>48</v>
      </c>
      <c r="U1" s="32" t="s">
        <v>32</v>
      </c>
      <c r="V1" s="52" t="s">
        <v>65</v>
      </c>
      <c r="W1" s="32" t="s">
        <v>31</v>
      </c>
      <c r="X1" s="32" t="s">
        <v>58</v>
      </c>
      <c r="Y1" s="32" t="s">
        <v>57</v>
      </c>
      <c r="Z1" s="32" t="s">
        <v>56</v>
      </c>
      <c r="AA1" s="32" t="s">
        <v>9</v>
      </c>
      <c r="AB1" s="32" t="s">
        <v>30</v>
      </c>
      <c r="AC1" s="32" t="s">
        <v>11</v>
      </c>
      <c r="AD1" s="46" t="s">
        <v>39</v>
      </c>
    </row>
    <row r="2" spans="1:30" x14ac:dyDescent="0.25">
      <c r="A2" s="2" t="s">
        <v>37</v>
      </c>
      <c r="B2" s="2" t="s">
        <v>79</v>
      </c>
      <c r="C2" s="2" t="s">
        <v>79</v>
      </c>
      <c r="D2" s="34">
        <v>190</v>
      </c>
      <c r="E2" s="4">
        <f t="shared" ref="E2:E37" si="0">D2/(G2+H2)</f>
        <v>17.272727272727273</v>
      </c>
      <c r="F2" s="35">
        <v>25</v>
      </c>
      <c r="G2" s="34">
        <v>4</v>
      </c>
      <c r="H2" s="2">
        <v>7</v>
      </c>
      <c r="I2" s="41">
        <f t="shared" ref="I2:I37" si="1">G2/(G2+H2)</f>
        <v>0.36363636363636365</v>
      </c>
      <c r="J2" s="34">
        <v>19</v>
      </c>
      <c r="K2" s="2">
        <v>25</v>
      </c>
      <c r="L2" s="41">
        <f t="shared" ref="L2:L37" si="2">J2/(J2+K2)</f>
        <v>0.43181818181818182</v>
      </c>
      <c r="M2" s="34">
        <v>83</v>
      </c>
      <c r="N2" s="2">
        <v>95</v>
      </c>
      <c r="O2" s="41">
        <f t="shared" ref="O2:O37" si="3">M2/(M2+N2)</f>
        <v>0.46629213483146065</v>
      </c>
      <c r="P2" s="34">
        <v>3</v>
      </c>
      <c r="Q2" s="2">
        <v>0</v>
      </c>
      <c r="R2" s="2">
        <v>0</v>
      </c>
      <c r="S2" s="2">
        <v>3</v>
      </c>
      <c r="T2" s="2">
        <v>0</v>
      </c>
      <c r="U2" s="2">
        <v>3</v>
      </c>
      <c r="V2" s="2">
        <v>0</v>
      </c>
      <c r="W2" s="2">
        <v>0</v>
      </c>
      <c r="X2" s="2">
        <v>0</v>
      </c>
      <c r="Y2" s="2">
        <v>0</v>
      </c>
      <c r="Z2" s="1">
        <v>0</v>
      </c>
      <c r="AA2" s="2">
        <v>1</v>
      </c>
      <c r="AB2" s="2">
        <v>5</v>
      </c>
      <c r="AC2" s="2">
        <v>1</v>
      </c>
      <c r="AD2" s="47">
        <v>4</v>
      </c>
    </row>
    <row r="3" spans="1:30" x14ac:dyDescent="0.25">
      <c r="A3" s="2" t="s">
        <v>34</v>
      </c>
      <c r="B3" s="2" t="s">
        <v>79</v>
      </c>
      <c r="C3" s="2" t="s">
        <v>79</v>
      </c>
      <c r="D3" s="34">
        <v>11</v>
      </c>
      <c r="E3" s="4">
        <f t="shared" si="0"/>
        <v>5.5</v>
      </c>
      <c r="F3" s="35">
        <v>6</v>
      </c>
      <c r="G3" s="34">
        <v>2</v>
      </c>
      <c r="H3" s="2">
        <v>0</v>
      </c>
      <c r="I3" s="41">
        <f t="shared" si="1"/>
        <v>1</v>
      </c>
      <c r="J3" s="34">
        <v>6</v>
      </c>
      <c r="K3" s="2">
        <v>1</v>
      </c>
      <c r="L3" s="41">
        <f t="shared" si="2"/>
        <v>0.8571428571428571</v>
      </c>
      <c r="M3" s="34">
        <v>19</v>
      </c>
      <c r="N3" s="2">
        <v>8</v>
      </c>
      <c r="O3" s="41">
        <f t="shared" si="3"/>
        <v>0.70370370370370372</v>
      </c>
      <c r="P3" s="34">
        <v>0</v>
      </c>
      <c r="Q3" s="2">
        <v>1</v>
      </c>
      <c r="R3" s="2">
        <v>0</v>
      </c>
      <c r="S3" s="2">
        <v>2</v>
      </c>
      <c r="T3" s="2">
        <v>0</v>
      </c>
      <c r="U3" s="2">
        <v>1</v>
      </c>
      <c r="V3" s="2">
        <v>0</v>
      </c>
      <c r="W3" s="2">
        <v>0</v>
      </c>
      <c r="X3" s="2">
        <v>0</v>
      </c>
      <c r="Y3" s="2">
        <v>0</v>
      </c>
      <c r="Z3" s="1">
        <v>0</v>
      </c>
      <c r="AA3" s="2">
        <v>1</v>
      </c>
      <c r="AB3" s="2">
        <v>1</v>
      </c>
      <c r="AC3" s="2">
        <v>0</v>
      </c>
      <c r="AD3" s="47">
        <v>0</v>
      </c>
    </row>
    <row r="4" spans="1:30" ht="15.75" x14ac:dyDescent="0.25">
      <c r="A4" s="2" t="s">
        <v>35</v>
      </c>
      <c r="B4" s="80" t="s">
        <v>60</v>
      </c>
      <c r="C4" s="2" t="s">
        <v>79</v>
      </c>
      <c r="D4" s="34">
        <v>115</v>
      </c>
      <c r="E4" s="4">
        <f t="shared" si="0"/>
        <v>10.454545454545455</v>
      </c>
      <c r="F4" s="35">
        <v>21</v>
      </c>
      <c r="G4" s="34">
        <v>7</v>
      </c>
      <c r="H4" s="2">
        <v>4</v>
      </c>
      <c r="I4" s="41">
        <f t="shared" si="1"/>
        <v>0.63636363636363635</v>
      </c>
      <c r="J4" s="34">
        <v>23</v>
      </c>
      <c r="K4" s="2">
        <v>20</v>
      </c>
      <c r="L4" s="41">
        <f t="shared" si="2"/>
        <v>0.53488372093023251</v>
      </c>
      <c r="M4" s="34">
        <v>93</v>
      </c>
      <c r="N4" s="2">
        <v>80</v>
      </c>
      <c r="O4" s="41">
        <f t="shared" si="3"/>
        <v>0.53757225433526012</v>
      </c>
      <c r="P4" s="34">
        <v>2</v>
      </c>
      <c r="Q4" s="2">
        <v>2</v>
      </c>
      <c r="R4" s="2">
        <v>0</v>
      </c>
      <c r="S4" s="2">
        <v>3</v>
      </c>
      <c r="T4" s="2">
        <v>0</v>
      </c>
      <c r="U4" s="2">
        <v>5</v>
      </c>
      <c r="V4" s="2">
        <v>0</v>
      </c>
      <c r="W4" s="2">
        <v>0</v>
      </c>
      <c r="X4" s="2">
        <v>0</v>
      </c>
      <c r="Y4" s="2">
        <v>0</v>
      </c>
      <c r="Z4" s="1">
        <v>0</v>
      </c>
      <c r="AA4" s="2">
        <v>4</v>
      </c>
      <c r="AB4" s="2">
        <v>3</v>
      </c>
      <c r="AC4" s="2">
        <v>1</v>
      </c>
      <c r="AD4" s="47">
        <v>3</v>
      </c>
    </row>
    <row r="5" spans="1:30" x14ac:dyDescent="0.25">
      <c r="A5" s="2" t="s">
        <v>19</v>
      </c>
      <c r="B5" s="2" t="s">
        <v>79</v>
      </c>
      <c r="C5" s="2" t="s">
        <v>79</v>
      </c>
      <c r="D5" s="34">
        <v>230</v>
      </c>
      <c r="E5" s="4">
        <f t="shared" si="0"/>
        <v>11.5</v>
      </c>
      <c r="F5" s="35">
        <v>26</v>
      </c>
      <c r="G5" s="34">
        <v>6</v>
      </c>
      <c r="H5" s="2">
        <v>14</v>
      </c>
      <c r="I5" s="41">
        <f t="shared" si="1"/>
        <v>0.3</v>
      </c>
      <c r="J5" s="34">
        <v>32</v>
      </c>
      <c r="K5" s="2">
        <v>49</v>
      </c>
      <c r="L5" s="41">
        <f t="shared" si="2"/>
        <v>0.39506172839506171</v>
      </c>
      <c r="M5" s="34">
        <v>149</v>
      </c>
      <c r="N5" s="2">
        <v>184</v>
      </c>
      <c r="O5" s="41">
        <f t="shared" si="3"/>
        <v>0.44744744744744747</v>
      </c>
      <c r="P5" s="34">
        <v>3</v>
      </c>
      <c r="Q5" s="2">
        <v>0</v>
      </c>
      <c r="R5" s="2">
        <v>1</v>
      </c>
      <c r="S5" s="2">
        <v>2</v>
      </c>
      <c r="T5" s="2">
        <v>0</v>
      </c>
      <c r="U5" s="2">
        <v>5</v>
      </c>
      <c r="V5" s="2">
        <v>1</v>
      </c>
      <c r="W5" s="2">
        <v>0</v>
      </c>
      <c r="X5" s="2">
        <v>1</v>
      </c>
      <c r="Y5" s="2">
        <v>1</v>
      </c>
      <c r="Z5" s="1">
        <v>0</v>
      </c>
      <c r="AA5" s="2">
        <v>4</v>
      </c>
      <c r="AB5" s="2">
        <v>9</v>
      </c>
      <c r="AC5" s="2">
        <v>0</v>
      </c>
      <c r="AD5" s="47">
        <v>5</v>
      </c>
    </row>
    <row r="6" spans="1:30" x14ac:dyDescent="0.25">
      <c r="A6" s="1" t="s">
        <v>42</v>
      </c>
      <c r="B6" s="72" t="s">
        <v>79</v>
      </c>
      <c r="C6" s="2" t="s">
        <v>79</v>
      </c>
      <c r="D6" s="36">
        <v>5</v>
      </c>
      <c r="E6" s="4">
        <f t="shared" si="0"/>
        <v>5</v>
      </c>
      <c r="F6" s="35">
        <v>5</v>
      </c>
      <c r="G6" s="36">
        <v>0</v>
      </c>
      <c r="H6" s="1">
        <v>1</v>
      </c>
      <c r="I6" s="42">
        <f t="shared" si="1"/>
        <v>0</v>
      </c>
      <c r="J6" s="36">
        <v>0</v>
      </c>
      <c r="K6" s="1">
        <v>3</v>
      </c>
      <c r="L6" s="42">
        <f t="shared" si="2"/>
        <v>0</v>
      </c>
      <c r="M6" s="36">
        <v>2</v>
      </c>
      <c r="N6" s="1">
        <v>9</v>
      </c>
      <c r="O6" s="42">
        <f t="shared" si="3"/>
        <v>0.18181818181818182</v>
      </c>
      <c r="P6" s="36">
        <v>0</v>
      </c>
      <c r="Q6" s="1">
        <v>0</v>
      </c>
      <c r="R6" s="1">
        <v>0</v>
      </c>
      <c r="S6" s="1">
        <v>0</v>
      </c>
      <c r="T6" s="2">
        <v>0</v>
      </c>
      <c r="U6" s="1">
        <v>0</v>
      </c>
      <c r="V6" s="1">
        <v>0</v>
      </c>
      <c r="W6" s="1">
        <v>0</v>
      </c>
      <c r="X6" s="2">
        <v>0</v>
      </c>
      <c r="Y6" s="2">
        <v>0</v>
      </c>
      <c r="Z6" s="1">
        <v>0</v>
      </c>
      <c r="AA6" s="1">
        <v>0</v>
      </c>
      <c r="AB6" s="1">
        <v>0</v>
      </c>
      <c r="AC6" s="1">
        <v>0</v>
      </c>
      <c r="AD6" s="65">
        <v>0</v>
      </c>
    </row>
    <row r="7" spans="1:30" x14ac:dyDescent="0.25">
      <c r="A7" s="2" t="s">
        <v>25</v>
      </c>
      <c r="B7" s="2" t="s">
        <v>79</v>
      </c>
      <c r="C7" s="2" t="s">
        <v>79</v>
      </c>
      <c r="D7" s="34">
        <v>117</v>
      </c>
      <c r="E7" s="4">
        <f t="shared" si="0"/>
        <v>14.625</v>
      </c>
      <c r="F7" s="35">
        <v>21</v>
      </c>
      <c r="G7" s="34">
        <v>5</v>
      </c>
      <c r="H7" s="2">
        <v>3</v>
      </c>
      <c r="I7" s="41">
        <f t="shared" si="1"/>
        <v>0.625</v>
      </c>
      <c r="J7" s="34">
        <v>20</v>
      </c>
      <c r="K7" s="2">
        <v>12</v>
      </c>
      <c r="L7" s="41">
        <f t="shared" si="2"/>
        <v>0.625</v>
      </c>
      <c r="M7" s="34">
        <v>78</v>
      </c>
      <c r="N7" s="2">
        <v>57</v>
      </c>
      <c r="O7" s="41">
        <f t="shared" si="3"/>
        <v>0.57777777777777772</v>
      </c>
      <c r="P7" s="34">
        <v>2</v>
      </c>
      <c r="Q7" s="2">
        <v>0</v>
      </c>
      <c r="R7" s="2">
        <v>0</v>
      </c>
      <c r="S7" s="2">
        <v>2</v>
      </c>
      <c r="T7" s="2">
        <v>0</v>
      </c>
      <c r="U7" s="2">
        <v>3</v>
      </c>
      <c r="V7" s="2">
        <v>2</v>
      </c>
      <c r="W7" s="2">
        <v>1</v>
      </c>
      <c r="X7" s="2">
        <v>0</v>
      </c>
      <c r="Y7" s="2">
        <v>0</v>
      </c>
      <c r="Z7" s="1">
        <v>0</v>
      </c>
      <c r="AA7" s="2">
        <v>2</v>
      </c>
      <c r="AB7" s="2">
        <v>3</v>
      </c>
      <c r="AC7" s="2">
        <v>1</v>
      </c>
      <c r="AD7" s="47">
        <v>4</v>
      </c>
    </row>
    <row r="8" spans="1:30" x14ac:dyDescent="0.25">
      <c r="A8" s="2" t="s">
        <v>27</v>
      </c>
      <c r="B8" s="6" t="s">
        <v>76</v>
      </c>
      <c r="C8" s="6" t="s">
        <v>79</v>
      </c>
      <c r="D8" s="34">
        <v>161</v>
      </c>
      <c r="E8" s="4">
        <f t="shared" si="0"/>
        <v>13.416666666666666</v>
      </c>
      <c r="F8" s="35">
        <v>24</v>
      </c>
      <c r="G8" s="34">
        <v>6</v>
      </c>
      <c r="H8" s="2">
        <v>6</v>
      </c>
      <c r="I8" s="41">
        <f t="shared" si="1"/>
        <v>0.5</v>
      </c>
      <c r="J8" s="34">
        <v>23</v>
      </c>
      <c r="K8" s="2">
        <v>26</v>
      </c>
      <c r="L8" s="41">
        <f t="shared" si="2"/>
        <v>0.46938775510204084</v>
      </c>
      <c r="M8" s="34">
        <v>100</v>
      </c>
      <c r="N8" s="2">
        <v>108</v>
      </c>
      <c r="O8" s="41">
        <f t="shared" si="3"/>
        <v>0.48076923076923078</v>
      </c>
      <c r="P8" s="34">
        <v>0</v>
      </c>
      <c r="Q8" s="2">
        <v>1</v>
      </c>
      <c r="R8" s="2">
        <v>2</v>
      </c>
      <c r="S8" s="2">
        <v>1</v>
      </c>
      <c r="T8" s="1">
        <v>2</v>
      </c>
      <c r="U8" s="2">
        <v>4</v>
      </c>
      <c r="V8" s="2">
        <v>1</v>
      </c>
      <c r="W8" s="2">
        <v>0</v>
      </c>
      <c r="X8" s="2">
        <v>0</v>
      </c>
      <c r="Y8" s="2">
        <v>0</v>
      </c>
      <c r="Z8" s="1">
        <v>0</v>
      </c>
      <c r="AA8" s="2">
        <v>4</v>
      </c>
      <c r="AB8" s="2">
        <v>4</v>
      </c>
      <c r="AC8" s="2">
        <v>1</v>
      </c>
      <c r="AD8" s="47">
        <v>3</v>
      </c>
    </row>
    <row r="9" spans="1:30" x14ac:dyDescent="0.25">
      <c r="A9" s="2" t="s">
        <v>26</v>
      </c>
      <c r="B9" s="6" t="s">
        <v>60</v>
      </c>
      <c r="C9" s="6" t="s">
        <v>79</v>
      </c>
      <c r="D9" s="34">
        <v>188</v>
      </c>
      <c r="E9" s="4">
        <f t="shared" si="0"/>
        <v>12.533333333333333</v>
      </c>
      <c r="F9" s="35">
        <v>24</v>
      </c>
      <c r="G9" s="34">
        <v>11</v>
      </c>
      <c r="H9" s="2">
        <v>4</v>
      </c>
      <c r="I9" s="41">
        <f t="shared" si="1"/>
        <v>0.73333333333333328</v>
      </c>
      <c r="J9" s="34">
        <v>39</v>
      </c>
      <c r="K9" s="2">
        <v>22</v>
      </c>
      <c r="L9" s="41">
        <f t="shared" si="2"/>
        <v>0.63934426229508201</v>
      </c>
      <c r="M9" s="34">
        <v>144</v>
      </c>
      <c r="N9" s="2">
        <v>108</v>
      </c>
      <c r="O9" s="41">
        <f t="shared" si="3"/>
        <v>0.5714285714285714</v>
      </c>
      <c r="P9" s="34">
        <v>1</v>
      </c>
      <c r="Q9" s="2">
        <v>2</v>
      </c>
      <c r="R9" s="2">
        <v>2</v>
      </c>
      <c r="S9" s="2">
        <v>7</v>
      </c>
      <c r="T9" s="2">
        <v>2</v>
      </c>
      <c r="U9" s="2">
        <v>7</v>
      </c>
      <c r="V9" s="2">
        <v>3</v>
      </c>
      <c r="W9" s="2">
        <v>2</v>
      </c>
      <c r="X9" s="2">
        <v>1</v>
      </c>
      <c r="Y9" s="2">
        <v>1</v>
      </c>
      <c r="Z9" s="1">
        <v>0</v>
      </c>
      <c r="AA9" s="2">
        <v>3</v>
      </c>
      <c r="AB9" s="2">
        <v>4</v>
      </c>
      <c r="AC9" s="2">
        <v>1</v>
      </c>
      <c r="AD9" s="47">
        <v>3</v>
      </c>
    </row>
    <row r="10" spans="1:30" x14ac:dyDescent="0.25">
      <c r="A10" s="2" t="s">
        <v>78</v>
      </c>
      <c r="B10" s="6" t="s">
        <v>79</v>
      </c>
      <c r="C10" s="6" t="s">
        <v>79</v>
      </c>
      <c r="D10" s="34">
        <v>0</v>
      </c>
      <c r="E10" s="4">
        <v>0</v>
      </c>
      <c r="F10" s="35">
        <v>0</v>
      </c>
      <c r="G10" s="34">
        <v>0</v>
      </c>
      <c r="H10" s="2">
        <v>0</v>
      </c>
      <c r="I10" s="41" t="s">
        <v>79</v>
      </c>
      <c r="J10" s="34">
        <v>0</v>
      </c>
      <c r="K10" s="2">
        <v>0</v>
      </c>
      <c r="L10" s="41" t="s">
        <v>79</v>
      </c>
      <c r="M10" s="34">
        <v>0</v>
      </c>
      <c r="N10" s="2">
        <v>0</v>
      </c>
      <c r="O10" s="41" t="s">
        <v>79</v>
      </c>
      <c r="P10" s="34">
        <v>0</v>
      </c>
      <c r="Q10" s="2">
        <v>0</v>
      </c>
      <c r="R10" s="2">
        <v>0</v>
      </c>
      <c r="S10" s="2">
        <v>0</v>
      </c>
      <c r="T10" s="2">
        <v>0</v>
      </c>
      <c r="U10" s="2">
        <v>0</v>
      </c>
      <c r="V10" s="2">
        <v>0</v>
      </c>
      <c r="W10" s="2">
        <v>0</v>
      </c>
      <c r="X10" s="2">
        <v>0</v>
      </c>
      <c r="Y10" s="2">
        <v>0</v>
      </c>
      <c r="Z10" s="1">
        <v>0</v>
      </c>
      <c r="AA10" s="2">
        <v>0</v>
      </c>
      <c r="AB10" s="2">
        <v>0</v>
      </c>
      <c r="AC10" s="2">
        <v>0</v>
      </c>
      <c r="AD10" s="47">
        <v>0</v>
      </c>
    </row>
    <row r="11" spans="1:30" ht="15.75" x14ac:dyDescent="0.25">
      <c r="A11" s="1" t="s">
        <v>45</v>
      </c>
      <c r="B11" s="80" t="s">
        <v>60</v>
      </c>
      <c r="C11" s="2" t="s">
        <v>79</v>
      </c>
      <c r="D11" s="34">
        <v>89</v>
      </c>
      <c r="E11" s="4">
        <f t="shared" si="0"/>
        <v>9.8888888888888893</v>
      </c>
      <c r="F11" s="35">
        <v>17</v>
      </c>
      <c r="G11" s="36">
        <v>4</v>
      </c>
      <c r="H11" s="1">
        <v>5</v>
      </c>
      <c r="I11" s="42">
        <f t="shared" si="1"/>
        <v>0.44444444444444442</v>
      </c>
      <c r="J11" s="36">
        <v>17</v>
      </c>
      <c r="K11" s="1">
        <v>18</v>
      </c>
      <c r="L11" s="42">
        <f t="shared" si="2"/>
        <v>0.48571428571428571</v>
      </c>
      <c r="M11" s="36">
        <v>71</v>
      </c>
      <c r="N11" s="1">
        <v>71</v>
      </c>
      <c r="O11" s="42">
        <f t="shared" si="3"/>
        <v>0.5</v>
      </c>
      <c r="P11" s="34">
        <v>0</v>
      </c>
      <c r="Q11" s="2">
        <v>2</v>
      </c>
      <c r="R11" s="2">
        <v>0</v>
      </c>
      <c r="S11" s="2">
        <v>3</v>
      </c>
      <c r="T11" s="2">
        <v>0</v>
      </c>
      <c r="U11" s="2">
        <v>4</v>
      </c>
      <c r="V11" s="2">
        <v>0</v>
      </c>
      <c r="W11" s="2">
        <v>0</v>
      </c>
      <c r="X11" s="2">
        <v>0</v>
      </c>
      <c r="Y11" s="2">
        <v>0</v>
      </c>
      <c r="Z11" s="1">
        <v>0</v>
      </c>
      <c r="AA11" s="2">
        <v>2</v>
      </c>
      <c r="AB11" s="2">
        <v>3</v>
      </c>
      <c r="AC11" s="2">
        <v>1</v>
      </c>
      <c r="AD11" s="47">
        <v>2</v>
      </c>
    </row>
    <row r="12" spans="1:30" x14ac:dyDescent="0.25">
      <c r="A12" s="2" t="s">
        <v>50</v>
      </c>
      <c r="B12" s="2" t="s">
        <v>79</v>
      </c>
      <c r="C12" s="2" t="s">
        <v>79</v>
      </c>
      <c r="D12" s="34">
        <v>26</v>
      </c>
      <c r="E12" s="4">
        <f t="shared" si="0"/>
        <v>13</v>
      </c>
      <c r="F12" s="35">
        <v>14</v>
      </c>
      <c r="G12" s="36">
        <v>0</v>
      </c>
      <c r="H12" s="1">
        <v>2</v>
      </c>
      <c r="I12" s="42">
        <f t="shared" si="1"/>
        <v>0</v>
      </c>
      <c r="J12" s="36">
        <v>2</v>
      </c>
      <c r="K12" s="1">
        <v>6</v>
      </c>
      <c r="L12" s="42">
        <f t="shared" si="2"/>
        <v>0.25</v>
      </c>
      <c r="M12" s="36">
        <v>13</v>
      </c>
      <c r="N12" s="1">
        <v>22</v>
      </c>
      <c r="O12" s="42">
        <f t="shared" si="3"/>
        <v>0.37142857142857144</v>
      </c>
      <c r="P12" s="34">
        <v>0</v>
      </c>
      <c r="Q12" s="2">
        <v>0</v>
      </c>
      <c r="R12" s="2">
        <v>0</v>
      </c>
      <c r="S12" s="2">
        <v>0</v>
      </c>
      <c r="T12" s="2">
        <v>0</v>
      </c>
      <c r="U12" s="2">
        <v>1</v>
      </c>
      <c r="V12" s="2">
        <v>0</v>
      </c>
      <c r="W12" s="2">
        <v>0</v>
      </c>
      <c r="X12" s="2">
        <v>0</v>
      </c>
      <c r="Y12" s="2">
        <v>0</v>
      </c>
      <c r="Z12" s="1">
        <v>0</v>
      </c>
      <c r="AA12" s="2">
        <v>1</v>
      </c>
      <c r="AB12" s="2">
        <v>0</v>
      </c>
      <c r="AC12" s="2">
        <v>0</v>
      </c>
      <c r="AD12" s="47">
        <v>0</v>
      </c>
    </row>
    <row r="13" spans="1:30" x14ac:dyDescent="0.25">
      <c r="A13" s="2" t="s">
        <v>52</v>
      </c>
      <c r="B13" s="2" t="s">
        <v>79</v>
      </c>
      <c r="C13" s="2" t="s">
        <v>79</v>
      </c>
      <c r="D13" s="34">
        <v>5</v>
      </c>
      <c r="E13" s="4">
        <f t="shared" si="0"/>
        <v>5</v>
      </c>
      <c r="F13" s="35">
        <v>5</v>
      </c>
      <c r="G13" s="36">
        <v>0</v>
      </c>
      <c r="H13" s="1">
        <v>1</v>
      </c>
      <c r="I13" s="42">
        <f t="shared" si="1"/>
        <v>0</v>
      </c>
      <c r="J13" s="36">
        <v>0</v>
      </c>
      <c r="K13" s="1">
        <v>3</v>
      </c>
      <c r="L13" s="42">
        <f t="shared" si="2"/>
        <v>0</v>
      </c>
      <c r="M13" s="36">
        <v>4</v>
      </c>
      <c r="N13" s="1">
        <v>9</v>
      </c>
      <c r="O13" s="42">
        <f t="shared" si="3"/>
        <v>0.30769230769230771</v>
      </c>
      <c r="P13" s="34">
        <v>0</v>
      </c>
      <c r="Q13" s="2">
        <v>0</v>
      </c>
      <c r="R13" s="2">
        <v>0</v>
      </c>
      <c r="S13" s="2">
        <v>0</v>
      </c>
      <c r="T13" s="2">
        <v>0</v>
      </c>
      <c r="U13" s="2">
        <v>0</v>
      </c>
      <c r="V13" s="2">
        <v>0</v>
      </c>
      <c r="W13" s="2">
        <v>0</v>
      </c>
      <c r="X13" s="2">
        <v>0</v>
      </c>
      <c r="Y13" s="2">
        <v>0</v>
      </c>
      <c r="Z13" s="1">
        <v>0</v>
      </c>
      <c r="AA13" s="2">
        <v>0</v>
      </c>
      <c r="AB13" s="2">
        <v>0</v>
      </c>
      <c r="AC13" s="2">
        <v>0</v>
      </c>
      <c r="AD13" s="47">
        <v>0</v>
      </c>
    </row>
    <row r="14" spans="1:30" x14ac:dyDescent="0.25">
      <c r="A14" s="1" t="s">
        <v>44</v>
      </c>
      <c r="B14" s="2" t="s">
        <v>79</v>
      </c>
      <c r="C14" s="2" t="s">
        <v>79</v>
      </c>
      <c r="D14" s="36">
        <v>12</v>
      </c>
      <c r="E14" s="4">
        <f t="shared" si="0"/>
        <v>12</v>
      </c>
      <c r="F14" s="35">
        <v>12</v>
      </c>
      <c r="G14" s="36">
        <v>1</v>
      </c>
      <c r="H14" s="1">
        <v>0</v>
      </c>
      <c r="I14" s="42">
        <f t="shared" si="1"/>
        <v>1</v>
      </c>
      <c r="J14" s="36">
        <v>3</v>
      </c>
      <c r="K14" s="1">
        <v>0</v>
      </c>
      <c r="L14" s="42">
        <f t="shared" si="2"/>
        <v>1</v>
      </c>
      <c r="M14" s="36">
        <v>9</v>
      </c>
      <c r="N14" s="1">
        <v>4</v>
      </c>
      <c r="O14" s="42">
        <f t="shared" si="3"/>
        <v>0.69230769230769229</v>
      </c>
      <c r="P14" s="34">
        <v>0</v>
      </c>
      <c r="Q14" s="2">
        <v>0</v>
      </c>
      <c r="R14" s="2">
        <v>0</v>
      </c>
      <c r="S14" s="2">
        <v>0</v>
      </c>
      <c r="T14" s="2">
        <v>0</v>
      </c>
      <c r="U14" s="1">
        <v>1</v>
      </c>
      <c r="V14" s="2">
        <v>0</v>
      </c>
      <c r="W14" s="2">
        <v>0</v>
      </c>
      <c r="X14" s="2">
        <v>0</v>
      </c>
      <c r="Y14" s="2">
        <v>0</v>
      </c>
      <c r="Z14" s="1">
        <v>0</v>
      </c>
      <c r="AA14" s="2">
        <v>0</v>
      </c>
      <c r="AB14" s="1">
        <v>1</v>
      </c>
      <c r="AC14" s="2">
        <v>0</v>
      </c>
      <c r="AD14" s="65">
        <v>1</v>
      </c>
    </row>
    <row r="15" spans="1:30" x14ac:dyDescent="0.25">
      <c r="A15" s="2" t="s">
        <v>1</v>
      </c>
      <c r="B15" s="6" t="s">
        <v>60</v>
      </c>
      <c r="C15" s="2" t="s">
        <v>79</v>
      </c>
      <c r="D15" s="34">
        <v>167</v>
      </c>
      <c r="E15" s="4">
        <f t="shared" si="0"/>
        <v>27.833333333333332</v>
      </c>
      <c r="F15" s="35">
        <v>37</v>
      </c>
      <c r="G15" s="34">
        <v>4</v>
      </c>
      <c r="H15" s="2">
        <v>2</v>
      </c>
      <c r="I15" s="41">
        <f t="shared" si="1"/>
        <v>0.66666666666666663</v>
      </c>
      <c r="J15" s="34">
        <v>15</v>
      </c>
      <c r="K15" s="2">
        <v>12</v>
      </c>
      <c r="L15" s="41">
        <f t="shared" si="2"/>
        <v>0.55555555555555558</v>
      </c>
      <c r="M15" s="34">
        <v>60</v>
      </c>
      <c r="N15" s="2">
        <v>60</v>
      </c>
      <c r="O15" s="41">
        <f t="shared" si="3"/>
        <v>0.5</v>
      </c>
      <c r="P15" s="34">
        <v>0</v>
      </c>
      <c r="Q15" s="2">
        <v>1</v>
      </c>
      <c r="R15" s="2">
        <v>2</v>
      </c>
      <c r="S15" s="2">
        <v>0</v>
      </c>
      <c r="T15" s="1">
        <v>1</v>
      </c>
      <c r="U15" s="2">
        <v>1</v>
      </c>
      <c r="V15" s="2">
        <v>0</v>
      </c>
      <c r="W15" s="2">
        <v>0</v>
      </c>
      <c r="X15" s="2">
        <v>0</v>
      </c>
      <c r="Y15" s="2">
        <v>0</v>
      </c>
      <c r="Z15" s="1">
        <v>0</v>
      </c>
      <c r="AA15" s="2">
        <v>1</v>
      </c>
      <c r="AB15" s="2">
        <v>3</v>
      </c>
      <c r="AC15" s="2">
        <v>2</v>
      </c>
      <c r="AD15" s="47">
        <v>4</v>
      </c>
    </row>
    <row r="16" spans="1:30" x14ac:dyDescent="0.25">
      <c r="A16" s="2" t="s">
        <v>29</v>
      </c>
      <c r="B16" s="6" t="s">
        <v>124</v>
      </c>
      <c r="C16" s="2" t="s">
        <v>79</v>
      </c>
      <c r="D16" s="34">
        <v>152</v>
      </c>
      <c r="E16" s="4">
        <f t="shared" si="0"/>
        <v>9.5</v>
      </c>
      <c r="F16" s="35">
        <v>21</v>
      </c>
      <c r="G16" s="34">
        <v>8</v>
      </c>
      <c r="H16" s="2">
        <v>8</v>
      </c>
      <c r="I16" s="41">
        <f t="shared" si="1"/>
        <v>0.5</v>
      </c>
      <c r="J16" s="34">
        <v>31</v>
      </c>
      <c r="K16" s="2">
        <v>33</v>
      </c>
      <c r="L16" s="41">
        <f t="shared" si="2"/>
        <v>0.484375</v>
      </c>
      <c r="M16" s="34">
        <v>133</v>
      </c>
      <c r="N16" s="2">
        <v>135</v>
      </c>
      <c r="O16" s="41">
        <f t="shared" si="3"/>
        <v>0.4962686567164179</v>
      </c>
      <c r="P16" s="34">
        <v>2</v>
      </c>
      <c r="Q16" s="2">
        <v>2</v>
      </c>
      <c r="R16" s="2">
        <v>1</v>
      </c>
      <c r="S16" s="2">
        <v>3</v>
      </c>
      <c r="T16" s="1">
        <v>1</v>
      </c>
      <c r="U16" s="2">
        <v>3</v>
      </c>
      <c r="V16" s="2">
        <v>1</v>
      </c>
      <c r="W16" s="2">
        <v>0</v>
      </c>
      <c r="X16" s="2">
        <v>0</v>
      </c>
      <c r="Y16" s="2">
        <v>0</v>
      </c>
      <c r="Z16" s="1">
        <v>1</v>
      </c>
      <c r="AA16" s="2">
        <v>4</v>
      </c>
      <c r="AB16" s="2">
        <v>6</v>
      </c>
      <c r="AC16" s="2">
        <v>2</v>
      </c>
      <c r="AD16" s="47">
        <v>5</v>
      </c>
    </row>
    <row r="17" spans="1:30" x14ac:dyDescent="0.25">
      <c r="A17" s="2" t="s">
        <v>46</v>
      </c>
      <c r="B17" s="2"/>
      <c r="C17" s="2" t="s">
        <v>79</v>
      </c>
      <c r="D17" s="34">
        <v>183</v>
      </c>
      <c r="E17" s="4">
        <f t="shared" si="0"/>
        <v>20.333333333333332</v>
      </c>
      <c r="F17" s="35">
        <v>36</v>
      </c>
      <c r="G17" s="34">
        <v>4</v>
      </c>
      <c r="H17" s="2">
        <v>5</v>
      </c>
      <c r="I17" s="41">
        <f t="shared" si="1"/>
        <v>0.44444444444444442</v>
      </c>
      <c r="J17" s="34">
        <v>16</v>
      </c>
      <c r="K17" s="2">
        <v>20</v>
      </c>
      <c r="L17" s="41">
        <f t="shared" si="2"/>
        <v>0.44444444444444442</v>
      </c>
      <c r="M17" s="34">
        <v>70</v>
      </c>
      <c r="N17" s="2">
        <v>83</v>
      </c>
      <c r="O17" s="41">
        <f t="shared" si="3"/>
        <v>0.45751633986928103</v>
      </c>
      <c r="P17" s="34">
        <v>0</v>
      </c>
      <c r="Q17" s="2">
        <v>1</v>
      </c>
      <c r="R17" s="2">
        <v>1</v>
      </c>
      <c r="S17" s="2">
        <v>1</v>
      </c>
      <c r="T17" s="2">
        <v>0</v>
      </c>
      <c r="U17" s="2">
        <v>5</v>
      </c>
      <c r="V17" s="2">
        <v>0</v>
      </c>
      <c r="W17" s="2">
        <v>1</v>
      </c>
      <c r="X17" s="2">
        <v>0</v>
      </c>
      <c r="Y17" s="2">
        <v>0</v>
      </c>
      <c r="Z17" s="1">
        <v>0</v>
      </c>
      <c r="AA17" s="2">
        <v>1</v>
      </c>
      <c r="AB17" s="2">
        <v>3</v>
      </c>
      <c r="AC17" s="2">
        <v>1</v>
      </c>
      <c r="AD17" s="47">
        <v>2</v>
      </c>
    </row>
    <row r="18" spans="1:30" x14ac:dyDescent="0.25">
      <c r="A18" s="2" t="s">
        <v>28</v>
      </c>
      <c r="B18" s="6" t="s">
        <v>60</v>
      </c>
      <c r="C18" s="2" t="s">
        <v>79</v>
      </c>
      <c r="D18" s="34">
        <v>178</v>
      </c>
      <c r="E18" s="4">
        <f t="shared" si="0"/>
        <v>12.714285714285714</v>
      </c>
      <c r="F18" s="35">
        <v>23</v>
      </c>
      <c r="G18" s="34">
        <v>5</v>
      </c>
      <c r="H18" s="2">
        <v>9</v>
      </c>
      <c r="I18" s="41">
        <f t="shared" si="1"/>
        <v>0.35714285714285715</v>
      </c>
      <c r="J18" s="34">
        <v>23</v>
      </c>
      <c r="K18" s="2">
        <v>34</v>
      </c>
      <c r="L18" s="41">
        <f t="shared" si="2"/>
        <v>0.40350877192982454</v>
      </c>
      <c r="M18" s="34">
        <v>110</v>
      </c>
      <c r="N18" s="2">
        <v>130</v>
      </c>
      <c r="O18" s="41">
        <f t="shared" si="3"/>
        <v>0.45833333333333331</v>
      </c>
      <c r="P18" s="34">
        <v>3</v>
      </c>
      <c r="Q18" s="2">
        <v>0</v>
      </c>
      <c r="R18" s="2">
        <v>1</v>
      </c>
      <c r="S18" s="2">
        <v>0</v>
      </c>
      <c r="T18" s="1">
        <v>1</v>
      </c>
      <c r="U18" s="2">
        <v>2</v>
      </c>
      <c r="V18" s="2">
        <v>1</v>
      </c>
      <c r="W18" s="2">
        <v>0</v>
      </c>
      <c r="X18" s="2">
        <v>1</v>
      </c>
      <c r="Y18" s="2">
        <v>1</v>
      </c>
      <c r="Z18" s="1">
        <v>0</v>
      </c>
      <c r="AA18" s="2">
        <v>1</v>
      </c>
      <c r="AB18" s="2">
        <v>3</v>
      </c>
      <c r="AC18" s="2">
        <v>2</v>
      </c>
      <c r="AD18" s="47">
        <v>7</v>
      </c>
    </row>
    <row r="19" spans="1:30" x14ac:dyDescent="0.25">
      <c r="A19" s="2" t="s">
        <v>53</v>
      </c>
      <c r="B19" s="6" t="s">
        <v>60</v>
      </c>
      <c r="C19" s="6" t="s">
        <v>79</v>
      </c>
      <c r="D19" s="34">
        <v>43</v>
      </c>
      <c r="E19" s="4">
        <f t="shared" si="0"/>
        <v>14.333333333333334</v>
      </c>
      <c r="F19" s="35">
        <v>25</v>
      </c>
      <c r="G19" s="36">
        <v>2</v>
      </c>
      <c r="H19" s="1">
        <v>1</v>
      </c>
      <c r="I19" s="42">
        <f t="shared" si="1"/>
        <v>0.66666666666666663</v>
      </c>
      <c r="J19" s="36">
        <v>6</v>
      </c>
      <c r="K19" s="1">
        <v>7</v>
      </c>
      <c r="L19" s="42">
        <f t="shared" si="2"/>
        <v>0.46153846153846156</v>
      </c>
      <c r="M19" s="36">
        <v>27</v>
      </c>
      <c r="N19" s="1">
        <v>26</v>
      </c>
      <c r="O19" s="42">
        <f t="shared" si="3"/>
        <v>0.50943396226415094</v>
      </c>
      <c r="P19" s="34">
        <v>0</v>
      </c>
      <c r="Q19" s="2">
        <v>0</v>
      </c>
      <c r="R19" s="2">
        <v>0</v>
      </c>
      <c r="S19" s="2">
        <v>1</v>
      </c>
      <c r="T19" s="2">
        <v>2</v>
      </c>
      <c r="U19" s="2">
        <v>1</v>
      </c>
      <c r="V19" s="2">
        <v>2</v>
      </c>
      <c r="W19" s="2">
        <v>0</v>
      </c>
      <c r="X19" s="2">
        <v>0</v>
      </c>
      <c r="Y19" s="2">
        <v>0</v>
      </c>
      <c r="Z19" s="1">
        <v>0</v>
      </c>
      <c r="AA19" s="2">
        <v>0</v>
      </c>
      <c r="AB19" s="2">
        <v>0</v>
      </c>
      <c r="AC19" s="2">
        <v>0</v>
      </c>
      <c r="AD19" s="47">
        <v>0</v>
      </c>
    </row>
    <row r="20" spans="1:30" x14ac:dyDescent="0.25">
      <c r="A20" s="2" t="s">
        <v>51</v>
      </c>
      <c r="B20" s="2" t="s">
        <v>79</v>
      </c>
      <c r="C20" s="2" t="s">
        <v>79</v>
      </c>
      <c r="D20" s="34">
        <v>167</v>
      </c>
      <c r="E20" s="4">
        <f t="shared" si="0"/>
        <v>13.916666666666666</v>
      </c>
      <c r="F20" s="35">
        <v>22</v>
      </c>
      <c r="G20" s="36">
        <v>7</v>
      </c>
      <c r="H20" s="1">
        <v>5</v>
      </c>
      <c r="I20" s="42">
        <f t="shared" si="1"/>
        <v>0.58333333333333337</v>
      </c>
      <c r="J20" s="36">
        <v>27</v>
      </c>
      <c r="K20" s="1">
        <v>23</v>
      </c>
      <c r="L20" s="42">
        <f t="shared" si="2"/>
        <v>0.54</v>
      </c>
      <c r="M20" s="36">
        <v>104</v>
      </c>
      <c r="N20" s="1">
        <v>99</v>
      </c>
      <c r="O20" s="42">
        <f t="shared" si="3"/>
        <v>0.51231527093596063</v>
      </c>
      <c r="P20" s="34">
        <v>4</v>
      </c>
      <c r="Q20" s="2">
        <v>1</v>
      </c>
      <c r="R20" s="2">
        <v>0</v>
      </c>
      <c r="S20" s="2">
        <v>3</v>
      </c>
      <c r="T20" s="1">
        <v>0</v>
      </c>
      <c r="U20" s="2">
        <v>3</v>
      </c>
      <c r="V20" s="2">
        <v>0</v>
      </c>
      <c r="W20" s="2">
        <v>1</v>
      </c>
      <c r="X20" s="2">
        <v>0</v>
      </c>
      <c r="Y20" s="2">
        <v>0</v>
      </c>
      <c r="Z20" s="1">
        <v>1</v>
      </c>
      <c r="AA20" s="2">
        <v>5</v>
      </c>
      <c r="AB20" s="2">
        <v>4</v>
      </c>
      <c r="AC20" s="2">
        <v>2</v>
      </c>
      <c r="AD20" s="47">
        <v>3</v>
      </c>
    </row>
    <row r="21" spans="1:30" ht="15.75" x14ac:dyDescent="0.25">
      <c r="A21" s="2" t="s">
        <v>20</v>
      </c>
      <c r="B21" s="80" t="s">
        <v>60</v>
      </c>
      <c r="C21" s="2" t="s">
        <v>79</v>
      </c>
      <c r="D21" s="34">
        <v>213</v>
      </c>
      <c r="E21" s="4">
        <f t="shared" si="0"/>
        <v>13.3125</v>
      </c>
      <c r="F21" s="35">
        <v>28</v>
      </c>
      <c r="G21" s="34">
        <v>6</v>
      </c>
      <c r="H21" s="2">
        <v>10</v>
      </c>
      <c r="I21" s="41">
        <f t="shared" si="1"/>
        <v>0.375</v>
      </c>
      <c r="J21" s="34">
        <v>32</v>
      </c>
      <c r="K21" s="2">
        <v>35</v>
      </c>
      <c r="L21" s="41">
        <f t="shared" si="2"/>
        <v>0.47761194029850745</v>
      </c>
      <c r="M21" s="34">
        <v>140</v>
      </c>
      <c r="N21" s="2">
        <v>142</v>
      </c>
      <c r="O21" s="41">
        <f t="shared" si="3"/>
        <v>0.49645390070921985</v>
      </c>
      <c r="P21" s="34">
        <v>1</v>
      </c>
      <c r="Q21" s="2">
        <v>3</v>
      </c>
      <c r="R21" s="2">
        <v>0</v>
      </c>
      <c r="S21" s="2">
        <v>6</v>
      </c>
      <c r="T21" s="1">
        <v>0</v>
      </c>
      <c r="U21" s="2">
        <v>3</v>
      </c>
      <c r="V21" s="2">
        <v>1</v>
      </c>
      <c r="W21" s="2">
        <v>1</v>
      </c>
      <c r="X21" s="2">
        <v>0</v>
      </c>
      <c r="Y21" s="2">
        <v>0</v>
      </c>
      <c r="Z21" s="1">
        <v>2</v>
      </c>
      <c r="AA21" s="2">
        <v>7</v>
      </c>
      <c r="AB21" s="2">
        <v>5</v>
      </c>
      <c r="AC21" s="2">
        <v>1</v>
      </c>
      <c r="AD21" s="47">
        <v>2</v>
      </c>
    </row>
    <row r="22" spans="1:30" x14ac:dyDescent="0.25">
      <c r="A22" s="1" t="s">
        <v>47</v>
      </c>
      <c r="B22" s="2" t="s">
        <v>79</v>
      </c>
      <c r="C22" s="2" t="s">
        <v>79</v>
      </c>
      <c r="D22" s="34">
        <v>36</v>
      </c>
      <c r="E22" s="4">
        <f t="shared" si="0"/>
        <v>9</v>
      </c>
      <c r="F22" s="37">
        <v>13</v>
      </c>
      <c r="G22" s="36">
        <v>2</v>
      </c>
      <c r="H22" s="1">
        <v>2</v>
      </c>
      <c r="I22" s="42">
        <f t="shared" si="1"/>
        <v>0.5</v>
      </c>
      <c r="J22" s="36">
        <v>9</v>
      </c>
      <c r="K22" s="1">
        <v>7</v>
      </c>
      <c r="L22" s="42">
        <f t="shared" si="2"/>
        <v>0.5625</v>
      </c>
      <c r="M22" s="36">
        <v>38</v>
      </c>
      <c r="N22" s="1">
        <v>34</v>
      </c>
      <c r="O22" s="42">
        <f t="shared" si="3"/>
        <v>0.52777777777777779</v>
      </c>
      <c r="P22" s="34">
        <v>0</v>
      </c>
      <c r="Q22" s="2">
        <v>0</v>
      </c>
      <c r="R22" s="2">
        <v>1</v>
      </c>
      <c r="S22" s="2">
        <v>1</v>
      </c>
      <c r="T22" s="2">
        <v>0</v>
      </c>
      <c r="U22" s="2">
        <v>1</v>
      </c>
      <c r="V22" s="2">
        <v>0</v>
      </c>
      <c r="W22" s="2">
        <v>0</v>
      </c>
      <c r="X22" s="2">
        <v>0</v>
      </c>
      <c r="Y22" s="2">
        <v>0</v>
      </c>
      <c r="Z22" s="1">
        <v>0</v>
      </c>
      <c r="AA22" s="2">
        <v>3</v>
      </c>
      <c r="AB22" s="2">
        <v>1</v>
      </c>
      <c r="AC22" s="2">
        <v>0</v>
      </c>
      <c r="AD22" s="47">
        <v>2</v>
      </c>
    </row>
    <row r="23" spans="1:30" x14ac:dyDescent="0.25">
      <c r="A23" s="2" t="s">
        <v>3</v>
      </c>
      <c r="B23" s="6" t="s">
        <v>60</v>
      </c>
      <c r="C23" s="6" t="s">
        <v>60</v>
      </c>
      <c r="D23" s="34">
        <v>230</v>
      </c>
      <c r="E23" s="4">
        <f t="shared" si="0"/>
        <v>23</v>
      </c>
      <c r="F23" s="35">
        <v>44</v>
      </c>
      <c r="G23" s="34">
        <v>6</v>
      </c>
      <c r="H23" s="2">
        <v>4</v>
      </c>
      <c r="I23" s="41">
        <f t="shared" si="1"/>
        <v>0.6</v>
      </c>
      <c r="J23" s="34">
        <v>22</v>
      </c>
      <c r="K23" s="2">
        <v>21</v>
      </c>
      <c r="L23" s="41">
        <f t="shared" si="2"/>
        <v>0.51162790697674421</v>
      </c>
      <c r="M23" s="34">
        <v>87</v>
      </c>
      <c r="N23" s="2">
        <v>88</v>
      </c>
      <c r="O23" s="41">
        <f t="shared" si="3"/>
        <v>0.49714285714285716</v>
      </c>
      <c r="P23" s="34">
        <v>2</v>
      </c>
      <c r="Q23" s="2">
        <v>3</v>
      </c>
      <c r="R23" s="2">
        <v>1</v>
      </c>
      <c r="S23" s="2">
        <v>1</v>
      </c>
      <c r="T23" s="2">
        <v>2</v>
      </c>
      <c r="U23" s="2">
        <v>2</v>
      </c>
      <c r="V23" s="2">
        <v>3</v>
      </c>
      <c r="W23" s="2">
        <v>0</v>
      </c>
      <c r="X23" s="2">
        <v>0</v>
      </c>
      <c r="Y23" s="2">
        <v>0</v>
      </c>
      <c r="Z23" s="1">
        <v>1</v>
      </c>
      <c r="AA23" s="2">
        <v>0</v>
      </c>
      <c r="AB23" s="2">
        <v>3</v>
      </c>
      <c r="AC23" s="2">
        <v>2</v>
      </c>
      <c r="AD23" s="47">
        <v>1</v>
      </c>
    </row>
    <row r="24" spans="1:30" x14ac:dyDescent="0.25">
      <c r="A24" s="2" t="s">
        <v>15</v>
      </c>
      <c r="B24" s="2" t="s">
        <v>79</v>
      </c>
      <c r="C24" s="2" t="s">
        <v>79</v>
      </c>
      <c r="D24" s="34">
        <v>445</v>
      </c>
      <c r="E24" s="4">
        <f t="shared" si="0"/>
        <v>26.176470588235293</v>
      </c>
      <c r="F24" s="35">
        <v>55</v>
      </c>
      <c r="G24" s="34">
        <v>4</v>
      </c>
      <c r="H24" s="2">
        <v>13</v>
      </c>
      <c r="I24" s="41">
        <f t="shared" si="1"/>
        <v>0.23529411764705882</v>
      </c>
      <c r="J24" s="34">
        <v>28</v>
      </c>
      <c r="K24" s="2">
        <v>42</v>
      </c>
      <c r="L24" s="41">
        <f t="shared" si="2"/>
        <v>0.4</v>
      </c>
      <c r="M24" s="34">
        <v>136</v>
      </c>
      <c r="N24" s="2">
        <v>159</v>
      </c>
      <c r="O24" s="41">
        <f t="shared" si="3"/>
        <v>0.46101694915254238</v>
      </c>
      <c r="P24" s="34">
        <v>2</v>
      </c>
      <c r="Q24" s="2">
        <v>0</v>
      </c>
      <c r="R24" s="2">
        <v>0</v>
      </c>
      <c r="S24" s="2">
        <v>3</v>
      </c>
      <c r="T24" s="1">
        <v>0</v>
      </c>
      <c r="U24" s="2">
        <v>4</v>
      </c>
      <c r="V24" s="2">
        <v>1</v>
      </c>
      <c r="W24" s="2">
        <v>0</v>
      </c>
      <c r="X24" s="2">
        <v>0</v>
      </c>
      <c r="Y24" s="2">
        <v>0</v>
      </c>
      <c r="Z24" s="1">
        <v>0</v>
      </c>
      <c r="AA24" s="2">
        <v>5</v>
      </c>
      <c r="AB24" s="2">
        <v>6</v>
      </c>
      <c r="AC24" s="2">
        <v>2</v>
      </c>
      <c r="AD24" s="47">
        <v>5</v>
      </c>
    </row>
    <row r="25" spans="1:30" x14ac:dyDescent="0.25">
      <c r="A25" s="1" t="s">
        <v>43</v>
      </c>
      <c r="B25" s="2" t="s">
        <v>79</v>
      </c>
      <c r="C25" s="2" t="s">
        <v>79</v>
      </c>
      <c r="D25" s="36">
        <v>4</v>
      </c>
      <c r="E25" s="4">
        <f t="shared" si="0"/>
        <v>4</v>
      </c>
      <c r="F25" s="35">
        <v>4</v>
      </c>
      <c r="G25" s="36">
        <v>1</v>
      </c>
      <c r="H25" s="1">
        <v>0</v>
      </c>
      <c r="I25" s="42">
        <f t="shared" si="1"/>
        <v>1</v>
      </c>
      <c r="J25" s="36">
        <v>3</v>
      </c>
      <c r="K25" s="1">
        <v>0</v>
      </c>
      <c r="L25" s="42">
        <f t="shared" si="2"/>
        <v>1</v>
      </c>
      <c r="M25" s="36">
        <v>9</v>
      </c>
      <c r="N25" s="1">
        <v>4</v>
      </c>
      <c r="O25" s="42">
        <f t="shared" si="3"/>
        <v>0.69230769230769229</v>
      </c>
      <c r="P25" s="34">
        <v>0</v>
      </c>
      <c r="Q25" s="2">
        <v>0</v>
      </c>
      <c r="R25" s="2">
        <v>0</v>
      </c>
      <c r="S25" s="2">
        <v>0</v>
      </c>
      <c r="T25" s="2">
        <v>0</v>
      </c>
      <c r="U25" s="1">
        <v>1</v>
      </c>
      <c r="V25" s="2">
        <v>0</v>
      </c>
      <c r="W25" s="2">
        <v>0</v>
      </c>
      <c r="X25" s="2">
        <v>0</v>
      </c>
      <c r="Y25" s="2">
        <v>0</v>
      </c>
      <c r="Z25" s="1">
        <v>0</v>
      </c>
      <c r="AA25" s="2">
        <v>0</v>
      </c>
      <c r="AB25" s="1">
        <v>1</v>
      </c>
      <c r="AC25" s="2">
        <v>0</v>
      </c>
      <c r="AD25" s="65">
        <v>1</v>
      </c>
    </row>
    <row r="26" spans="1:30" x14ac:dyDescent="0.25">
      <c r="A26" s="2" t="s">
        <v>13</v>
      </c>
      <c r="B26" s="6" t="s">
        <v>124</v>
      </c>
      <c r="C26" s="6" t="s">
        <v>60</v>
      </c>
      <c r="D26" s="34">
        <v>640</v>
      </c>
      <c r="E26" s="4">
        <f t="shared" si="0"/>
        <v>27.826086956521738</v>
      </c>
      <c r="F26" s="35">
        <v>57</v>
      </c>
      <c r="G26" s="34">
        <v>16</v>
      </c>
      <c r="H26" s="2">
        <v>7</v>
      </c>
      <c r="I26" s="41">
        <f t="shared" si="1"/>
        <v>0.69565217391304346</v>
      </c>
      <c r="J26" s="34">
        <v>54</v>
      </c>
      <c r="K26" s="2">
        <v>39</v>
      </c>
      <c r="L26" s="41">
        <f t="shared" si="2"/>
        <v>0.58064516129032262</v>
      </c>
      <c r="M26" s="34">
        <v>209</v>
      </c>
      <c r="N26" s="2">
        <v>173</v>
      </c>
      <c r="O26" s="41">
        <f t="shared" si="3"/>
        <v>0.54712041884816753</v>
      </c>
      <c r="P26" s="34">
        <v>2</v>
      </c>
      <c r="Q26" s="2">
        <v>6</v>
      </c>
      <c r="R26" s="2">
        <v>2</v>
      </c>
      <c r="S26" s="2">
        <v>7</v>
      </c>
      <c r="T26" s="2">
        <v>2</v>
      </c>
      <c r="U26" s="2">
        <v>8</v>
      </c>
      <c r="V26" s="2">
        <v>3</v>
      </c>
      <c r="W26" s="2">
        <v>1</v>
      </c>
      <c r="X26" s="2">
        <v>1</v>
      </c>
      <c r="Y26" s="2">
        <v>1</v>
      </c>
      <c r="Z26" s="1">
        <v>2</v>
      </c>
      <c r="AA26" s="2">
        <v>6</v>
      </c>
      <c r="AB26" s="2">
        <v>6</v>
      </c>
      <c r="AC26" s="2">
        <v>0</v>
      </c>
      <c r="AD26" s="47">
        <v>7</v>
      </c>
    </row>
    <row r="27" spans="1:30" x14ac:dyDescent="0.25">
      <c r="A27" s="2" t="s">
        <v>2</v>
      </c>
      <c r="B27" s="6" t="s">
        <v>60</v>
      </c>
      <c r="C27" s="2" t="s">
        <v>79</v>
      </c>
      <c r="D27" s="34">
        <v>297</v>
      </c>
      <c r="E27" s="4">
        <f t="shared" si="0"/>
        <v>27</v>
      </c>
      <c r="F27" s="35">
        <v>42</v>
      </c>
      <c r="G27" s="34">
        <v>6</v>
      </c>
      <c r="H27" s="2">
        <v>5</v>
      </c>
      <c r="I27" s="41">
        <f t="shared" si="1"/>
        <v>0.54545454545454541</v>
      </c>
      <c r="J27" s="34">
        <v>25</v>
      </c>
      <c r="K27" s="2">
        <v>21</v>
      </c>
      <c r="L27" s="41">
        <f t="shared" si="2"/>
        <v>0.54347826086956519</v>
      </c>
      <c r="M27" s="34">
        <v>102</v>
      </c>
      <c r="N27" s="2">
        <v>91</v>
      </c>
      <c r="O27" s="41">
        <f t="shared" si="3"/>
        <v>0.52849740932642486</v>
      </c>
      <c r="P27" s="34">
        <v>2</v>
      </c>
      <c r="Q27" s="2">
        <v>2</v>
      </c>
      <c r="R27" s="2">
        <v>2</v>
      </c>
      <c r="S27" s="2">
        <v>4</v>
      </c>
      <c r="T27" s="2">
        <v>0</v>
      </c>
      <c r="U27" s="2">
        <v>3</v>
      </c>
      <c r="V27" s="2">
        <v>0</v>
      </c>
      <c r="W27" s="2">
        <v>0</v>
      </c>
      <c r="X27" s="2">
        <v>0</v>
      </c>
      <c r="Y27" s="2">
        <v>0</v>
      </c>
      <c r="Z27" s="1">
        <v>0</v>
      </c>
      <c r="AA27" s="2">
        <v>5</v>
      </c>
      <c r="AB27" s="2">
        <v>0</v>
      </c>
      <c r="AC27" s="2">
        <v>4</v>
      </c>
      <c r="AD27" s="47">
        <v>3</v>
      </c>
    </row>
    <row r="28" spans="1:30" x14ac:dyDescent="0.25">
      <c r="A28" s="2" t="s">
        <v>54</v>
      </c>
      <c r="B28" s="6" t="s">
        <v>60</v>
      </c>
      <c r="C28" s="6" t="s">
        <v>79</v>
      </c>
      <c r="D28" s="34">
        <v>65</v>
      </c>
      <c r="E28" s="4">
        <f t="shared" si="0"/>
        <v>21.666666666666668</v>
      </c>
      <c r="F28" s="35">
        <v>29</v>
      </c>
      <c r="G28" s="36">
        <v>3</v>
      </c>
      <c r="H28" s="1">
        <v>0</v>
      </c>
      <c r="I28" s="42">
        <f t="shared" si="1"/>
        <v>1</v>
      </c>
      <c r="J28" s="36">
        <v>9</v>
      </c>
      <c r="K28" s="1">
        <v>6</v>
      </c>
      <c r="L28" s="42">
        <f t="shared" si="2"/>
        <v>0.6</v>
      </c>
      <c r="M28" s="36">
        <v>36</v>
      </c>
      <c r="N28" s="1">
        <v>26</v>
      </c>
      <c r="O28" s="42">
        <f t="shared" si="3"/>
        <v>0.58064516129032262</v>
      </c>
      <c r="P28" s="34">
        <v>0</v>
      </c>
      <c r="Q28" s="2">
        <v>1</v>
      </c>
      <c r="R28" s="2">
        <v>0</v>
      </c>
      <c r="S28" s="2">
        <v>1</v>
      </c>
      <c r="T28" s="2">
        <v>2</v>
      </c>
      <c r="U28" s="2">
        <v>1</v>
      </c>
      <c r="V28" s="2">
        <v>2</v>
      </c>
      <c r="W28" s="2">
        <v>0</v>
      </c>
      <c r="X28" s="2">
        <v>0</v>
      </c>
      <c r="Y28" s="2">
        <v>0</v>
      </c>
      <c r="Z28" s="1">
        <v>1</v>
      </c>
      <c r="AA28" s="2">
        <v>1</v>
      </c>
      <c r="AB28" s="2">
        <v>0</v>
      </c>
      <c r="AC28" s="2">
        <v>0</v>
      </c>
      <c r="AD28" s="47">
        <v>0</v>
      </c>
    </row>
    <row r="29" spans="1:30" x14ac:dyDescent="0.25">
      <c r="A29" s="2" t="s">
        <v>5</v>
      </c>
      <c r="B29" s="6" t="s">
        <v>60</v>
      </c>
      <c r="C29" s="2" t="s">
        <v>79</v>
      </c>
      <c r="D29" s="34">
        <v>216</v>
      </c>
      <c r="E29" s="4">
        <f t="shared" si="0"/>
        <v>24</v>
      </c>
      <c r="F29" s="35">
        <v>36</v>
      </c>
      <c r="G29" s="34">
        <v>4</v>
      </c>
      <c r="H29" s="2">
        <v>5</v>
      </c>
      <c r="I29" s="41">
        <f t="shared" si="1"/>
        <v>0.44444444444444442</v>
      </c>
      <c r="J29" s="34">
        <v>18</v>
      </c>
      <c r="K29" s="2">
        <v>21</v>
      </c>
      <c r="L29" s="41">
        <f t="shared" si="2"/>
        <v>0.46153846153846156</v>
      </c>
      <c r="M29" s="34">
        <v>79</v>
      </c>
      <c r="N29" s="2">
        <v>86</v>
      </c>
      <c r="O29" s="41">
        <f t="shared" si="3"/>
        <v>0.47878787878787876</v>
      </c>
      <c r="P29" s="34">
        <v>1</v>
      </c>
      <c r="Q29" s="2">
        <v>1</v>
      </c>
      <c r="R29" s="2">
        <v>2</v>
      </c>
      <c r="S29" s="2">
        <v>2</v>
      </c>
      <c r="T29" s="1">
        <v>1</v>
      </c>
      <c r="U29" s="2">
        <v>1</v>
      </c>
      <c r="V29" s="2">
        <v>0</v>
      </c>
      <c r="W29" s="2">
        <v>0</v>
      </c>
      <c r="X29" s="2">
        <v>0</v>
      </c>
      <c r="Y29" s="2">
        <v>0</v>
      </c>
      <c r="Z29" s="1">
        <v>0</v>
      </c>
      <c r="AA29" s="2">
        <v>1</v>
      </c>
      <c r="AB29" s="2">
        <v>4</v>
      </c>
      <c r="AC29" s="2">
        <v>3</v>
      </c>
      <c r="AD29" s="47">
        <v>2</v>
      </c>
    </row>
    <row r="30" spans="1:30" x14ac:dyDescent="0.25">
      <c r="A30" s="2" t="s">
        <v>38</v>
      </c>
      <c r="B30" s="2" t="s">
        <v>79</v>
      </c>
      <c r="C30" s="2" t="s">
        <v>79</v>
      </c>
      <c r="D30" s="34">
        <v>17</v>
      </c>
      <c r="E30" s="4">
        <f t="shared" si="0"/>
        <v>2.8333333333333335</v>
      </c>
      <c r="F30" s="35">
        <v>6</v>
      </c>
      <c r="G30" s="34">
        <v>3</v>
      </c>
      <c r="H30" s="2">
        <v>3</v>
      </c>
      <c r="I30" s="41">
        <f t="shared" si="1"/>
        <v>0.5</v>
      </c>
      <c r="J30" s="34">
        <v>11</v>
      </c>
      <c r="K30" s="2">
        <v>10</v>
      </c>
      <c r="L30" s="41">
        <f t="shared" si="2"/>
        <v>0.52380952380952384</v>
      </c>
      <c r="M30" s="34">
        <v>41</v>
      </c>
      <c r="N30" s="2">
        <v>45</v>
      </c>
      <c r="O30" s="41">
        <f t="shared" si="3"/>
        <v>0.47674418604651164</v>
      </c>
      <c r="P30" s="34">
        <v>1</v>
      </c>
      <c r="Q30" s="2">
        <v>1</v>
      </c>
      <c r="R30" s="2">
        <v>1</v>
      </c>
      <c r="S30" s="2">
        <v>1</v>
      </c>
      <c r="T30" s="2">
        <v>0</v>
      </c>
      <c r="U30" s="2">
        <v>3</v>
      </c>
      <c r="V30" s="2">
        <v>0</v>
      </c>
      <c r="W30" s="2">
        <v>1</v>
      </c>
      <c r="X30" s="2">
        <v>0</v>
      </c>
      <c r="Y30" s="2">
        <v>0</v>
      </c>
      <c r="Z30" s="1">
        <v>0</v>
      </c>
      <c r="AA30" s="2">
        <v>1</v>
      </c>
      <c r="AB30" s="2">
        <v>1</v>
      </c>
      <c r="AC30" s="2">
        <v>0</v>
      </c>
      <c r="AD30" s="47">
        <v>1</v>
      </c>
    </row>
    <row r="31" spans="1:30" x14ac:dyDescent="0.25">
      <c r="A31" s="2" t="s">
        <v>40</v>
      </c>
      <c r="B31" s="2" t="s">
        <v>79</v>
      </c>
      <c r="C31" s="2" t="s">
        <v>79</v>
      </c>
      <c r="D31" s="34">
        <v>37</v>
      </c>
      <c r="E31" s="4">
        <f t="shared" si="0"/>
        <v>12.333333333333334</v>
      </c>
      <c r="F31" s="35">
        <v>16</v>
      </c>
      <c r="G31" s="36">
        <v>0</v>
      </c>
      <c r="H31" s="1">
        <v>3</v>
      </c>
      <c r="I31" s="42">
        <f t="shared" si="1"/>
        <v>0</v>
      </c>
      <c r="J31" s="36">
        <v>2</v>
      </c>
      <c r="K31" s="1">
        <v>10</v>
      </c>
      <c r="L31" s="42">
        <f t="shared" si="2"/>
        <v>0.16666666666666666</v>
      </c>
      <c r="M31" s="36">
        <v>15</v>
      </c>
      <c r="N31" s="1">
        <v>30</v>
      </c>
      <c r="O31" s="42">
        <f t="shared" si="3"/>
        <v>0.33333333333333331</v>
      </c>
      <c r="P31" s="36">
        <v>1</v>
      </c>
      <c r="Q31" s="2">
        <v>0</v>
      </c>
      <c r="R31" s="2">
        <v>0</v>
      </c>
      <c r="S31" s="2">
        <v>0</v>
      </c>
      <c r="T31" s="2">
        <v>0</v>
      </c>
      <c r="U31" s="2">
        <v>0</v>
      </c>
      <c r="V31" s="2">
        <v>0</v>
      </c>
      <c r="W31" s="2">
        <v>0</v>
      </c>
      <c r="X31" s="2">
        <v>0</v>
      </c>
      <c r="Y31" s="2">
        <v>0</v>
      </c>
      <c r="Z31" s="1">
        <v>0</v>
      </c>
      <c r="AA31" s="2">
        <v>0</v>
      </c>
      <c r="AB31" s="2">
        <v>0</v>
      </c>
      <c r="AC31" s="2">
        <v>0</v>
      </c>
      <c r="AD31" s="47">
        <v>1</v>
      </c>
    </row>
    <row r="32" spans="1:30" x14ac:dyDescent="0.25">
      <c r="A32" s="2" t="s">
        <v>17</v>
      </c>
      <c r="B32" s="2" t="s">
        <v>79</v>
      </c>
      <c r="C32" s="2" t="s">
        <v>79</v>
      </c>
      <c r="D32" s="34">
        <v>555</v>
      </c>
      <c r="E32" s="4">
        <f t="shared" si="0"/>
        <v>25.227272727272727</v>
      </c>
      <c r="F32" s="35">
        <v>49</v>
      </c>
      <c r="G32" s="34">
        <v>10</v>
      </c>
      <c r="H32" s="2">
        <v>12</v>
      </c>
      <c r="I32" s="41">
        <f t="shared" si="1"/>
        <v>0.45454545454545453</v>
      </c>
      <c r="J32" s="34">
        <v>46</v>
      </c>
      <c r="K32" s="2">
        <v>43</v>
      </c>
      <c r="L32" s="41">
        <f t="shared" si="2"/>
        <v>0.5168539325842697</v>
      </c>
      <c r="M32" s="34">
        <v>196</v>
      </c>
      <c r="N32" s="2">
        <v>177</v>
      </c>
      <c r="O32" s="41">
        <f t="shared" si="3"/>
        <v>0.52546916890080431</v>
      </c>
      <c r="P32" s="34">
        <v>5</v>
      </c>
      <c r="Q32" s="2">
        <v>2</v>
      </c>
      <c r="R32" s="2">
        <v>2</v>
      </c>
      <c r="S32" s="2">
        <v>4</v>
      </c>
      <c r="T32" s="1">
        <v>0</v>
      </c>
      <c r="U32" s="2">
        <v>9</v>
      </c>
      <c r="V32" s="2">
        <v>2</v>
      </c>
      <c r="W32" s="2">
        <v>0</v>
      </c>
      <c r="X32" s="2">
        <v>1</v>
      </c>
      <c r="Y32" s="2">
        <v>1</v>
      </c>
      <c r="Z32" s="2">
        <v>0</v>
      </c>
      <c r="AA32" s="2">
        <v>6</v>
      </c>
      <c r="AB32" s="2">
        <v>4</v>
      </c>
      <c r="AC32" s="2">
        <v>3</v>
      </c>
      <c r="AD32" s="47">
        <v>7</v>
      </c>
    </row>
    <row r="33" spans="1:30" x14ac:dyDescent="0.25">
      <c r="A33" s="2" t="s">
        <v>6</v>
      </c>
      <c r="B33" s="2" t="s">
        <v>79</v>
      </c>
      <c r="C33" s="2" t="s">
        <v>79</v>
      </c>
      <c r="D33" s="34">
        <v>306</v>
      </c>
      <c r="E33" s="4">
        <f t="shared" si="0"/>
        <v>23.53846153846154</v>
      </c>
      <c r="F33" s="35">
        <v>43</v>
      </c>
      <c r="G33" s="34">
        <v>9</v>
      </c>
      <c r="H33" s="2">
        <v>4</v>
      </c>
      <c r="I33" s="41">
        <f t="shared" si="1"/>
        <v>0.69230769230769229</v>
      </c>
      <c r="J33" s="34">
        <v>31</v>
      </c>
      <c r="K33" s="2">
        <v>22</v>
      </c>
      <c r="L33" s="41">
        <f t="shared" si="2"/>
        <v>0.58490566037735847</v>
      </c>
      <c r="M33" s="34">
        <v>117</v>
      </c>
      <c r="N33" s="2">
        <v>108</v>
      </c>
      <c r="O33" s="41">
        <f t="shared" si="3"/>
        <v>0.52</v>
      </c>
      <c r="P33" s="34">
        <v>1</v>
      </c>
      <c r="Q33" s="2">
        <v>3</v>
      </c>
      <c r="R33" s="2">
        <v>1</v>
      </c>
      <c r="S33" s="2">
        <v>1</v>
      </c>
      <c r="T33" s="1">
        <v>0</v>
      </c>
      <c r="U33" s="2">
        <v>7</v>
      </c>
      <c r="V33" s="2">
        <v>0</v>
      </c>
      <c r="W33" s="2">
        <v>1</v>
      </c>
      <c r="X33" s="2">
        <v>0</v>
      </c>
      <c r="Y33" s="2">
        <v>0</v>
      </c>
      <c r="Z33" s="2">
        <v>1</v>
      </c>
      <c r="AA33" s="2">
        <v>4</v>
      </c>
      <c r="AB33" s="2">
        <v>5</v>
      </c>
      <c r="AC33" s="2">
        <v>2</v>
      </c>
      <c r="AD33" s="47">
        <v>5</v>
      </c>
    </row>
    <row r="34" spans="1:30" x14ac:dyDescent="0.25">
      <c r="A34" s="2" t="s">
        <v>18</v>
      </c>
      <c r="B34" s="2" t="s">
        <v>79</v>
      </c>
      <c r="C34" s="2" t="s">
        <v>79</v>
      </c>
      <c r="D34" s="34">
        <v>293</v>
      </c>
      <c r="E34" s="4">
        <f t="shared" si="0"/>
        <v>26.636363636363637</v>
      </c>
      <c r="F34" s="35">
        <v>41</v>
      </c>
      <c r="G34" s="34">
        <v>4</v>
      </c>
      <c r="H34" s="2">
        <v>7</v>
      </c>
      <c r="I34" s="41">
        <f t="shared" si="1"/>
        <v>0.36363636363636365</v>
      </c>
      <c r="J34" s="34">
        <v>20</v>
      </c>
      <c r="K34" s="2">
        <v>26</v>
      </c>
      <c r="L34" s="41">
        <f t="shared" si="2"/>
        <v>0.43478260869565216</v>
      </c>
      <c r="M34" s="34">
        <v>88</v>
      </c>
      <c r="N34" s="2">
        <v>94</v>
      </c>
      <c r="O34" s="41">
        <f t="shared" si="3"/>
        <v>0.48351648351648352</v>
      </c>
      <c r="P34" s="34">
        <v>2</v>
      </c>
      <c r="Q34" s="2">
        <v>0</v>
      </c>
      <c r="R34" s="2">
        <v>0</v>
      </c>
      <c r="S34" s="2">
        <v>4</v>
      </c>
      <c r="T34" s="2">
        <v>0</v>
      </c>
      <c r="U34" s="2">
        <v>3</v>
      </c>
      <c r="V34" s="2">
        <v>1</v>
      </c>
      <c r="W34" s="2">
        <v>1</v>
      </c>
      <c r="X34" s="2">
        <v>0</v>
      </c>
      <c r="Y34" s="2">
        <v>0</v>
      </c>
      <c r="Z34" s="1">
        <v>0</v>
      </c>
      <c r="AA34" s="2">
        <v>3</v>
      </c>
      <c r="AB34" s="2">
        <v>4</v>
      </c>
      <c r="AC34" s="2">
        <v>0</v>
      </c>
      <c r="AD34" s="47">
        <v>2</v>
      </c>
    </row>
    <row r="35" spans="1:30" x14ac:dyDescent="0.25">
      <c r="A35" s="2" t="s">
        <v>14</v>
      </c>
      <c r="B35" s="6" t="s">
        <v>60</v>
      </c>
      <c r="C35" s="6" t="s">
        <v>60</v>
      </c>
      <c r="D35" s="34">
        <v>478</v>
      </c>
      <c r="E35" s="4">
        <f t="shared" si="0"/>
        <v>25.157894736842106</v>
      </c>
      <c r="F35" s="35">
        <v>56</v>
      </c>
      <c r="G35" s="34">
        <v>10</v>
      </c>
      <c r="H35" s="2">
        <v>9</v>
      </c>
      <c r="I35" s="41">
        <f t="shared" si="1"/>
        <v>0.52631578947368418</v>
      </c>
      <c r="J35" s="34">
        <v>39</v>
      </c>
      <c r="K35" s="2">
        <v>38</v>
      </c>
      <c r="L35" s="41">
        <f t="shared" si="2"/>
        <v>0.50649350649350644</v>
      </c>
      <c r="M35" s="34">
        <v>159</v>
      </c>
      <c r="N35" s="2">
        <v>163</v>
      </c>
      <c r="O35" s="41">
        <f t="shared" si="3"/>
        <v>0.49378881987577639</v>
      </c>
      <c r="P35" s="34">
        <v>3</v>
      </c>
      <c r="Q35" s="2">
        <v>3</v>
      </c>
      <c r="R35" s="2">
        <v>2</v>
      </c>
      <c r="S35" s="2">
        <v>3</v>
      </c>
      <c r="T35" s="1">
        <v>1</v>
      </c>
      <c r="U35" s="2">
        <v>4</v>
      </c>
      <c r="V35" s="2">
        <v>0</v>
      </c>
      <c r="W35" s="2">
        <v>1</v>
      </c>
      <c r="X35" s="2">
        <v>0</v>
      </c>
      <c r="Y35" s="2">
        <v>0</v>
      </c>
      <c r="Z35" s="2">
        <v>2</v>
      </c>
      <c r="AA35" s="2">
        <v>5</v>
      </c>
      <c r="AB35" s="2">
        <v>10</v>
      </c>
      <c r="AC35" s="2">
        <v>2</v>
      </c>
      <c r="AD35" s="47">
        <v>3</v>
      </c>
    </row>
    <row r="36" spans="1:30" x14ac:dyDescent="0.25">
      <c r="A36" s="2" t="s">
        <v>4</v>
      </c>
      <c r="B36" s="2" t="s">
        <v>79</v>
      </c>
      <c r="C36" s="2" t="s">
        <v>79</v>
      </c>
      <c r="D36" s="34">
        <v>33</v>
      </c>
      <c r="E36" s="4">
        <f t="shared" si="0"/>
        <v>16.5</v>
      </c>
      <c r="F36" s="35">
        <v>24</v>
      </c>
      <c r="G36" s="34">
        <v>2</v>
      </c>
      <c r="H36" s="2">
        <v>0</v>
      </c>
      <c r="I36" s="41">
        <f t="shared" si="1"/>
        <v>1</v>
      </c>
      <c r="J36" s="34">
        <v>6</v>
      </c>
      <c r="K36" s="2">
        <v>1</v>
      </c>
      <c r="L36" s="41">
        <f t="shared" si="2"/>
        <v>0.8571428571428571</v>
      </c>
      <c r="M36" s="34">
        <v>19</v>
      </c>
      <c r="N36" s="2">
        <v>10</v>
      </c>
      <c r="O36" s="41">
        <f t="shared" si="3"/>
        <v>0.65517241379310343</v>
      </c>
      <c r="P36" s="34">
        <v>0</v>
      </c>
      <c r="Q36" s="2">
        <v>2</v>
      </c>
      <c r="R36" s="2">
        <v>2</v>
      </c>
      <c r="S36" s="2">
        <v>0</v>
      </c>
      <c r="T36" s="2">
        <v>0</v>
      </c>
      <c r="U36" s="2">
        <v>1</v>
      </c>
      <c r="V36" s="2">
        <v>0</v>
      </c>
      <c r="W36" s="2">
        <v>0</v>
      </c>
      <c r="X36" s="2">
        <v>0</v>
      </c>
      <c r="Y36" s="2">
        <v>0</v>
      </c>
      <c r="Z36" s="2">
        <v>0</v>
      </c>
      <c r="AA36" s="2">
        <v>0</v>
      </c>
      <c r="AB36" s="2">
        <v>0</v>
      </c>
      <c r="AC36" s="2">
        <v>1</v>
      </c>
      <c r="AD36" s="47">
        <v>0</v>
      </c>
    </row>
    <row r="37" spans="1:30" ht="15.75" thickBot="1" x14ac:dyDescent="0.3">
      <c r="A37" s="2" t="s">
        <v>55</v>
      </c>
      <c r="B37" s="2" t="s">
        <v>79</v>
      </c>
      <c r="C37" s="2" t="s">
        <v>79</v>
      </c>
      <c r="D37" s="38">
        <v>69</v>
      </c>
      <c r="E37" s="39">
        <f t="shared" si="0"/>
        <v>9.8571428571428577</v>
      </c>
      <c r="F37" s="40">
        <v>18</v>
      </c>
      <c r="G37" s="43">
        <v>4</v>
      </c>
      <c r="H37" s="44">
        <v>3</v>
      </c>
      <c r="I37" s="45">
        <f t="shared" si="1"/>
        <v>0.5714285714285714</v>
      </c>
      <c r="J37" s="43">
        <v>15</v>
      </c>
      <c r="K37" s="44">
        <v>14</v>
      </c>
      <c r="L37" s="45">
        <f t="shared" si="2"/>
        <v>0.51724137931034486</v>
      </c>
      <c r="M37" s="43">
        <v>57</v>
      </c>
      <c r="N37" s="44">
        <v>61</v>
      </c>
      <c r="O37" s="45">
        <f t="shared" si="3"/>
        <v>0.48305084745762711</v>
      </c>
      <c r="P37" s="38">
        <v>1</v>
      </c>
      <c r="Q37" s="48">
        <v>0</v>
      </c>
      <c r="R37" s="48">
        <v>1</v>
      </c>
      <c r="S37" s="48">
        <v>3</v>
      </c>
      <c r="T37" s="48">
        <v>1</v>
      </c>
      <c r="U37" s="48">
        <v>0</v>
      </c>
      <c r="V37" s="48">
        <v>1</v>
      </c>
      <c r="W37" s="48">
        <v>0</v>
      </c>
      <c r="X37" s="48">
        <v>0</v>
      </c>
      <c r="Y37" s="48">
        <v>0</v>
      </c>
      <c r="Z37" s="48">
        <v>0</v>
      </c>
      <c r="AA37" s="48">
        <v>3</v>
      </c>
      <c r="AB37" s="48">
        <v>3</v>
      </c>
      <c r="AC37" s="48">
        <v>1</v>
      </c>
      <c r="AD37" s="49">
        <v>1</v>
      </c>
    </row>
    <row r="43" spans="1:30" x14ac:dyDescent="0.25">
      <c r="F43" s="81"/>
    </row>
    <row r="45" spans="1:30" x14ac:dyDescent="0.25">
      <c r="F45" s="81"/>
    </row>
  </sheetData>
  <autoFilter ref="A1:AD37" xr:uid="{EEC03B8F-669F-4FC0-BA62-50F3D395660C}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63623B-3DF3-4828-812B-38325BACD851}">
  <dimension ref="A1:C6"/>
  <sheetViews>
    <sheetView workbookViewId="0">
      <selection activeCell="A10" sqref="A10"/>
    </sheetView>
  </sheetViews>
  <sheetFormatPr defaultRowHeight="15" x14ac:dyDescent="0.25"/>
  <cols>
    <col min="1" max="1" width="49.85546875" bestFit="1" customWidth="1"/>
  </cols>
  <sheetData>
    <row r="1" spans="1:3" ht="17.25" x14ac:dyDescent="0.3">
      <c r="A1" s="82" t="s">
        <v>125</v>
      </c>
    </row>
    <row r="3" spans="1:3" x14ac:dyDescent="0.25">
      <c r="A3" s="54"/>
      <c r="B3" s="54"/>
      <c r="C3" s="54"/>
    </row>
    <row r="4" spans="1:3" x14ac:dyDescent="0.25">
      <c r="A4" s="87" t="s">
        <v>119</v>
      </c>
      <c r="B4" s="88"/>
      <c r="C4" s="88"/>
    </row>
    <row r="5" spans="1:3" x14ac:dyDescent="0.25">
      <c r="A5" s="87" t="s">
        <v>120</v>
      </c>
      <c r="B5" s="88"/>
      <c r="C5" s="88"/>
    </row>
    <row r="6" spans="1:3" x14ac:dyDescent="0.25">
      <c r="A6" s="54"/>
      <c r="B6" s="54"/>
      <c r="C6" s="54"/>
    </row>
  </sheetData>
  <mergeCells count="2">
    <mergeCell ref="A4:C4"/>
    <mergeCell ref="A5:C5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DB0CB-A8E8-4810-A3D9-B664E9664A6F}">
  <dimension ref="A1:AC36"/>
  <sheetViews>
    <sheetView workbookViewId="0">
      <selection activeCell="E47" sqref="E47"/>
    </sheetView>
  </sheetViews>
  <sheetFormatPr defaultRowHeight="15" x14ac:dyDescent="0.25"/>
  <cols>
    <col min="2" max="2" width="15.28515625" customWidth="1"/>
    <col min="3" max="3" width="11.7109375" bestFit="1" customWidth="1"/>
    <col min="4" max="4" width="15.28515625" customWidth="1"/>
    <col min="5" max="5" width="17" customWidth="1"/>
    <col min="16" max="16" width="8.140625" bestFit="1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</cols>
  <sheetData>
    <row r="1" spans="1:29" x14ac:dyDescent="0.25">
      <c r="C1" s="90" t="s">
        <v>7</v>
      </c>
      <c r="D1" s="91"/>
      <c r="E1" s="91"/>
      <c r="F1" s="90" t="s">
        <v>22</v>
      </c>
      <c r="G1" s="91"/>
      <c r="H1" s="92"/>
      <c r="I1" s="90" t="s">
        <v>16</v>
      </c>
      <c r="J1" s="91"/>
      <c r="K1" s="92"/>
      <c r="L1" s="90" t="s">
        <v>23</v>
      </c>
      <c r="M1" s="91"/>
      <c r="N1" s="92"/>
      <c r="O1" s="91" t="s">
        <v>64</v>
      </c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2"/>
    </row>
    <row r="2" spans="1:29" ht="30.75" thickBot="1" x14ac:dyDescent="0.3">
      <c r="B2" s="3" t="s">
        <v>0</v>
      </c>
      <c r="C2" s="20" t="s">
        <v>7</v>
      </c>
      <c r="D2" s="21" t="s">
        <v>36</v>
      </c>
      <c r="E2" s="22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21" t="s">
        <v>9</v>
      </c>
      <c r="P2" s="77" t="s">
        <v>10</v>
      </c>
      <c r="Q2" s="77" t="s">
        <v>11</v>
      </c>
      <c r="R2" s="77" t="s">
        <v>12</v>
      </c>
      <c r="S2" s="77" t="s">
        <v>30</v>
      </c>
      <c r="T2" s="77" t="s">
        <v>31</v>
      </c>
      <c r="U2" s="77" t="s">
        <v>32</v>
      </c>
      <c r="V2" s="77" t="s">
        <v>33</v>
      </c>
      <c r="W2" s="78" t="s">
        <v>65</v>
      </c>
      <c r="X2" s="77" t="s">
        <v>39</v>
      </c>
      <c r="Y2" s="77" t="s">
        <v>41</v>
      </c>
      <c r="Z2" s="77" t="s">
        <v>48</v>
      </c>
      <c r="AA2" s="77" t="s">
        <v>56</v>
      </c>
      <c r="AB2" s="77" t="s">
        <v>57</v>
      </c>
      <c r="AC2" s="79" t="s">
        <v>58</v>
      </c>
    </row>
    <row r="3" spans="1:29" x14ac:dyDescent="0.25">
      <c r="A3" s="93" t="s">
        <v>75</v>
      </c>
      <c r="B3" s="7" t="s">
        <v>37</v>
      </c>
      <c r="C3" s="13">
        <f>INDEX('Old Bow'!D2:D37, MATCH($B$3, 'Old Bow'!$A$2:$A$37, 0))</f>
        <v>190</v>
      </c>
      <c r="D3" s="25">
        <f>INDEX('Old Bow'!E2:E37, MATCH($B$3, 'Old Bow'!$A$2:$A$37, 0))</f>
        <v>17.272727272727273</v>
      </c>
      <c r="E3" s="26">
        <f>INDEX('Old Bow'!F2:F37, MATCH($B$3, 'Old Bow'!$A$2:$A$37, 0))</f>
        <v>25</v>
      </c>
      <c r="F3" s="13">
        <f>INDEX('Old Bow'!G2:G37, MATCH($B$3, 'Old Bow'!$A$2:$A$37, 0))</f>
        <v>4</v>
      </c>
      <c r="G3" s="26">
        <f>INDEX('Old Bow'!H2:H37, MATCH($B$3, 'Old Bow'!$A$2:$A$37, 0))</f>
        <v>7</v>
      </c>
      <c r="H3" s="27">
        <f>INDEX('Old Bow'!I2:I37, MATCH($B$3, 'Old Bow'!$A$2:$A$37, 0))</f>
        <v>0.36363636363636365</v>
      </c>
      <c r="I3" s="13">
        <f>INDEX('Old Bow'!J2:J37, MATCH($B$3, 'Old Bow'!$A$2:$A$37, 0))</f>
        <v>19</v>
      </c>
      <c r="J3" s="26">
        <f>INDEX('Old Bow'!K2:K37, MATCH($B$3, 'Old Bow'!$A$2:$A$37, 0))</f>
        <v>25</v>
      </c>
      <c r="K3" s="27">
        <f>INDEX('Old Bow'!L2:L37, MATCH($B$3, 'Old Bow'!$A$2:$A$37, 0))</f>
        <v>0.43181818181818182</v>
      </c>
      <c r="L3" s="13">
        <f>INDEX('Old Bow'!M2:M37, MATCH($B$3, 'Old Bow'!$A$2:$A$37, 0))</f>
        <v>83</v>
      </c>
      <c r="M3" s="26">
        <f>INDEX('Old Bow'!N2:N37, MATCH($B$3, 'Old Bow'!$A$2:$A$37, 0))</f>
        <v>95</v>
      </c>
      <c r="N3" s="27">
        <f>INDEX('Old Bow'!O2:O37, MATCH($B$3, 'Old Bow'!$A$2:$A$37, 0))</f>
        <v>0.46629213483146065</v>
      </c>
      <c r="O3" s="26">
        <f>INDEX('Old Bow'!AA2:AA37, MATCH($B$3, 'Old Bow'!$A$2:$A$37, 0))</f>
        <v>1</v>
      </c>
      <c r="P3" s="26">
        <f>INDEX('Old Bow'!R2:R37, MATCH($B$3, 'Old Bow'!$A$2:$A$37, 0))</f>
        <v>0</v>
      </c>
      <c r="Q3" s="26">
        <f>INDEX('Old Bow'!AC2:AC37, MATCH($B$3, 'Old Bow'!$A$2:$A$37, 0))</f>
        <v>1</v>
      </c>
      <c r="R3" s="26">
        <f>INDEX('Old Bow'!Q2:Q37, MATCH($B$3, 'Old Bow'!$A$2:$A$37, 0))</f>
        <v>0</v>
      </c>
      <c r="S3" s="26">
        <f>INDEX('Old Bow'!AB2:AB37, MATCH($B$3, 'Old Bow'!$A$2:$A$37, 0))</f>
        <v>5</v>
      </c>
      <c r="T3" s="26">
        <f>INDEX('Old Bow'!W2:W37, MATCH($B$3, 'Old Bow'!$A$2:$A$37, 0))</f>
        <v>0</v>
      </c>
      <c r="U3" s="26">
        <f>INDEX('Old Bow'!U2:U37, MATCH($B$3, 'Old Bow'!$A$2:$A$37, 0))</f>
        <v>3</v>
      </c>
      <c r="V3" s="26">
        <f>INDEX('Old Bow'!S2:S37, MATCH($B$3, 'Old Bow'!$A$2:$A$37, 0))</f>
        <v>3</v>
      </c>
      <c r="W3" s="26">
        <f>INDEX('Old Bow'!V2:V37, MATCH($B$3, 'Old Bow'!$A$2:$A$37, 0))</f>
        <v>0</v>
      </c>
      <c r="X3" s="26">
        <f>INDEX('Old Bow'!AD2:AD37, MATCH($B$3, 'Old Bow'!$A$2:$A$37, 0))</f>
        <v>4</v>
      </c>
      <c r="Y3" s="26">
        <f>INDEX('Old Bow'!P2:P37, MATCH($B$3, 'Old Bow'!$A$2:$A$37, 0))</f>
        <v>3</v>
      </c>
      <c r="Z3" s="26">
        <f>INDEX('Old Bow'!T2:T37, MATCH($B$3, 'Old Bow'!$A$2:$A$37, 0))</f>
        <v>0</v>
      </c>
      <c r="AA3" s="26">
        <f>INDEX('Old Bow'!Z2:Z37, MATCH($B$3, 'Old Bow'!$A$2:$A$37, 0))</f>
        <v>0</v>
      </c>
      <c r="AB3" s="26">
        <f>INDEX('Old Bow'!Y2:Y37, MATCH($B$3, 'Old Bow'!$A$2:$A$37, 0))</f>
        <v>0</v>
      </c>
      <c r="AC3" s="14">
        <f>INDEX('Old Bow'!X2:X37, MATCH($B$3, 'Old Bow'!$A$2:$A$37, 0))</f>
        <v>0</v>
      </c>
    </row>
    <row r="4" spans="1:29" x14ac:dyDescent="0.25">
      <c r="A4" s="93"/>
      <c r="B4" s="7" t="s">
        <v>46</v>
      </c>
      <c r="C4" s="13">
        <f>INDEX('Old Bow'!D2:D37, MATCH($B$4, 'Old Bow'!$A$2:$A$37, 0))</f>
        <v>183</v>
      </c>
      <c r="D4" s="25">
        <f>INDEX('Old Bow'!E2:E37, MATCH($B$4, 'Old Bow'!$A$2:$A$37, 0))</f>
        <v>20.333333333333332</v>
      </c>
      <c r="E4" s="26">
        <f>INDEX('Old Bow'!F2:F37, MATCH($B$4, 'Old Bow'!$A$2:$A$37, 0))</f>
        <v>36</v>
      </c>
      <c r="F4" s="13">
        <f>INDEX('Old Bow'!G2:G37, MATCH($B$4, 'Old Bow'!$A$2:$A$37, 0))</f>
        <v>4</v>
      </c>
      <c r="G4" s="26">
        <f>INDEX('Old Bow'!H2:H37, MATCH($B$4, 'Old Bow'!$A$2:$A$37, 0))</f>
        <v>5</v>
      </c>
      <c r="H4" s="27">
        <f>INDEX('Old Bow'!I2:I37, MATCH($B$4, 'Old Bow'!$A$2:$A$37, 0))</f>
        <v>0.44444444444444442</v>
      </c>
      <c r="I4" s="13">
        <f>INDEX('Old Bow'!J2:J37, MATCH($B$4, 'Old Bow'!$A$2:$A$37, 0))</f>
        <v>16</v>
      </c>
      <c r="J4" s="26">
        <f>INDEX('Old Bow'!K2:K37, MATCH($B$4, 'Old Bow'!$A$2:$A$37, 0))</f>
        <v>20</v>
      </c>
      <c r="K4" s="27">
        <f>INDEX('Old Bow'!L2:L37, MATCH($B$4, 'Old Bow'!$A$2:$A$37, 0))</f>
        <v>0.44444444444444442</v>
      </c>
      <c r="L4" s="13">
        <f>INDEX('Old Bow'!M2:M37, MATCH($B$4, 'Old Bow'!$A$2:$A$37, 0))</f>
        <v>70</v>
      </c>
      <c r="M4" s="26">
        <f>INDEX('Old Bow'!N2:N37, MATCH($B$4, 'Old Bow'!$A$2:$A$37, 0))</f>
        <v>83</v>
      </c>
      <c r="N4" s="27">
        <f>INDEX('Old Bow'!O2:O37, MATCH($B$4, 'Old Bow'!$A$2:$A$37, 0))</f>
        <v>0.45751633986928103</v>
      </c>
      <c r="O4" s="26">
        <f>INDEX('Old Bow'!AA2:AA37, MATCH($B$4, 'Old Bow'!$A$2:$A$37, 0))</f>
        <v>1</v>
      </c>
      <c r="P4" s="26">
        <f>INDEX('Old Bow'!R2:R37, MATCH($B$4, 'Old Bow'!$A$2:$A$37, 0))</f>
        <v>1</v>
      </c>
      <c r="Q4" s="26">
        <f>INDEX('Old Bow'!AC2:AC37, MATCH($B$4, 'Old Bow'!$A$2:$A$37, 0))</f>
        <v>1</v>
      </c>
      <c r="R4" s="26">
        <f>INDEX('Old Bow'!Q2:Q37, MATCH($B$4, 'Old Bow'!$A$2:$A$37, 0))</f>
        <v>1</v>
      </c>
      <c r="S4" s="26">
        <f>INDEX('Old Bow'!AB2:AB37, MATCH($B$4, 'Old Bow'!$A$2:$A$37, 0))</f>
        <v>3</v>
      </c>
      <c r="T4" s="26">
        <f>INDEX('Old Bow'!W2:W37, MATCH($B$4, 'Old Bow'!$A$2:$A$37, 0))</f>
        <v>1</v>
      </c>
      <c r="U4" s="26">
        <f>INDEX('Old Bow'!U2:U37, MATCH($B$4, 'Old Bow'!$A$2:$A$37, 0))</f>
        <v>5</v>
      </c>
      <c r="V4" s="26">
        <f>INDEX('Old Bow'!S2:S37, MATCH($B$4, 'Old Bow'!$A$2:$A$37, 0))</f>
        <v>1</v>
      </c>
      <c r="W4" s="26">
        <f>INDEX('Old Bow'!V2:V37, MATCH($B$4, 'Old Bow'!$A$2:$A$37, 0))</f>
        <v>0</v>
      </c>
      <c r="X4" s="26">
        <f>INDEX('Old Bow'!AD2:AD37, MATCH($B$4, 'Old Bow'!$A$2:$A$37, 0))</f>
        <v>2</v>
      </c>
      <c r="Y4" s="26">
        <f>INDEX('Old Bow'!P2:P37, MATCH($B$4, 'Old Bow'!$A$2:$A$37, 0))</f>
        <v>0</v>
      </c>
      <c r="Z4" s="26">
        <f>INDEX('Old Bow'!T2:T37, MATCH($B$4, 'Old Bow'!$A$2:$A$37, 0))</f>
        <v>0</v>
      </c>
      <c r="AA4" s="26">
        <f>INDEX('Old Bow'!Z2:Z37, MATCH($B$4, 'Old Bow'!$A$2:$A$37, 0))</f>
        <v>0</v>
      </c>
      <c r="AB4" s="26">
        <f>INDEX('Old Bow'!Y2:Y37, MATCH($B$4, 'Old Bow'!$A$2:$A$37, 0))</f>
        <v>0</v>
      </c>
      <c r="AC4" s="14">
        <f>INDEX('Old Bow'!X2:X37, MATCH($B$4, 'Old Bow'!$A$2:$A$37, 0))</f>
        <v>0</v>
      </c>
    </row>
    <row r="5" spans="1:29" x14ac:dyDescent="0.25">
      <c r="A5" s="93"/>
      <c r="B5" s="7" t="s">
        <v>6</v>
      </c>
      <c r="C5" s="13">
        <f>INDEX('Old Bow'!D2:D37, MATCH($B$5, 'Old Bow'!$A$2:$A$37, 0))</f>
        <v>306</v>
      </c>
      <c r="D5" s="25">
        <f>INDEX('Old Bow'!E2:E37, MATCH($B$5, 'Old Bow'!$A$2:$A$37, 0))</f>
        <v>23.53846153846154</v>
      </c>
      <c r="E5" s="26">
        <f>INDEX('Old Bow'!F2:F37, MATCH($B$5, 'Old Bow'!$A$2:$A$37, 0))</f>
        <v>43</v>
      </c>
      <c r="F5" s="13">
        <f>INDEX('Old Bow'!G2:G37, MATCH($B$5, 'Old Bow'!$A$2:$A$37, 0))</f>
        <v>9</v>
      </c>
      <c r="G5" s="26">
        <f>INDEX('Old Bow'!H2:H37, MATCH($B$5, 'Old Bow'!$A$2:$A$37, 0))</f>
        <v>4</v>
      </c>
      <c r="H5" s="27">
        <f>INDEX('Old Bow'!I2:I37, MATCH($B$5, 'Old Bow'!$A$2:$A$37, 0))</f>
        <v>0.69230769230769229</v>
      </c>
      <c r="I5" s="13">
        <f>INDEX('Old Bow'!J2:J37, MATCH($B$5, 'Old Bow'!$A$2:$A$37, 0))</f>
        <v>31</v>
      </c>
      <c r="J5" s="26">
        <f>INDEX('Old Bow'!K2:K37, MATCH($B$5, 'Old Bow'!$A$2:$A$37, 0))</f>
        <v>22</v>
      </c>
      <c r="K5" s="27">
        <f>INDEX('Old Bow'!L2:L37, MATCH($B$5, 'Old Bow'!$A$2:$A$37, 0))</f>
        <v>0.58490566037735847</v>
      </c>
      <c r="L5" s="13">
        <f>INDEX('Old Bow'!M2:M37, MATCH($B$5, 'Old Bow'!$A$2:$A$37, 0))</f>
        <v>117</v>
      </c>
      <c r="M5" s="26">
        <f>INDEX('Old Bow'!N2:N37, MATCH($B$5, 'Old Bow'!$A$2:$A$37, 0))</f>
        <v>108</v>
      </c>
      <c r="N5" s="27">
        <f>INDEX('Old Bow'!O2:O37, MATCH($B$5, 'Old Bow'!$A$2:$A$37, 0))</f>
        <v>0.52</v>
      </c>
      <c r="O5" s="26">
        <f>INDEX('Old Bow'!AA2:AA37, MATCH($B$5, 'Old Bow'!$A$2:$A$37, 0))</f>
        <v>4</v>
      </c>
      <c r="P5" s="26">
        <f>INDEX('Old Bow'!R2:R37, MATCH($B$5, 'Old Bow'!$A$2:$A$37, 0))</f>
        <v>1</v>
      </c>
      <c r="Q5" s="26">
        <f>INDEX('Old Bow'!AC2:AC37, MATCH($B$5, 'Old Bow'!$A$2:$A$37, 0))</f>
        <v>2</v>
      </c>
      <c r="R5" s="26">
        <f>INDEX('Old Bow'!Q2:Q37, MATCH($B$5, 'Old Bow'!$A$2:$A$37, 0))</f>
        <v>3</v>
      </c>
      <c r="S5" s="26">
        <f>INDEX('Old Bow'!AB2:AB37, MATCH($B$5, 'Old Bow'!$A$2:$A$37, 0))</f>
        <v>5</v>
      </c>
      <c r="T5" s="26">
        <f>INDEX('Old Bow'!W2:W37, MATCH($B$5, 'Old Bow'!$A$2:$A$37, 0))</f>
        <v>1</v>
      </c>
      <c r="U5" s="26">
        <f>INDEX('Old Bow'!U2:U37, MATCH($B$5, 'Old Bow'!$A$2:$A$37, 0))</f>
        <v>7</v>
      </c>
      <c r="V5" s="26">
        <f>INDEX('Old Bow'!S2:S37, MATCH($B$5, 'Old Bow'!$A$2:$A$37, 0))</f>
        <v>1</v>
      </c>
      <c r="W5" s="26">
        <f>INDEX('Old Bow'!V2:V37, MATCH($B$5, 'Old Bow'!$A$2:$A$37, 0))</f>
        <v>0</v>
      </c>
      <c r="X5" s="26">
        <f>INDEX('Old Bow'!AD2:AD37, MATCH($B$5, 'Old Bow'!$A$2:$A$37, 0))</f>
        <v>5</v>
      </c>
      <c r="Y5" s="26">
        <f>INDEX('Old Bow'!P2:P37, MATCH($B$5, 'Old Bow'!$A$2:$A$37, 0))</f>
        <v>1</v>
      </c>
      <c r="Z5" s="26">
        <f>INDEX('Old Bow'!T2:T37, MATCH($B$5, 'Old Bow'!$A$2:$A$37, 0))</f>
        <v>0</v>
      </c>
      <c r="AA5" s="26">
        <f>INDEX('Old Bow'!Z2:Z37, MATCH($B$5, 'Old Bow'!$A$2:$A$37, 0))</f>
        <v>1</v>
      </c>
      <c r="AB5" s="26">
        <f>INDEX('Old Bow'!Y2:Y37, MATCH($B$5, 'Old Bow'!$A$2:$A$37, 0))</f>
        <v>0</v>
      </c>
      <c r="AC5" s="14">
        <f>INDEX('Old Bow'!X2:X37, MATCH($B$5, 'Old Bow'!$A$2:$A$37, 0))</f>
        <v>0</v>
      </c>
    </row>
    <row r="6" spans="1:29" x14ac:dyDescent="0.25">
      <c r="A6" s="93"/>
      <c r="B6" s="7" t="s">
        <v>51</v>
      </c>
      <c r="C6" s="13">
        <f>INDEX('Old Bow'!D2:D37, MATCH($B$6, 'Old Bow'!$A$2:$A$37, 0))</f>
        <v>167</v>
      </c>
      <c r="D6" s="25">
        <f>INDEX('Old Bow'!E2:E37, MATCH($B$6, 'Old Bow'!$A$2:$A$37, 0))</f>
        <v>13.916666666666666</v>
      </c>
      <c r="E6" s="26">
        <f>INDEX('Old Bow'!F2:F37, MATCH($B$6, 'Old Bow'!$A$2:$A$37, 0))</f>
        <v>22</v>
      </c>
      <c r="F6" s="13">
        <f>INDEX('Old Bow'!G2:G37, MATCH($B$6, 'Old Bow'!$A$2:$A$37, 0))</f>
        <v>7</v>
      </c>
      <c r="G6" s="26">
        <f>INDEX('Old Bow'!H2:H37, MATCH($B$6, 'Old Bow'!$A$2:$A$37, 0))</f>
        <v>5</v>
      </c>
      <c r="H6" s="27">
        <f>INDEX('Old Bow'!I2:I37, MATCH($B$6, 'Old Bow'!$A$2:$A$37, 0))</f>
        <v>0.58333333333333337</v>
      </c>
      <c r="I6" s="13">
        <f>INDEX('Old Bow'!J2:J37, MATCH($B$6, 'Old Bow'!$A$2:$A$37, 0))</f>
        <v>27</v>
      </c>
      <c r="J6" s="26">
        <f>INDEX('Old Bow'!K2:K37, MATCH($B$6, 'Old Bow'!$A$2:$A$37, 0))</f>
        <v>23</v>
      </c>
      <c r="K6" s="27">
        <f>INDEX('Old Bow'!L2:L37, MATCH($B$6, 'Old Bow'!$A$2:$A$37, 0))</f>
        <v>0.54</v>
      </c>
      <c r="L6" s="13">
        <f>INDEX('Old Bow'!M2:M37, MATCH($B$6, 'Old Bow'!$A$2:$A$37, 0))</f>
        <v>104</v>
      </c>
      <c r="M6" s="26">
        <f>INDEX('Old Bow'!N2:N37, MATCH($B$6, 'Old Bow'!$A$2:$A$37, 0))</f>
        <v>99</v>
      </c>
      <c r="N6" s="27">
        <f>INDEX('Old Bow'!O2:O37, MATCH($B$6, 'Old Bow'!$A$2:$A$37, 0))</f>
        <v>0.51231527093596063</v>
      </c>
      <c r="O6" s="26">
        <f>INDEX('Old Bow'!AA2:AA37, MATCH($B$6, 'Old Bow'!$A$2:$A$37, 0))</f>
        <v>5</v>
      </c>
      <c r="P6" s="26">
        <f>INDEX('Old Bow'!R2:R37, MATCH($B$6, 'Old Bow'!$A$2:$A$37, 0))</f>
        <v>0</v>
      </c>
      <c r="Q6" s="26">
        <f>INDEX('Old Bow'!AC2:AC37, MATCH($B$6, 'Old Bow'!$A$2:$A$37, 0))</f>
        <v>2</v>
      </c>
      <c r="R6" s="26">
        <f>INDEX('Old Bow'!Q2:Q37, MATCH($B$6, 'Old Bow'!$A$2:$A$37, 0))</f>
        <v>1</v>
      </c>
      <c r="S6" s="26">
        <f>INDEX('Old Bow'!AB2:AB37, MATCH($B$6, 'Old Bow'!$A$2:$A$37, 0))</f>
        <v>4</v>
      </c>
      <c r="T6" s="26">
        <f>INDEX('Old Bow'!W2:W37, MATCH($B$6, 'Old Bow'!$A$2:$A$37, 0))</f>
        <v>1</v>
      </c>
      <c r="U6" s="26">
        <f>INDEX('Old Bow'!U2:U37, MATCH($B$6, 'Old Bow'!$A$2:$A$37, 0))</f>
        <v>3</v>
      </c>
      <c r="V6" s="26">
        <f>INDEX('Old Bow'!S2:S37, MATCH($B$6, 'Old Bow'!$A$2:$A$37, 0))</f>
        <v>3</v>
      </c>
      <c r="W6" s="26">
        <f>INDEX('Old Bow'!V2:V37, MATCH($B$6, 'Old Bow'!$A$2:$A$37, 0))</f>
        <v>0</v>
      </c>
      <c r="X6" s="26">
        <f>INDEX('Old Bow'!AD2:AD37, MATCH($B$6, 'Old Bow'!$A$2:$A$37, 0))</f>
        <v>3</v>
      </c>
      <c r="Y6" s="26">
        <f>INDEX('Old Bow'!P2:P37, MATCH($B$6, 'Old Bow'!$A$2:$A$37, 0))</f>
        <v>4</v>
      </c>
      <c r="Z6" s="26">
        <f>INDEX('Old Bow'!T2:T37, MATCH($B$6, 'Old Bow'!$A$2:$A$37, 0))</f>
        <v>0</v>
      </c>
      <c r="AA6" s="26">
        <f>INDEX('Old Bow'!Z2:Z37, MATCH($B$6, 'Old Bow'!$A$2:$A$37, 0))</f>
        <v>1</v>
      </c>
      <c r="AB6" s="26">
        <f>INDEX('Old Bow'!Y2:Y37, MATCH($B$6, 'Old Bow'!$A$2:$A$37, 0))</f>
        <v>0</v>
      </c>
      <c r="AC6" s="14">
        <f>INDEX('Old Bow'!X2:X37, MATCH($B$6, 'Old Bow'!$A$2:$A$37, 0))</f>
        <v>0</v>
      </c>
    </row>
    <row r="7" spans="1:29" x14ac:dyDescent="0.25">
      <c r="A7" s="93"/>
      <c r="B7" s="7" t="s">
        <v>26</v>
      </c>
      <c r="C7" s="13">
        <f>INDEX('Old Bow'!D2:D37, MATCH($B$7, 'Old Bow'!$A$2:$A$37, 0))</f>
        <v>188</v>
      </c>
      <c r="D7" s="25">
        <f>INDEX('Old Bow'!E2:E37, MATCH($B$7, 'Old Bow'!$A$2:$A$37, 0))</f>
        <v>12.533333333333333</v>
      </c>
      <c r="E7" s="26">
        <f>INDEX('Old Bow'!F2:F37, MATCH($B$7, 'Old Bow'!$A$2:$A$37, 0))</f>
        <v>24</v>
      </c>
      <c r="F7" s="13">
        <f>INDEX('Old Bow'!G2:G37, MATCH($B$7, 'Old Bow'!$A$2:$A$37, 0))</f>
        <v>11</v>
      </c>
      <c r="G7" s="26">
        <f>INDEX('Old Bow'!H2:H37, MATCH($B$7, 'Old Bow'!$A$2:$A$37, 0))</f>
        <v>4</v>
      </c>
      <c r="H7" s="27">
        <f>INDEX('Old Bow'!I2:I37, MATCH($B$7, 'Old Bow'!$A$2:$A$37, 0))</f>
        <v>0.73333333333333328</v>
      </c>
      <c r="I7" s="13">
        <f>INDEX('Old Bow'!J2:J37, MATCH($B$7, 'Old Bow'!$A$2:$A$37, 0))</f>
        <v>39</v>
      </c>
      <c r="J7" s="26">
        <f>INDEX('Old Bow'!K2:K37, MATCH($B$7, 'Old Bow'!$A$2:$A$37, 0))</f>
        <v>22</v>
      </c>
      <c r="K7" s="27">
        <f>INDEX('Old Bow'!L2:L37, MATCH($B$7, 'Old Bow'!$A$2:$A$37, 0))</f>
        <v>0.63934426229508201</v>
      </c>
      <c r="L7" s="13">
        <f>INDEX('Old Bow'!M2:M37, MATCH($B$7, 'Old Bow'!$A$2:$A$37, 0))</f>
        <v>144</v>
      </c>
      <c r="M7" s="26">
        <f>INDEX('Old Bow'!N2:N37, MATCH($B$7, 'Old Bow'!$A$2:$A$37, 0))</f>
        <v>108</v>
      </c>
      <c r="N7" s="27">
        <f>INDEX('Old Bow'!O2:O37, MATCH($B$7, 'Old Bow'!$A$2:$A$37, 0))</f>
        <v>0.5714285714285714</v>
      </c>
      <c r="O7" s="26">
        <f>INDEX('Old Bow'!AA2:AA37, MATCH($B$7, 'Old Bow'!$A$2:$A$37, 0))</f>
        <v>3</v>
      </c>
      <c r="P7" s="26">
        <f>INDEX('Old Bow'!R2:R37, MATCH($B$7, 'Old Bow'!$A$2:$A$37, 0))</f>
        <v>2</v>
      </c>
      <c r="Q7" s="26">
        <f>INDEX('Old Bow'!AC2:AC37, MATCH($B$7, 'Old Bow'!$A$2:$A$37, 0))</f>
        <v>1</v>
      </c>
      <c r="R7" s="26">
        <f>INDEX('Old Bow'!Q2:Q37, MATCH($B$7, 'Old Bow'!$A$2:$A$37, 0))</f>
        <v>2</v>
      </c>
      <c r="S7" s="26">
        <f>INDEX('Old Bow'!AB2:AB37, MATCH($B$7, 'Old Bow'!$A$2:$A$37, 0))</f>
        <v>4</v>
      </c>
      <c r="T7" s="26">
        <f>INDEX('Old Bow'!W2:W37, MATCH($B$7, 'Old Bow'!$A$2:$A$37, 0))</f>
        <v>2</v>
      </c>
      <c r="U7" s="26">
        <f>INDEX('Old Bow'!U2:U37, MATCH($B$7, 'Old Bow'!$A$2:$A$37, 0))</f>
        <v>7</v>
      </c>
      <c r="V7" s="26">
        <f>INDEX('Old Bow'!S2:S37, MATCH($B$7, 'Old Bow'!$A$2:$A$37, 0))</f>
        <v>7</v>
      </c>
      <c r="W7" s="26">
        <f>INDEX('Old Bow'!V2:V37, MATCH($B$7, 'Old Bow'!$A$2:$A$37, 0))</f>
        <v>3</v>
      </c>
      <c r="X7" s="26">
        <f>INDEX('Old Bow'!AD2:AD37, MATCH($B$7, 'Old Bow'!$A$2:$A$37, 0))</f>
        <v>3</v>
      </c>
      <c r="Y7" s="26">
        <f>INDEX('Old Bow'!P2:P37, MATCH($B$7, 'Old Bow'!$A$2:$A$37, 0))</f>
        <v>1</v>
      </c>
      <c r="Z7" s="26">
        <f>INDEX('Old Bow'!T2:T37, MATCH($B$7, 'Old Bow'!$A$2:$A$37, 0))</f>
        <v>2</v>
      </c>
      <c r="AA7" s="26">
        <f>INDEX('Old Bow'!Z2:Z37, MATCH($B$7, 'Old Bow'!$A$2:$A$37, 0))</f>
        <v>0</v>
      </c>
      <c r="AB7" s="26">
        <f>INDEX('Old Bow'!Y2:Y37, MATCH($B$7, 'Old Bow'!$A$2:$A$37, 0))</f>
        <v>1</v>
      </c>
      <c r="AC7" s="14">
        <f>INDEX('Old Bow'!X2:X37, MATCH($B$7, 'Old Bow'!$A$2:$A$37, 0))</f>
        <v>1</v>
      </c>
    </row>
    <row r="8" spans="1:29" x14ac:dyDescent="0.25">
      <c r="A8" s="93"/>
      <c r="B8" s="7" t="s">
        <v>38</v>
      </c>
      <c r="C8" s="13">
        <f>INDEX('Old Bow'!D2:D37, MATCH($B$8, 'Old Bow'!$A$2:$A$37, 0))</f>
        <v>17</v>
      </c>
      <c r="D8" s="25">
        <f>INDEX('Old Bow'!E2:E37, MATCH($B$8, 'Old Bow'!$A$2:$A$37, 0))</f>
        <v>2.8333333333333335</v>
      </c>
      <c r="E8" s="26">
        <f>INDEX('Old Bow'!F2:F37, MATCH($B$8, 'Old Bow'!$A$2:$A$37, 0))</f>
        <v>6</v>
      </c>
      <c r="F8" s="13">
        <f>INDEX('Old Bow'!G2:G37, MATCH($B$8, 'Old Bow'!$A$2:$A$37, 0))</f>
        <v>3</v>
      </c>
      <c r="G8" s="26">
        <f>INDEX('Old Bow'!H2:H37, MATCH($B$8, 'Old Bow'!$A$2:$A$37, 0))</f>
        <v>3</v>
      </c>
      <c r="H8" s="27">
        <f>INDEX('Old Bow'!I2:I37, MATCH($B$8, 'Old Bow'!$A$2:$A$37, 0))</f>
        <v>0.5</v>
      </c>
      <c r="I8" s="13">
        <f>INDEX('Old Bow'!J2:J37, MATCH($B$8, 'Old Bow'!$A$2:$A$37, 0))</f>
        <v>11</v>
      </c>
      <c r="J8" s="26">
        <f>INDEX('Old Bow'!K2:K37, MATCH($B$8, 'Old Bow'!$A$2:$A$37, 0))</f>
        <v>10</v>
      </c>
      <c r="K8" s="27">
        <f>INDEX('Old Bow'!L2:L37, MATCH($B$8, 'Old Bow'!$A$2:$A$37, 0))</f>
        <v>0.52380952380952384</v>
      </c>
      <c r="L8" s="13">
        <f>INDEX('Old Bow'!M2:M37, MATCH($B$8, 'Old Bow'!$A$2:$A$37, 0))</f>
        <v>41</v>
      </c>
      <c r="M8" s="26">
        <f>INDEX('Old Bow'!N2:N37, MATCH($B$8, 'Old Bow'!$A$2:$A$37, 0))</f>
        <v>45</v>
      </c>
      <c r="N8" s="27">
        <f>INDEX('Old Bow'!O2:O37, MATCH($B$8, 'Old Bow'!$A$2:$A$37, 0))</f>
        <v>0.47674418604651164</v>
      </c>
      <c r="O8" s="26">
        <f>INDEX('Old Bow'!AA2:AA37, MATCH($B$8, 'Old Bow'!$A$2:$A$37, 0))</f>
        <v>1</v>
      </c>
      <c r="P8" s="26">
        <f>INDEX('Old Bow'!R2:R37, MATCH($B$8, 'Old Bow'!$A$2:$A$37, 0))</f>
        <v>1</v>
      </c>
      <c r="Q8" s="26">
        <f>INDEX('Old Bow'!AC2:AC37, MATCH($B$8, 'Old Bow'!$A$2:$A$37, 0))</f>
        <v>0</v>
      </c>
      <c r="R8" s="26">
        <f>INDEX('Old Bow'!Q2:Q37, MATCH($B$8, 'Old Bow'!$A$2:$A$37, 0))</f>
        <v>1</v>
      </c>
      <c r="S8" s="26">
        <f>INDEX('Old Bow'!AB2:AB37, MATCH($B$8, 'Old Bow'!$A$2:$A$37, 0))</f>
        <v>1</v>
      </c>
      <c r="T8" s="26">
        <f>INDEX('Old Bow'!W2:W37, MATCH($B$8, 'Old Bow'!$A$2:$A$37, 0))</f>
        <v>1</v>
      </c>
      <c r="U8" s="26">
        <f>INDEX('Old Bow'!U2:U37, MATCH($B$8, 'Old Bow'!$A$2:$A$37, 0))</f>
        <v>3</v>
      </c>
      <c r="V8" s="26">
        <f>INDEX('Old Bow'!S2:S37, MATCH($B$8, 'Old Bow'!$A$2:$A$37, 0))</f>
        <v>1</v>
      </c>
      <c r="W8" s="26">
        <f>INDEX('Old Bow'!V2:V37, MATCH($B$8, 'Old Bow'!$A$2:$A$37, 0))</f>
        <v>0</v>
      </c>
      <c r="X8" s="26">
        <f>INDEX('Old Bow'!AD2:AD37, MATCH($B$8, 'Old Bow'!$A$2:$A$37, 0))</f>
        <v>1</v>
      </c>
      <c r="Y8" s="26">
        <f>INDEX('Old Bow'!P2:P37, MATCH($B$8, 'Old Bow'!$A$2:$A$37, 0))</f>
        <v>1</v>
      </c>
      <c r="Z8" s="26">
        <f>INDEX('Old Bow'!T2:T37, MATCH($B$8, 'Old Bow'!$A$2:$A$37, 0))</f>
        <v>0</v>
      </c>
      <c r="AA8" s="26">
        <f>INDEX('Old Bow'!Z2:Z37, MATCH($B$8, 'Old Bow'!$A$2:$A$37, 0))</f>
        <v>0</v>
      </c>
      <c r="AB8" s="26">
        <f>INDEX('Old Bow'!Y2:Y37, MATCH($B$8, 'Old Bow'!$A$2:$A$37, 0))</f>
        <v>0</v>
      </c>
      <c r="AC8" s="14">
        <f>INDEX('Old Bow'!X2:X37, MATCH($B$8, 'Old Bow'!$A$2:$A$37, 0))</f>
        <v>0</v>
      </c>
    </row>
    <row r="9" spans="1:29" x14ac:dyDescent="0.25">
      <c r="A9" s="93"/>
      <c r="B9" s="7" t="s">
        <v>78</v>
      </c>
      <c r="C9" s="13">
        <f>INDEX('Old Bow'!D2:D37, MATCH($B$9, 'Old Bow'!$A$2:$A$37, 0))</f>
        <v>0</v>
      </c>
      <c r="D9" s="25">
        <f>INDEX('Old Bow'!E2:E37, MATCH($B$9, 'Old Bow'!$A$2:$A$37, 0))</f>
        <v>0</v>
      </c>
      <c r="E9" s="26">
        <f>INDEX('Old Bow'!F2:F37, MATCH($B$9, 'Old Bow'!$A$2:$A$37, 0))</f>
        <v>0</v>
      </c>
      <c r="F9" s="13">
        <f>INDEX('Old Bow'!G2:G37, MATCH($B$9, 'Old Bow'!$A$2:$A$37, 0))</f>
        <v>0</v>
      </c>
      <c r="G9" s="26">
        <f>INDEX('Old Bow'!H2:H37, MATCH($B$9, 'Old Bow'!$A$2:$A$37, 0))</f>
        <v>0</v>
      </c>
      <c r="H9" s="27" t="str">
        <f>INDEX('Old Bow'!I2:I37, MATCH($B$9, 'Old Bow'!$A$2:$A$37, 0))</f>
        <v>-</v>
      </c>
      <c r="I9" s="13">
        <f>INDEX('Old Bow'!J2:J37, MATCH($B$9, 'Old Bow'!$A$2:$A$37, 0))</f>
        <v>0</v>
      </c>
      <c r="J9" s="26">
        <f>INDEX('Old Bow'!K2:K37, MATCH($B$9, 'Old Bow'!$A$2:$A$37, 0))</f>
        <v>0</v>
      </c>
      <c r="K9" s="27" t="str">
        <f>INDEX('Old Bow'!L2:L37, MATCH($B$9, 'Old Bow'!$A$2:$A$37, 0))</f>
        <v>-</v>
      </c>
      <c r="L9" s="13">
        <f>INDEX('Old Bow'!M2:M37, MATCH($B$9, 'Old Bow'!$A$2:$A$37, 0))</f>
        <v>0</v>
      </c>
      <c r="M9" s="26">
        <f>INDEX('Old Bow'!N2:N37, MATCH($B$9, 'Old Bow'!$A$2:$A$37, 0))</f>
        <v>0</v>
      </c>
      <c r="N9" s="27" t="str">
        <f>INDEX('Old Bow'!O2:O37, MATCH($B$9, 'Old Bow'!$A$2:$A$37, 0))</f>
        <v>-</v>
      </c>
      <c r="O9" s="26">
        <f>INDEX('Old Bow'!AA2:AA37, MATCH($B$9, 'Old Bow'!$A$2:$A$37, 0))</f>
        <v>0</v>
      </c>
      <c r="P9" s="26">
        <f>INDEX('Old Bow'!R2:R37, MATCH($B$9, 'Old Bow'!$A$2:$A$37, 0))</f>
        <v>0</v>
      </c>
      <c r="Q9" s="26">
        <f>INDEX('Old Bow'!AC2:AC37, MATCH($B$9, 'Old Bow'!$A$2:$A$37, 0))</f>
        <v>0</v>
      </c>
      <c r="R9" s="26">
        <f>INDEX('Old Bow'!Q2:Q37, MATCH($B$9, 'Old Bow'!$A$2:$A$37, 0))</f>
        <v>0</v>
      </c>
      <c r="S9" s="26">
        <f>INDEX('Old Bow'!AB2:AB37, MATCH($B$9, 'Old Bow'!$A$2:$A$37, 0))</f>
        <v>0</v>
      </c>
      <c r="T9" s="26">
        <f>INDEX('Old Bow'!W2:W37, MATCH($B$9, 'Old Bow'!$A$2:$A$37, 0))</f>
        <v>0</v>
      </c>
      <c r="U9" s="26">
        <f>INDEX('Old Bow'!U2:U37, MATCH($B$9, 'Old Bow'!$A$2:$A$37, 0))</f>
        <v>0</v>
      </c>
      <c r="V9" s="26">
        <f>INDEX('Old Bow'!S2:S37, MATCH($B$9, 'Old Bow'!$A$2:$A$37, 0))</f>
        <v>0</v>
      </c>
      <c r="W9" s="26">
        <f>INDEX('Old Bow'!V2:V37, MATCH($B$9, 'Old Bow'!$A$2:$A$37, 0))</f>
        <v>0</v>
      </c>
      <c r="X9" s="26">
        <f>INDEX('Old Bow'!AD2:AD37, MATCH($B$9, 'Old Bow'!$A$2:$A$37, 0))</f>
        <v>0</v>
      </c>
      <c r="Y9" s="26">
        <f>INDEX('Old Bow'!P2:P37, MATCH($B$9, 'Old Bow'!$A$2:$A$37, 0))</f>
        <v>0</v>
      </c>
      <c r="Z9" s="26">
        <f>INDEX('Old Bow'!T2:T37, MATCH($B$9, 'Old Bow'!$A$2:$A$37, 0))</f>
        <v>0</v>
      </c>
      <c r="AA9" s="26">
        <f>INDEX('Old Bow'!Z2:Z37, MATCH($B$9, 'Old Bow'!$A$2:$A$37, 0))</f>
        <v>0</v>
      </c>
      <c r="AB9" s="26">
        <f>INDEX('Old Bow'!Y2:Y37, MATCH($B$9, 'Old Bow'!$A$2:$A$37, 0))</f>
        <v>0</v>
      </c>
      <c r="AC9" s="14">
        <f>INDEX('Old Bow'!X2:X37, MATCH($B$9, 'Old Bow'!$A$2:$A$37, 0))</f>
        <v>0</v>
      </c>
    </row>
    <row r="10" spans="1:29" ht="15.75" thickBot="1" x14ac:dyDescent="0.3">
      <c r="A10" s="93"/>
      <c r="B10" s="7" t="s">
        <v>78</v>
      </c>
      <c r="C10" s="17">
        <f>INDEX('Old Bow'!D2:D37, MATCH($B$10, 'Old Bow'!$A$2:$A$37, 0))</f>
        <v>0</v>
      </c>
      <c r="D10" s="28">
        <f>INDEX('Old Bow'!E2:E37, MATCH($B$10, 'Old Bow'!$A$2:$A$37, 0))</f>
        <v>0</v>
      </c>
      <c r="E10" s="29">
        <f>INDEX('Old Bow'!F2:F37, MATCH($B$10, 'Old Bow'!$A$2:$A$37, 0))</f>
        <v>0</v>
      </c>
      <c r="F10" s="17">
        <f>INDEX('Old Bow'!G2:G37, MATCH($B$10, 'Old Bow'!$A$2:$A$37, 0))</f>
        <v>0</v>
      </c>
      <c r="G10" s="29">
        <f>INDEX('Old Bow'!H2:H37, MATCH($B$10, 'Old Bow'!$A$2:$A$37, 0))</f>
        <v>0</v>
      </c>
      <c r="H10" s="30" t="str">
        <f>INDEX('Old Bow'!I2:I37, MATCH($B$10, 'Old Bow'!$A$2:$A$37, 0))</f>
        <v>-</v>
      </c>
      <c r="I10" s="17">
        <f>INDEX('Old Bow'!J2:J37, MATCH($B$10, 'Old Bow'!$A$2:$A$37, 0))</f>
        <v>0</v>
      </c>
      <c r="J10" s="29">
        <f>INDEX('Old Bow'!K2:K37, MATCH($B$10, 'Old Bow'!$A$2:$A$37, 0))</f>
        <v>0</v>
      </c>
      <c r="K10" s="30" t="str">
        <f>INDEX('Old Bow'!L2:L37, MATCH($B$10, 'Old Bow'!$A$2:$A$37, 0))</f>
        <v>-</v>
      </c>
      <c r="L10" s="17">
        <f>INDEX('Old Bow'!M2:M37, MATCH($B$10, 'Old Bow'!$A$2:$A$37, 0))</f>
        <v>0</v>
      </c>
      <c r="M10" s="29">
        <f>INDEX('Old Bow'!N2:N37, MATCH($B$10, 'Old Bow'!$A$2:$A$37, 0))</f>
        <v>0</v>
      </c>
      <c r="N10" s="30" t="str">
        <f>INDEX('Old Bow'!O2:O37, MATCH($B$10, 'Old Bow'!$A$2:$A$37, 0))</f>
        <v>-</v>
      </c>
      <c r="O10" s="29">
        <f>INDEX('Old Bow'!AA2:AA37, MATCH($B$10, 'Old Bow'!$A$2:$A$37, 0))</f>
        <v>0</v>
      </c>
      <c r="P10" s="29">
        <f>INDEX('Old Bow'!R2:R37, MATCH($B$10, 'Old Bow'!$A$2:$A$37, 0))</f>
        <v>0</v>
      </c>
      <c r="Q10" s="29">
        <f>INDEX('Old Bow'!AC2:AC37, MATCH($B$10, 'Old Bow'!$A$2:$A$37, 0))</f>
        <v>0</v>
      </c>
      <c r="R10" s="29">
        <f>INDEX('Old Bow'!Q2:Q37, MATCH($B$10, 'Old Bow'!$A$2:$A$37, 0))</f>
        <v>0</v>
      </c>
      <c r="S10" s="29">
        <f>INDEX('Old Bow'!AB2:AB37, MATCH($B$10, 'Old Bow'!$A$2:$A$37, 0))</f>
        <v>0</v>
      </c>
      <c r="T10" s="29">
        <f>INDEX('Old Bow'!W2:W37, MATCH($B$10, 'Old Bow'!$A$2:$A$37, 0))</f>
        <v>0</v>
      </c>
      <c r="U10" s="29">
        <f>INDEX('Old Bow'!U2:U37, MATCH($B$10, 'Old Bow'!$A$2:$A$37, 0))</f>
        <v>0</v>
      </c>
      <c r="V10" s="29">
        <f>INDEX('Old Bow'!S2:S37, MATCH($B$10, 'Old Bow'!$A$2:$A$37, 0))</f>
        <v>0</v>
      </c>
      <c r="W10" s="29">
        <f>INDEX('Old Bow'!V2:V37, MATCH($B$10, 'Old Bow'!$A$2:$A$37, 0))</f>
        <v>0</v>
      </c>
      <c r="X10" s="29">
        <f>INDEX('Old Bow'!AD2:AD37, MATCH($B$10, 'Old Bow'!$A$2:$A$37, 0))</f>
        <v>0</v>
      </c>
      <c r="Y10" s="29">
        <f>INDEX('Old Bow'!P2:P37, MATCH($B$10, 'Old Bow'!$A$2:$A$37, 0))</f>
        <v>0</v>
      </c>
      <c r="Z10" s="29">
        <f>INDEX('Old Bow'!T2:T37, MATCH($B$10, 'Old Bow'!$A$2:$A$37, 0))</f>
        <v>0</v>
      </c>
      <c r="AA10" s="29">
        <f>INDEX('Old Bow'!Z2:Z37, MATCH($B$10, 'Old Bow'!$A$2:$A$37, 0))</f>
        <v>0</v>
      </c>
      <c r="AB10" s="29">
        <f>INDEX('Old Bow'!Y2:Y37, MATCH($B$10, 'Old Bow'!$A$2:$A$37, 0))</f>
        <v>0</v>
      </c>
      <c r="AC10" s="18">
        <f>INDEX('Old Bow'!X2:X37, MATCH($B$10, 'Old Bow'!$A$2:$A$37, 0))</f>
        <v>0</v>
      </c>
    </row>
    <row r="11" spans="1:29" x14ac:dyDescent="0.25">
      <c r="D11" s="8">
        <f>SUM(D3:D10)</f>
        <v>90.427855477855474</v>
      </c>
      <c r="H11" s="9">
        <f>AVERAGE(H3:H10)</f>
        <v>0.55284252784252785</v>
      </c>
      <c r="I11" s="1"/>
      <c r="J11" s="1"/>
      <c r="K11" s="9">
        <f>AVERAGE(K3:K10)</f>
        <v>0.52738701212409844</v>
      </c>
      <c r="N11" s="9">
        <f>AVERAGE(N3:N10)</f>
        <v>0.5007160838519642</v>
      </c>
      <c r="O11" s="5">
        <f>SUM(O3:O10)</f>
        <v>15</v>
      </c>
      <c r="P11" s="5">
        <f t="shared" ref="P11:AC11" si="0">SUM(P3:P10)</f>
        <v>5</v>
      </c>
      <c r="Q11" s="5">
        <f t="shared" si="0"/>
        <v>7</v>
      </c>
      <c r="R11" s="5">
        <f t="shared" si="0"/>
        <v>8</v>
      </c>
      <c r="S11" s="5">
        <f t="shared" si="0"/>
        <v>22</v>
      </c>
      <c r="T11" s="5">
        <f t="shared" si="0"/>
        <v>6</v>
      </c>
      <c r="U11" s="5">
        <f t="shared" si="0"/>
        <v>28</v>
      </c>
      <c r="V11" s="5">
        <f t="shared" si="0"/>
        <v>16</v>
      </c>
      <c r="W11" s="5">
        <f t="shared" si="0"/>
        <v>3</v>
      </c>
      <c r="X11" s="5">
        <f t="shared" si="0"/>
        <v>18</v>
      </c>
      <c r="Y11" s="5">
        <f t="shared" si="0"/>
        <v>10</v>
      </c>
      <c r="Z11" s="5">
        <f t="shared" si="0"/>
        <v>2</v>
      </c>
      <c r="AA11" s="5">
        <f t="shared" si="0"/>
        <v>2</v>
      </c>
      <c r="AB11" s="5">
        <f t="shared" si="0"/>
        <v>1</v>
      </c>
      <c r="AC11" s="5">
        <f t="shared" si="0"/>
        <v>1</v>
      </c>
    </row>
    <row r="14" spans="1:29" ht="15.75" thickBot="1" x14ac:dyDescent="0.3"/>
    <row r="15" spans="1:29" x14ac:dyDescent="0.25">
      <c r="C15" s="90" t="s">
        <v>7</v>
      </c>
      <c r="D15" s="91"/>
      <c r="E15" s="92"/>
      <c r="F15" s="90" t="s">
        <v>22</v>
      </c>
      <c r="G15" s="91"/>
      <c r="H15" s="92"/>
      <c r="I15" s="90" t="s">
        <v>16</v>
      </c>
      <c r="J15" s="91"/>
      <c r="K15" s="92"/>
      <c r="L15" s="90" t="s">
        <v>23</v>
      </c>
      <c r="M15" s="91"/>
      <c r="N15" s="92"/>
      <c r="O15" s="90" t="s">
        <v>64</v>
      </c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2"/>
    </row>
    <row r="16" spans="1:29" ht="30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20" t="s">
        <v>9</v>
      </c>
      <c r="P16" s="21" t="s">
        <v>10</v>
      </c>
      <c r="Q16" s="21" t="s">
        <v>11</v>
      </c>
      <c r="R16" s="21" t="s">
        <v>12</v>
      </c>
      <c r="S16" s="21" t="s">
        <v>30</v>
      </c>
      <c r="T16" s="21" t="s">
        <v>31</v>
      </c>
      <c r="U16" s="21" t="s">
        <v>32</v>
      </c>
      <c r="V16" s="21" t="s">
        <v>33</v>
      </c>
      <c r="W16" s="22" t="s">
        <v>65</v>
      </c>
      <c r="X16" s="21" t="s">
        <v>39</v>
      </c>
      <c r="Y16" s="21" t="s">
        <v>41</v>
      </c>
      <c r="Z16" s="21" t="s">
        <v>48</v>
      </c>
      <c r="AA16" s="21" t="s">
        <v>56</v>
      </c>
      <c r="AB16" s="21" t="s">
        <v>57</v>
      </c>
      <c r="AC16" s="23" t="s">
        <v>58</v>
      </c>
    </row>
    <row r="17" spans="1:29" x14ac:dyDescent="0.25">
      <c r="A17" s="89" t="s">
        <v>77</v>
      </c>
      <c r="B17" s="7" t="s">
        <v>13</v>
      </c>
      <c r="C17" s="13">
        <f>INDEX('Old Bow'!D2:D37, MATCH($B$17, 'Old Bow'!$A$2:$A$37, 0))</f>
        <v>640</v>
      </c>
      <c r="D17" s="25">
        <f>INDEX('Old Bow'!E2:E37, MATCH($B$17, 'Old Bow'!$A$2:$A$37, 0))</f>
        <v>27.826086956521738</v>
      </c>
      <c r="E17" s="14">
        <f>INDEX('Old Bow'!F2:F37, MATCH($B$17, 'Old Bow'!$A$2:$A$37, 0))</f>
        <v>57</v>
      </c>
      <c r="F17" s="13">
        <f>INDEX('Old Bow'!G2:G37, MATCH($B$17, 'Old Bow'!$A$2:$A$37, 0))</f>
        <v>16</v>
      </c>
      <c r="G17" s="26">
        <f>INDEX('Old Bow'!H2:H37, MATCH($B$17, 'Old Bow'!$A$2:$A$37, 0))</f>
        <v>7</v>
      </c>
      <c r="H17" s="27">
        <f>INDEX('Old Bow'!I2:I37, MATCH($B$17, 'Old Bow'!$A$2:$A$37, 0))</f>
        <v>0.69565217391304346</v>
      </c>
      <c r="I17" s="13">
        <f>INDEX('Old Bow'!J2:J37, MATCH($B$17, 'Old Bow'!$A$2:$A$37, 0))</f>
        <v>54</v>
      </c>
      <c r="J17" s="26">
        <f>INDEX('Old Bow'!K2:K37, MATCH($B$17, 'Old Bow'!$A$2:$A$37, 0))</f>
        <v>39</v>
      </c>
      <c r="K17" s="27">
        <f>INDEX('Old Bow'!L2:L37, MATCH($B$17, 'Old Bow'!$A$2:$A$37, 0))</f>
        <v>0.58064516129032262</v>
      </c>
      <c r="L17" s="13">
        <f>INDEX('Old Bow'!M2:M37, MATCH($B$17, 'Old Bow'!$A$2:$A$37, 0))</f>
        <v>209</v>
      </c>
      <c r="M17" s="26">
        <f>INDEX('Old Bow'!N2:N37, MATCH($B$17, 'Old Bow'!$A$2:$A$37, 0))</f>
        <v>173</v>
      </c>
      <c r="N17" s="27">
        <f>INDEX('Old Bow'!O2:O37, MATCH($B$17, 'Old Bow'!$A$2:$A$37, 0))</f>
        <v>0.54712041884816753</v>
      </c>
      <c r="O17" s="13">
        <f>INDEX('Old Bow'!AA2:AA37, MATCH($B$17, 'Old Bow'!$A$2:$A$37, 0))</f>
        <v>6</v>
      </c>
      <c r="P17" s="26">
        <f>INDEX('Old Bow'!R2:R37, MATCH($B$17, 'Old Bow'!$A$2:$A$37, 0))</f>
        <v>2</v>
      </c>
      <c r="Q17" s="26">
        <f>INDEX('Old Bow'!AC2:AC37, MATCH($B$17, 'Old Bow'!$A$2:$A$37, 0))</f>
        <v>0</v>
      </c>
      <c r="R17" s="26">
        <f>INDEX('Old Bow'!Q2:Q37, MATCH($B$17, 'Old Bow'!$A$2:$A$37, 0))</f>
        <v>6</v>
      </c>
      <c r="S17" s="26">
        <f>INDEX('Old Bow'!AB2:AB37, MATCH($B$17, 'Old Bow'!$A$2:$A$37, 0))</f>
        <v>6</v>
      </c>
      <c r="T17" s="26">
        <f>INDEX('Old Bow'!W2:W37, MATCH($B$17, 'Old Bow'!$A$2:$A$37, 0))</f>
        <v>1</v>
      </c>
      <c r="U17" s="26">
        <f>INDEX('Old Bow'!U2:U37, MATCH($B$17, 'Old Bow'!$A$2:$A$37, 0))</f>
        <v>8</v>
      </c>
      <c r="V17" s="26">
        <f>INDEX('Old Bow'!S2:S37, MATCH($B$17, 'Old Bow'!$A$2:$A$37, 0))</f>
        <v>7</v>
      </c>
      <c r="W17" s="26">
        <f>INDEX('Old Bow'!V2:V37, MATCH($B$17, 'Old Bow'!$A$2:$A$37, 0))</f>
        <v>3</v>
      </c>
      <c r="X17" s="26">
        <f>INDEX('Old Bow'!AD2:AD37, MATCH($B$17, 'Old Bow'!$A$2:$A$37, 0))</f>
        <v>7</v>
      </c>
      <c r="Y17" s="26">
        <f>INDEX('Old Bow'!P2:P37, MATCH($B$17, 'Old Bow'!$A$2:$A$37, 0))</f>
        <v>2</v>
      </c>
      <c r="Z17" s="26">
        <f>INDEX('Old Bow'!T2:T37, MATCH($B$17, 'Old Bow'!$A$2:$A$37, 0))</f>
        <v>2</v>
      </c>
      <c r="AA17" s="26">
        <f>INDEX('Old Bow'!Z2:Z37, MATCH($B$17, 'Old Bow'!$A$2:$A$37, 0))</f>
        <v>2</v>
      </c>
      <c r="AB17" s="26">
        <f>INDEX('Old Bow'!Y2:Y37, MATCH($B$17, 'Old Bow'!$A$2:$A$37, 0))</f>
        <v>1</v>
      </c>
      <c r="AC17" s="14">
        <f>INDEX('Old Bow'!X2:X37, MATCH($B$17, 'Old Bow'!$A$2:$A$37, 0))</f>
        <v>1</v>
      </c>
    </row>
    <row r="18" spans="1:29" x14ac:dyDescent="0.25">
      <c r="A18" s="89"/>
      <c r="B18" s="7" t="s">
        <v>2</v>
      </c>
      <c r="C18" s="13">
        <f>INDEX('Old Bow'!D2:D37, MATCH($B$18, 'Old Bow'!$A$2:$A$37, 0))</f>
        <v>297</v>
      </c>
      <c r="D18" s="25">
        <f>INDEX('Old Bow'!E2:E37, MATCH($B$18, 'Old Bow'!$A$2:$A$37, 0))</f>
        <v>27</v>
      </c>
      <c r="E18" s="14">
        <f>INDEX('Old Bow'!F2:F37, MATCH($B$18, 'Old Bow'!$A$2:$A$37, 0))</f>
        <v>42</v>
      </c>
      <c r="F18" s="13">
        <f>INDEX('Old Bow'!G2:G37, MATCH($B$18, 'Old Bow'!$A$2:$A$37, 0))</f>
        <v>6</v>
      </c>
      <c r="G18" s="26">
        <f>INDEX('Old Bow'!H2:H37, MATCH($B$18, 'Old Bow'!$A$2:$A$37, 0))</f>
        <v>5</v>
      </c>
      <c r="H18" s="27">
        <f>INDEX('Old Bow'!I2:I37, MATCH($B$18, 'Old Bow'!$A$2:$A$37, 0))</f>
        <v>0.54545454545454541</v>
      </c>
      <c r="I18" s="13">
        <f>INDEX('Old Bow'!J2:J37, MATCH($B$18, 'Old Bow'!$A$2:$A$37, 0))</f>
        <v>25</v>
      </c>
      <c r="J18" s="26">
        <f>INDEX('Old Bow'!K2:K37, MATCH($B$18, 'Old Bow'!$A$2:$A$37, 0))</f>
        <v>21</v>
      </c>
      <c r="K18" s="27">
        <f>INDEX('Old Bow'!L2:L37, MATCH($B$18, 'Old Bow'!$A$2:$A$37, 0))</f>
        <v>0.54347826086956519</v>
      </c>
      <c r="L18" s="13">
        <f>INDEX('Old Bow'!M2:M37, MATCH($B$18, 'Old Bow'!$A$2:$A$37, 0))</f>
        <v>102</v>
      </c>
      <c r="M18" s="26">
        <f>INDEX('Old Bow'!N2:N37, MATCH($B$18, 'Old Bow'!$A$2:$A$37, 0))</f>
        <v>91</v>
      </c>
      <c r="N18" s="27">
        <f>INDEX('Old Bow'!O2:O37, MATCH($B$18, 'Old Bow'!$A$2:$A$37, 0))</f>
        <v>0.52849740932642486</v>
      </c>
      <c r="O18" s="13">
        <f>INDEX('Old Bow'!AA2:AA37, MATCH($B$18, 'Old Bow'!$A$2:$A$37, 0))</f>
        <v>5</v>
      </c>
      <c r="P18" s="26">
        <f>INDEX('Old Bow'!R2:R37, MATCH($B$18, 'Old Bow'!$A$2:$A$37, 0))</f>
        <v>2</v>
      </c>
      <c r="Q18" s="26">
        <f>INDEX('Old Bow'!AC2:AC37, MATCH($B$18, 'Old Bow'!$A$2:$A$37, 0))</f>
        <v>4</v>
      </c>
      <c r="R18" s="26">
        <f>INDEX('Old Bow'!Q2:Q37, MATCH($B$18, 'Old Bow'!$A$2:$A$37, 0))</f>
        <v>2</v>
      </c>
      <c r="S18" s="26">
        <f>INDEX('Old Bow'!AB2:AB37, MATCH($B$18, 'Old Bow'!$A$2:$A$37, 0))</f>
        <v>0</v>
      </c>
      <c r="T18" s="26">
        <f>INDEX('Old Bow'!W2:W37, MATCH($B$18, 'Old Bow'!$A$2:$A$37, 0))</f>
        <v>0</v>
      </c>
      <c r="U18" s="26">
        <f>INDEX('Old Bow'!U2:U37, MATCH($B$18, 'Old Bow'!$A$2:$A$37, 0))</f>
        <v>3</v>
      </c>
      <c r="V18" s="26">
        <f>INDEX('Old Bow'!S2:S37, MATCH($B$18, 'Old Bow'!$A$2:$A$37, 0))</f>
        <v>4</v>
      </c>
      <c r="W18" s="26">
        <f>INDEX('Old Bow'!V2:V37, MATCH($B$18, 'Old Bow'!$A$2:$A$37, 0))</f>
        <v>0</v>
      </c>
      <c r="X18" s="26">
        <f>INDEX('Old Bow'!AD2:AD37, MATCH($B$18, 'Old Bow'!$A$2:$A$37, 0))</f>
        <v>3</v>
      </c>
      <c r="Y18" s="26">
        <f>INDEX('Old Bow'!P2:P37, MATCH($B$18, 'Old Bow'!$A$2:$A$37, 0))</f>
        <v>2</v>
      </c>
      <c r="Z18" s="26">
        <f>INDEX('Old Bow'!T2:T37, MATCH($B$18, 'Old Bow'!$A$2:$A$37, 0))</f>
        <v>0</v>
      </c>
      <c r="AA18" s="26">
        <f>INDEX('Old Bow'!Z2:Z37, MATCH($B$18, 'Old Bow'!$A$2:$A$37, 0))</f>
        <v>0</v>
      </c>
      <c r="AB18" s="26">
        <f>INDEX('Old Bow'!Y2:Y37, MATCH($B$18, 'Old Bow'!$A$2:$A$37, 0))</f>
        <v>0</v>
      </c>
      <c r="AC18" s="14">
        <f>INDEX('Old Bow'!X2:X37, MATCH($B$18, 'Old Bow'!$A$2:$A$37, 0))</f>
        <v>0</v>
      </c>
    </row>
    <row r="19" spans="1:29" x14ac:dyDescent="0.25">
      <c r="A19" s="89"/>
      <c r="B19" s="7" t="s">
        <v>45</v>
      </c>
      <c r="C19" s="13">
        <f>INDEX('Old Bow'!D2:D37, MATCH($B$19, 'Old Bow'!$A$2:$A$37, 0))</f>
        <v>89</v>
      </c>
      <c r="D19" s="25">
        <f>INDEX('Old Bow'!E2:E37, MATCH($B$19, 'Old Bow'!$A$2:$A$37, 0))</f>
        <v>9.8888888888888893</v>
      </c>
      <c r="E19" s="14">
        <f>INDEX('Old Bow'!F2:F37, MATCH($B$19, 'Old Bow'!$A$2:$A$37, 0))</f>
        <v>17</v>
      </c>
      <c r="F19" s="13">
        <f>INDEX('Old Bow'!G2:G37, MATCH($B$19, 'Old Bow'!$A$2:$A$37, 0))</f>
        <v>4</v>
      </c>
      <c r="G19" s="26">
        <f>INDEX('Old Bow'!H2:H37, MATCH($B$19, 'Old Bow'!$A$2:$A$37, 0))</f>
        <v>5</v>
      </c>
      <c r="H19" s="27">
        <f>INDEX('Old Bow'!I2:I37, MATCH($B$19, 'Old Bow'!$A$2:$A$37, 0))</f>
        <v>0.44444444444444442</v>
      </c>
      <c r="I19" s="13">
        <f>INDEX('Old Bow'!J2:J37, MATCH($B$19, 'Old Bow'!$A$2:$A$37, 0))</f>
        <v>17</v>
      </c>
      <c r="J19" s="26">
        <f>INDEX('Old Bow'!K2:K37, MATCH($B$19, 'Old Bow'!$A$2:$A$37, 0))</f>
        <v>18</v>
      </c>
      <c r="K19" s="27">
        <f>INDEX('Old Bow'!L2:L37, MATCH($B$19, 'Old Bow'!$A$2:$A$37, 0))</f>
        <v>0.48571428571428571</v>
      </c>
      <c r="L19" s="13">
        <f>INDEX('Old Bow'!M2:M37, MATCH($B$19, 'Old Bow'!$A$2:$A$37, 0))</f>
        <v>71</v>
      </c>
      <c r="M19" s="26">
        <f>INDEX('Old Bow'!N2:N37, MATCH($B$19, 'Old Bow'!$A$2:$A$37, 0))</f>
        <v>71</v>
      </c>
      <c r="N19" s="27">
        <f>INDEX('Old Bow'!O2:O37, MATCH($B$19, 'Old Bow'!$A$2:$A$37, 0))</f>
        <v>0.5</v>
      </c>
      <c r="O19" s="13">
        <f>INDEX('Old Bow'!AA2:AA37, MATCH($B$19, 'Old Bow'!$A$2:$A$37, 0))</f>
        <v>2</v>
      </c>
      <c r="P19" s="26">
        <f>INDEX('Old Bow'!R2:R37, MATCH($B$19, 'Old Bow'!$A$2:$A$37, 0))</f>
        <v>0</v>
      </c>
      <c r="Q19" s="26">
        <f>INDEX('Old Bow'!AC2:AC37, MATCH($B$19, 'Old Bow'!$A$2:$A$37, 0))</f>
        <v>1</v>
      </c>
      <c r="R19" s="26">
        <f>INDEX('Old Bow'!Q2:Q37, MATCH($B$19, 'Old Bow'!$A$2:$A$37, 0))</f>
        <v>2</v>
      </c>
      <c r="S19" s="26">
        <f>INDEX('Old Bow'!AB2:AB37, MATCH($B$19, 'Old Bow'!$A$2:$A$37, 0))</f>
        <v>3</v>
      </c>
      <c r="T19" s="26">
        <f>INDEX('Old Bow'!W2:W37, MATCH($B$19, 'Old Bow'!$A$2:$A$37, 0))</f>
        <v>0</v>
      </c>
      <c r="U19" s="26">
        <f>INDEX('Old Bow'!U2:U37, MATCH($B$19, 'Old Bow'!$A$2:$A$37, 0))</f>
        <v>4</v>
      </c>
      <c r="V19" s="26">
        <f>INDEX('Old Bow'!S2:S37, MATCH($B$19, 'Old Bow'!$A$2:$A$37, 0))</f>
        <v>3</v>
      </c>
      <c r="W19" s="26">
        <f>INDEX('Old Bow'!V2:V37, MATCH($B$19, 'Old Bow'!$A$2:$A$37, 0))</f>
        <v>0</v>
      </c>
      <c r="X19" s="26">
        <f>INDEX('Old Bow'!AD2:AD37, MATCH($B$19, 'Old Bow'!$A$2:$A$37, 0))</f>
        <v>2</v>
      </c>
      <c r="Y19" s="26">
        <f>INDEX('Old Bow'!P2:P37, MATCH($B$19, 'Old Bow'!$A$2:$A$37, 0))</f>
        <v>0</v>
      </c>
      <c r="Z19" s="26">
        <f>INDEX('Old Bow'!T2:T37, MATCH($B$19, 'Old Bow'!$A$2:$A$37, 0))</f>
        <v>0</v>
      </c>
      <c r="AA19" s="26">
        <f>INDEX('Old Bow'!Z2:Z37, MATCH($B$19, 'Old Bow'!$A$2:$A$37, 0))</f>
        <v>0</v>
      </c>
      <c r="AB19" s="26">
        <f>INDEX('Old Bow'!Y2:Y37, MATCH($B$19, 'Old Bow'!$A$2:$A$37, 0))</f>
        <v>0</v>
      </c>
      <c r="AC19" s="14">
        <f>INDEX('Old Bow'!X2:X37, MATCH($B$19, 'Old Bow'!$A$2:$A$37, 0))</f>
        <v>0</v>
      </c>
    </row>
    <row r="20" spans="1:29" x14ac:dyDescent="0.25">
      <c r="A20" s="89"/>
      <c r="B20" s="7" t="s">
        <v>20</v>
      </c>
      <c r="C20" s="13">
        <f>INDEX('Old Bow'!D2:D37, MATCH($B$20, 'Old Bow'!$A$2:$A$37, 0))</f>
        <v>213</v>
      </c>
      <c r="D20" s="25">
        <f>INDEX('Old Bow'!E2:E37, MATCH($B$20, 'Old Bow'!$A$2:$A$37, 0))</f>
        <v>13.3125</v>
      </c>
      <c r="E20" s="14">
        <f>INDEX('Old Bow'!F2:F37, MATCH($B$20, 'Old Bow'!$A$2:$A$37, 0))</f>
        <v>28</v>
      </c>
      <c r="F20" s="13">
        <f>INDEX('Old Bow'!G2:G37, MATCH($B$20, 'Old Bow'!$A$2:$A$37, 0))</f>
        <v>6</v>
      </c>
      <c r="G20" s="26">
        <f>INDEX('Old Bow'!H2:H37, MATCH($B$20, 'Old Bow'!$A$2:$A$37, 0))</f>
        <v>10</v>
      </c>
      <c r="H20" s="27">
        <f>INDEX('Old Bow'!I2:I37, MATCH($B$20, 'Old Bow'!$A$2:$A$37, 0))</f>
        <v>0.375</v>
      </c>
      <c r="I20" s="13">
        <f>INDEX('Old Bow'!J2:J37, MATCH($B$20, 'Old Bow'!$A$2:$A$37, 0))</f>
        <v>32</v>
      </c>
      <c r="J20" s="26">
        <f>INDEX('Old Bow'!K2:K37, MATCH($B$20, 'Old Bow'!$A$2:$A$37, 0))</f>
        <v>35</v>
      </c>
      <c r="K20" s="27">
        <f>INDEX('Old Bow'!L2:L37, MATCH($B$20, 'Old Bow'!$A$2:$A$37, 0))</f>
        <v>0.47761194029850745</v>
      </c>
      <c r="L20" s="13">
        <f>INDEX('Old Bow'!M2:M37, MATCH($B$20, 'Old Bow'!$A$2:$A$37, 0))</f>
        <v>140</v>
      </c>
      <c r="M20" s="26">
        <f>INDEX('Old Bow'!N2:N37, MATCH($B$20, 'Old Bow'!$A$2:$A$37, 0))</f>
        <v>142</v>
      </c>
      <c r="N20" s="27">
        <f>INDEX('Old Bow'!O2:O37, MATCH($B$20, 'Old Bow'!$A$2:$A$37, 0))</f>
        <v>0.49645390070921985</v>
      </c>
      <c r="O20" s="13">
        <f>INDEX('Old Bow'!AA2:AA37, MATCH($B$20, 'Old Bow'!$A$2:$A$37, 0))</f>
        <v>7</v>
      </c>
      <c r="P20" s="26">
        <f>INDEX('Old Bow'!R2:R37, MATCH($B$20, 'Old Bow'!$A$2:$A$37, 0))</f>
        <v>0</v>
      </c>
      <c r="Q20" s="26">
        <f>INDEX('Old Bow'!AC2:AC37, MATCH($B$20, 'Old Bow'!$A$2:$A$37, 0))</f>
        <v>1</v>
      </c>
      <c r="R20" s="26">
        <f>INDEX('Old Bow'!Q2:Q37, MATCH($B$20, 'Old Bow'!$A$2:$A$37, 0))</f>
        <v>3</v>
      </c>
      <c r="S20" s="26">
        <f>INDEX('Old Bow'!AB2:AB37, MATCH($B$20, 'Old Bow'!$A$2:$A$37, 0))</f>
        <v>5</v>
      </c>
      <c r="T20" s="26">
        <f>INDEX('Old Bow'!W2:W37, MATCH($B$20, 'Old Bow'!$A$2:$A$37, 0))</f>
        <v>1</v>
      </c>
      <c r="U20" s="26">
        <f>INDEX('Old Bow'!U2:U37, MATCH($B$20, 'Old Bow'!$A$2:$A$37, 0))</f>
        <v>3</v>
      </c>
      <c r="V20" s="26">
        <f>INDEX('Old Bow'!S2:S37, MATCH($B$20, 'Old Bow'!$A$2:$A$37, 0))</f>
        <v>6</v>
      </c>
      <c r="W20" s="26">
        <f>INDEX('Old Bow'!V2:V37, MATCH($B$20, 'Old Bow'!$A$2:$A$37, 0))</f>
        <v>1</v>
      </c>
      <c r="X20" s="26">
        <f>INDEX('Old Bow'!AD2:AD37, MATCH($B$20, 'Old Bow'!$A$2:$A$37, 0))</f>
        <v>2</v>
      </c>
      <c r="Y20" s="26">
        <f>INDEX('Old Bow'!P2:P37, MATCH($B$20, 'Old Bow'!$A$2:$A$37, 0))</f>
        <v>1</v>
      </c>
      <c r="Z20" s="26">
        <f>INDEX('Old Bow'!T2:T37, MATCH($B$20, 'Old Bow'!$A$2:$A$37, 0))</f>
        <v>0</v>
      </c>
      <c r="AA20" s="26">
        <f>INDEX('Old Bow'!Z2:Z37, MATCH($B$20, 'Old Bow'!$A$2:$A$37, 0))</f>
        <v>2</v>
      </c>
      <c r="AB20" s="26">
        <f>INDEX('Old Bow'!Y2:Y37, MATCH($B$20, 'Old Bow'!$A$2:$A$37, 0))</f>
        <v>0</v>
      </c>
      <c r="AC20" s="14">
        <f>INDEX('Old Bow'!X2:X37, MATCH($B$20, 'Old Bow'!$A$2:$A$37, 0))</f>
        <v>0</v>
      </c>
    </row>
    <row r="21" spans="1:29" x14ac:dyDescent="0.25">
      <c r="A21" s="89"/>
      <c r="B21" s="7" t="s">
        <v>35</v>
      </c>
      <c r="C21" s="13">
        <f>INDEX('Old Bow'!D2:D37, MATCH($B$21, 'Old Bow'!$A$2:$A$37, 0))</f>
        <v>115</v>
      </c>
      <c r="D21" s="25">
        <f>INDEX('Old Bow'!E2:E37, MATCH($B$21, 'Old Bow'!$A$2:$A$37, 0))</f>
        <v>10.454545454545455</v>
      </c>
      <c r="E21" s="14">
        <f>INDEX('Old Bow'!F2:F37, MATCH($B$21, 'Old Bow'!$A$2:$A$37, 0))</f>
        <v>21</v>
      </c>
      <c r="F21" s="13">
        <f>INDEX('Old Bow'!G2:G37, MATCH($B$21, 'Old Bow'!$A$2:$A$37, 0))</f>
        <v>7</v>
      </c>
      <c r="G21" s="26">
        <f>INDEX('Old Bow'!H2:H37, MATCH($B$21, 'Old Bow'!$A$2:$A$37, 0))</f>
        <v>4</v>
      </c>
      <c r="H21" s="27">
        <f>INDEX('Old Bow'!I2:I37, MATCH($B$21, 'Old Bow'!$A$2:$A$37, 0))</f>
        <v>0.63636363636363635</v>
      </c>
      <c r="I21" s="13">
        <f>INDEX('Old Bow'!J2:J37, MATCH($B$21, 'Old Bow'!$A$2:$A$37, 0))</f>
        <v>23</v>
      </c>
      <c r="J21" s="26">
        <f>INDEX('Old Bow'!K2:K37, MATCH($B$21, 'Old Bow'!$A$2:$A$37, 0))</f>
        <v>20</v>
      </c>
      <c r="K21" s="27">
        <f>INDEX('Old Bow'!L2:L37, MATCH($B$21, 'Old Bow'!$A$2:$A$37, 0))</f>
        <v>0.53488372093023251</v>
      </c>
      <c r="L21" s="13">
        <f>INDEX('Old Bow'!M2:M37, MATCH($B$21, 'Old Bow'!$A$2:$A$37, 0))</f>
        <v>93</v>
      </c>
      <c r="M21" s="26">
        <f>INDEX('Old Bow'!N2:N37, MATCH($B$21, 'Old Bow'!$A$2:$A$37, 0))</f>
        <v>80</v>
      </c>
      <c r="N21" s="27">
        <f>INDEX('Old Bow'!O2:O37, MATCH($B$21, 'Old Bow'!$A$2:$A$37, 0))</f>
        <v>0.53757225433526012</v>
      </c>
      <c r="O21" s="13">
        <f>INDEX('Old Bow'!AA2:AA37, MATCH($B$21, 'Old Bow'!$A$2:$A$37, 0))</f>
        <v>4</v>
      </c>
      <c r="P21" s="26">
        <f>INDEX('Old Bow'!R2:R37, MATCH($B$21, 'Old Bow'!$A$2:$A$37, 0))</f>
        <v>0</v>
      </c>
      <c r="Q21" s="26">
        <f>INDEX('Old Bow'!AC2:AC37, MATCH($B$21, 'Old Bow'!$A$2:$A$37, 0))</f>
        <v>1</v>
      </c>
      <c r="R21" s="26">
        <f>INDEX('Old Bow'!Q2:Q37, MATCH($B$21, 'Old Bow'!$A$2:$A$37, 0))</f>
        <v>2</v>
      </c>
      <c r="S21" s="26">
        <f>INDEX('Old Bow'!AB2:AB37, MATCH($B$21, 'Old Bow'!$A$2:$A$37, 0))</f>
        <v>3</v>
      </c>
      <c r="T21" s="26">
        <f>INDEX('Old Bow'!W2:W37, MATCH($B$21, 'Old Bow'!$A$2:$A$37, 0))</f>
        <v>0</v>
      </c>
      <c r="U21" s="26">
        <f>INDEX('Old Bow'!U2:U37, MATCH($B$21, 'Old Bow'!$A$2:$A$37, 0))</f>
        <v>5</v>
      </c>
      <c r="V21" s="26">
        <f>INDEX('Old Bow'!S2:S37, MATCH($B$21, 'Old Bow'!$A$2:$A$37, 0))</f>
        <v>3</v>
      </c>
      <c r="W21" s="26">
        <f>INDEX('Old Bow'!V2:V37, MATCH($B$21, 'Old Bow'!$A$2:$A$37, 0))</f>
        <v>0</v>
      </c>
      <c r="X21" s="26">
        <f>INDEX('Old Bow'!AD2:AD37, MATCH($B$21, 'Old Bow'!$A$2:$A$37, 0))</f>
        <v>3</v>
      </c>
      <c r="Y21" s="26">
        <f>INDEX('Old Bow'!P2:P37, MATCH($B$21, 'Old Bow'!$A$2:$A$37, 0))</f>
        <v>2</v>
      </c>
      <c r="Z21" s="26">
        <f>INDEX('Old Bow'!T2:T37, MATCH($B$21, 'Old Bow'!$A$2:$A$37, 0))</f>
        <v>0</v>
      </c>
      <c r="AA21" s="26">
        <f>INDEX('Old Bow'!Z2:Z37, MATCH($B$21, 'Old Bow'!$A$2:$A$37, 0))</f>
        <v>0</v>
      </c>
      <c r="AB21" s="26">
        <f>INDEX('Old Bow'!Y2:Y37, MATCH($B$21, 'Old Bow'!$A$2:$A$37, 0))</f>
        <v>0</v>
      </c>
      <c r="AC21" s="14">
        <f>INDEX('Old Bow'!X2:X37, MATCH($B$21, 'Old Bow'!$A$2:$A$37, 0))</f>
        <v>0</v>
      </c>
    </row>
    <row r="22" spans="1:29" x14ac:dyDescent="0.25">
      <c r="A22" s="89"/>
      <c r="B22" s="7" t="s">
        <v>29</v>
      </c>
      <c r="C22" s="13">
        <f>INDEX('Old Bow'!D2:D37, MATCH($B$22, 'Old Bow'!$A$2:$A$37, 0))</f>
        <v>152</v>
      </c>
      <c r="D22" s="25">
        <f>INDEX('Old Bow'!E2:E37, MATCH($B$22, 'Old Bow'!$A$2:$A$37, 0))</f>
        <v>9.5</v>
      </c>
      <c r="E22" s="14">
        <f>INDEX('Old Bow'!F2:F37, MATCH($B$22, 'Old Bow'!$A$2:$A$37, 0))</f>
        <v>21</v>
      </c>
      <c r="F22" s="13">
        <f>INDEX('Old Bow'!G2:G37, MATCH($B$22, 'Old Bow'!$A$2:$A$37, 0))</f>
        <v>8</v>
      </c>
      <c r="G22" s="26">
        <f>INDEX('Old Bow'!H2:H37, MATCH($B$22, 'Old Bow'!$A$2:$A$37, 0))</f>
        <v>8</v>
      </c>
      <c r="H22" s="27">
        <f>INDEX('Old Bow'!I2:I37, MATCH($B$22, 'Old Bow'!$A$2:$A$37, 0))</f>
        <v>0.5</v>
      </c>
      <c r="I22" s="13">
        <f>INDEX('Old Bow'!J2:J37, MATCH($B$22, 'Old Bow'!$A$2:$A$37, 0))</f>
        <v>31</v>
      </c>
      <c r="J22" s="26">
        <f>INDEX('Old Bow'!K2:K37, MATCH($B$22, 'Old Bow'!$A$2:$A$37, 0))</f>
        <v>33</v>
      </c>
      <c r="K22" s="27">
        <f>INDEX('Old Bow'!L2:L37, MATCH($B$22, 'Old Bow'!$A$2:$A$37, 0))</f>
        <v>0.484375</v>
      </c>
      <c r="L22" s="13">
        <f>INDEX('Old Bow'!M2:M37, MATCH($B$22, 'Old Bow'!$A$2:$A$37, 0))</f>
        <v>133</v>
      </c>
      <c r="M22" s="26">
        <f>INDEX('Old Bow'!N2:N37, MATCH($B$22, 'Old Bow'!$A$2:$A$37, 0))</f>
        <v>135</v>
      </c>
      <c r="N22" s="27">
        <f>INDEX('Old Bow'!O2:O37, MATCH($B$22, 'Old Bow'!$A$2:$A$37, 0))</f>
        <v>0.4962686567164179</v>
      </c>
      <c r="O22" s="13">
        <f>INDEX('Old Bow'!AA2:AA37, MATCH($B$22, 'Old Bow'!$A$2:$A$37, 0))</f>
        <v>4</v>
      </c>
      <c r="P22" s="26">
        <f>INDEX('Old Bow'!R2:R37, MATCH($B$22, 'Old Bow'!$A$2:$A$37, 0))</f>
        <v>1</v>
      </c>
      <c r="Q22" s="26">
        <f>INDEX('Old Bow'!AC2:AC37, MATCH($B$22, 'Old Bow'!$A$2:$A$37, 0))</f>
        <v>2</v>
      </c>
      <c r="R22" s="26">
        <f>INDEX('Old Bow'!Q2:Q37, MATCH($B$22, 'Old Bow'!$A$2:$A$37, 0))</f>
        <v>2</v>
      </c>
      <c r="S22" s="26">
        <f>INDEX('Old Bow'!AB2:AB37, MATCH($B$22, 'Old Bow'!$A$2:$A$37, 0))</f>
        <v>6</v>
      </c>
      <c r="T22" s="26">
        <f>INDEX('Old Bow'!W2:W37, MATCH($B$22, 'Old Bow'!$A$2:$A$37, 0))</f>
        <v>0</v>
      </c>
      <c r="U22" s="26">
        <f>INDEX('Old Bow'!U2:U37, MATCH($B$22, 'Old Bow'!$A$2:$A$37, 0))</f>
        <v>3</v>
      </c>
      <c r="V22" s="26">
        <f>INDEX('Old Bow'!S2:S37, MATCH($B$22, 'Old Bow'!$A$2:$A$37, 0))</f>
        <v>3</v>
      </c>
      <c r="W22" s="26">
        <f>INDEX('Old Bow'!V2:V37, MATCH($B$22, 'Old Bow'!$A$2:$A$37, 0))</f>
        <v>1</v>
      </c>
      <c r="X22" s="26">
        <f>INDEX('Old Bow'!AD2:AD37, MATCH($B$22, 'Old Bow'!$A$2:$A$37, 0))</f>
        <v>5</v>
      </c>
      <c r="Y22" s="26">
        <f>INDEX('Old Bow'!P2:P37, MATCH($B$22, 'Old Bow'!$A$2:$A$37, 0))</f>
        <v>2</v>
      </c>
      <c r="Z22" s="26">
        <f>INDEX('Old Bow'!T2:T37, MATCH($B$22, 'Old Bow'!$A$2:$A$37, 0))</f>
        <v>1</v>
      </c>
      <c r="AA22" s="26">
        <f>INDEX('Old Bow'!Z2:Z37, MATCH($B$22, 'Old Bow'!$A$2:$A$37, 0))</f>
        <v>1</v>
      </c>
      <c r="AB22" s="26">
        <f>INDEX('Old Bow'!Y2:Y37, MATCH($B$22, 'Old Bow'!$A$2:$A$37, 0))</f>
        <v>0</v>
      </c>
      <c r="AC22" s="14">
        <f>INDEX('Old Bow'!X2:X37, MATCH($B$22, 'Old Bow'!$A$2:$A$37, 0))</f>
        <v>0</v>
      </c>
    </row>
    <row r="23" spans="1:29" x14ac:dyDescent="0.25">
      <c r="A23" s="89"/>
      <c r="B23" s="7" t="s">
        <v>80</v>
      </c>
      <c r="C23" s="13">
        <f>INDEX('Old Bow'!D2:D37, MATCH($B$23, 'Old Bow'!$A$2:$A$37, 0))</f>
        <v>0</v>
      </c>
      <c r="D23" s="25">
        <f>INDEX('Old Bow'!E2:E37, MATCH($B$23, 'Old Bow'!$A$2:$A$37, 0))</f>
        <v>0</v>
      </c>
      <c r="E23" s="14">
        <f>INDEX('Old Bow'!F2:F37, MATCH($B$23, 'Old Bow'!$A$2:$A$37, 0))</f>
        <v>0</v>
      </c>
      <c r="F23" s="13">
        <f>INDEX('Old Bow'!G2:G37, MATCH($B$23, 'Old Bow'!$A$2:$A$37, 0))</f>
        <v>0</v>
      </c>
      <c r="G23" s="26">
        <f>INDEX('Old Bow'!H2:H37, MATCH($B$23, 'Old Bow'!$A$2:$A$37, 0))</f>
        <v>0</v>
      </c>
      <c r="H23" s="27" t="str">
        <f>INDEX('Old Bow'!I2:I37, MATCH($B$23, 'Old Bow'!$A$2:$A$37, 0))</f>
        <v>-</v>
      </c>
      <c r="I23" s="13">
        <f>INDEX('Old Bow'!J2:J37, MATCH($B$23, 'Old Bow'!$A$2:$A$37, 0))</f>
        <v>0</v>
      </c>
      <c r="J23" s="26">
        <f>INDEX('Old Bow'!K2:K37, MATCH($B$23, 'Old Bow'!$A$2:$A$37, 0))</f>
        <v>0</v>
      </c>
      <c r="K23" s="27" t="str">
        <f>INDEX('Old Bow'!L2:L37, MATCH($B$23, 'Old Bow'!$A$2:$A$37, 0))</f>
        <v>-</v>
      </c>
      <c r="L23" s="13">
        <f>INDEX('Old Bow'!M2:M37, MATCH($B$23, 'Old Bow'!$A$2:$A$37, 0))</f>
        <v>0</v>
      </c>
      <c r="M23" s="26">
        <f>INDEX('Old Bow'!N2:N37, MATCH($B$23, 'Old Bow'!$A$2:$A$37, 0))</f>
        <v>0</v>
      </c>
      <c r="N23" s="27" t="str">
        <f>INDEX('Old Bow'!O2:O37, MATCH($B$23, 'Old Bow'!$A$2:$A$37, 0))</f>
        <v>-</v>
      </c>
      <c r="O23" s="13">
        <f>INDEX('Old Bow'!AA2:AA37, MATCH($B$23, 'Old Bow'!$A$2:$A$37, 0))</f>
        <v>0</v>
      </c>
      <c r="P23" s="26">
        <f>INDEX('Old Bow'!R2:R37, MATCH($B$23, 'Old Bow'!$A$2:$A$37, 0))</f>
        <v>0</v>
      </c>
      <c r="Q23" s="26">
        <f>INDEX('Old Bow'!AC2:AC37, MATCH($B$23, 'Old Bow'!$A$2:$A$37, 0))</f>
        <v>0</v>
      </c>
      <c r="R23" s="26">
        <f>INDEX('Old Bow'!Q2:Q37, MATCH($B$23, 'Old Bow'!$A$2:$A$37, 0))</f>
        <v>0</v>
      </c>
      <c r="S23" s="26">
        <f>INDEX('Old Bow'!AB2:AB37, MATCH($B$23, 'Old Bow'!$A$2:$A$37, 0))</f>
        <v>0</v>
      </c>
      <c r="T23" s="26">
        <f>INDEX('Old Bow'!W2:W37, MATCH($B$23, 'Old Bow'!$A$2:$A$37, 0))</f>
        <v>0</v>
      </c>
      <c r="U23" s="26">
        <f>INDEX('Old Bow'!U2:U37, MATCH($B$23, 'Old Bow'!$A$2:$A$37, 0))</f>
        <v>0</v>
      </c>
      <c r="V23" s="26">
        <f>INDEX('Old Bow'!S2:S37, MATCH($B$23, 'Old Bow'!$A$2:$A$37, 0))</f>
        <v>0</v>
      </c>
      <c r="W23" s="26">
        <f>INDEX('Old Bow'!V2:V37, MATCH($B$23, 'Old Bow'!$A$2:$A$37, 0))</f>
        <v>0</v>
      </c>
      <c r="X23" s="26">
        <f>INDEX('Old Bow'!AD2:AD37, MATCH($B$23, 'Old Bow'!$A$2:$A$37, 0))</f>
        <v>0</v>
      </c>
      <c r="Y23" s="26">
        <f>INDEX('Old Bow'!P2:P37, MATCH($B$23, 'Old Bow'!$A$2:$A$37, 0))</f>
        <v>0</v>
      </c>
      <c r="Z23" s="26">
        <f>INDEX('Old Bow'!T2:T37, MATCH($B$23, 'Old Bow'!$A$2:$A$37, 0))</f>
        <v>0</v>
      </c>
      <c r="AA23" s="26">
        <f>INDEX('Old Bow'!Z2:Z37, MATCH($B$23, 'Old Bow'!$A$2:$A$37, 0))</f>
        <v>0</v>
      </c>
      <c r="AB23" s="26">
        <f>INDEX('Old Bow'!Y2:Y37, MATCH($B$23, 'Old Bow'!$A$2:$A$37, 0))</f>
        <v>0</v>
      </c>
      <c r="AC23" s="14">
        <f>INDEX('Old Bow'!X2:X37, MATCH($B$23, 'Old Bow'!$A$2:$A$37, 0))</f>
        <v>0</v>
      </c>
    </row>
    <row r="24" spans="1:29" ht="15.75" thickBot="1" x14ac:dyDescent="0.3">
      <c r="A24" s="89"/>
      <c r="B24" s="7" t="s">
        <v>80</v>
      </c>
      <c r="C24" s="17">
        <f>INDEX('Old Bow'!D2:D37, MATCH($B$24, 'Old Bow'!$A$2:$A$37, 0))</f>
        <v>0</v>
      </c>
      <c r="D24" s="28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18">
        <f>INDEX('Old Bow'!X2:X37, MATCH($B$24, 'Old Bow'!$A$2:$A$37, 0))</f>
        <v>0</v>
      </c>
    </row>
    <row r="25" spans="1:29" x14ac:dyDescent="0.25">
      <c r="D25" s="8">
        <f>SUM(D17:D24)</f>
        <v>97.982021299956074</v>
      </c>
      <c r="H25" s="9">
        <f>AVERAGE(H17:H24)</f>
        <v>0.53281913336261166</v>
      </c>
      <c r="I25" s="1"/>
      <c r="J25" s="1"/>
      <c r="K25" s="9">
        <f>AVERAGE(K17:K24)</f>
        <v>0.51778472818381893</v>
      </c>
      <c r="N25" s="9">
        <f>AVERAGE(N17:N24)</f>
        <v>0.5176521066559151</v>
      </c>
      <c r="O25" s="5">
        <f>SUM(O17:O24)</f>
        <v>28</v>
      </c>
      <c r="P25" s="5">
        <f t="shared" ref="P25" si="1">SUM(P17:P24)</f>
        <v>5</v>
      </c>
      <c r="Q25" s="5">
        <f t="shared" ref="Q25" si="2">SUM(Q17:Q24)</f>
        <v>9</v>
      </c>
      <c r="R25" s="5">
        <f t="shared" ref="R25" si="3">SUM(R17:R24)</f>
        <v>17</v>
      </c>
      <c r="S25" s="5">
        <f t="shared" ref="S25" si="4">SUM(S17:S24)</f>
        <v>23</v>
      </c>
      <c r="T25" s="5">
        <f t="shared" ref="T25" si="5">SUM(T17:T24)</f>
        <v>2</v>
      </c>
      <c r="U25" s="5">
        <f t="shared" ref="U25" si="6">SUM(U17:U24)</f>
        <v>26</v>
      </c>
      <c r="V25" s="5">
        <f t="shared" ref="V25" si="7">SUM(V17:V24)</f>
        <v>26</v>
      </c>
      <c r="W25" s="5">
        <f t="shared" ref="W25" si="8">SUM(W17:W24)</f>
        <v>5</v>
      </c>
      <c r="X25" s="5">
        <f t="shared" ref="X25" si="9">SUM(X17:X24)</f>
        <v>22</v>
      </c>
      <c r="Y25" s="5">
        <f t="shared" ref="Y25" si="10">SUM(Y17:Y24)</f>
        <v>9</v>
      </c>
      <c r="Z25" s="5">
        <f t="shared" ref="Z25" si="11">SUM(Z17:Z24)</f>
        <v>3</v>
      </c>
      <c r="AA25" s="5">
        <f t="shared" ref="AA25" si="12">SUM(AA17:AA24)</f>
        <v>5</v>
      </c>
      <c r="AB25" s="5">
        <f t="shared" ref="AB25" si="13">SUM(AB17:AB24)</f>
        <v>1</v>
      </c>
      <c r="AC25" s="5">
        <f t="shared" ref="AC25" si="14">SUM(AC17:AC24)</f>
        <v>1</v>
      </c>
    </row>
    <row r="28" spans="1:29" ht="15.75" thickBot="1" x14ac:dyDescent="0.3">
      <c r="B28" s="19"/>
      <c r="C28" s="19"/>
      <c r="D28" s="19"/>
    </row>
    <row r="29" spans="1:29" ht="15.75" thickBot="1" x14ac:dyDescent="0.3">
      <c r="B29" s="2"/>
      <c r="C29" s="10" t="s">
        <v>81</v>
      </c>
      <c r="D29" s="11" t="s">
        <v>82</v>
      </c>
    </row>
    <row r="30" spans="1:29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29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29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/>
      </c>
      <c r="D33" s="14" t="str">
        <f>IF(C33="✔", "", "✔")</f>
        <v>✔</v>
      </c>
    </row>
    <row r="34" spans="2:4" ht="18.75" customHeight="1" x14ac:dyDescent="0.25">
      <c r="B34" s="15" t="s">
        <v>86</v>
      </c>
      <c r="C34" s="13" t="str">
        <f>INDEX(O2:AC2, MATCH(LARGE(O11:AC11, 1), O11:AC11, 0))</f>
        <v>Garage</v>
      </c>
      <c r="D34" s="14" t="str">
        <f>INDEX(O16:AC16, MATCH(LARGE(O25:AC25, 1), O25:AC25, 0))</f>
        <v>Scharins</v>
      </c>
    </row>
    <row r="35" spans="2:4" x14ac:dyDescent="0.25">
      <c r="B35" s="15" t="s">
        <v>87</v>
      </c>
      <c r="C35" s="13" t="str">
        <f>INDEX(O2:AC2, MATCH(LARGE(O11:AC11, 2), O11:AC11, 0))</f>
        <v>Training</v>
      </c>
      <c r="D35" s="14" t="str">
        <f>INDEX(O16:AC16, MATCH(LARGE(O25:AC25, 2), O25:AC25, 0))</f>
        <v>Garage</v>
      </c>
    </row>
    <row r="36" spans="2:4" ht="15.75" thickBot="1" x14ac:dyDescent="0.3">
      <c r="B36" s="16" t="s">
        <v>88</v>
      </c>
      <c r="C36" s="17" t="str">
        <f>INDEX(O2:AC2, MATCH(LARGE(O11:AC11, 3), O11:AC11, 0))</f>
        <v>Warehouse</v>
      </c>
      <c r="D36" s="18" t="str">
        <f>INDEX(O16:AC16, MATCH(LARGE(O25:AC25, 3), O25:AC25, 0))</f>
        <v>Garage</v>
      </c>
    </row>
  </sheetData>
  <mergeCells count="12">
    <mergeCell ref="A17:A24"/>
    <mergeCell ref="F1:H1"/>
    <mergeCell ref="I1:K1"/>
    <mergeCell ref="L1:N1"/>
    <mergeCell ref="O1:AC1"/>
    <mergeCell ref="A3:A10"/>
    <mergeCell ref="C1:E1"/>
    <mergeCell ref="C15:E15"/>
    <mergeCell ref="F15:H15"/>
    <mergeCell ref="I15:K15"/>
    <mergeCell ref="L15:N15"/>
    <mergeCell ref="O15:AC15"/>
  </mergeCells>
  <conditionalFormatting sqref="O11:AC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C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1230AC31-4C56-4282-AF17-096659853BE1}">
          <x14:formula1>
            <xm:f>'Old Bow'!$A$2:$A$37</xm:f>
          </x14:formula1>
          <xm:sqref>B17:B24</xm:sqref>
        </x14:dataValidation>
        <x14:dataValidation type="list" allowBlank="1" showErrorMessage="1" promptTitle="Select Player Name" prompt="Select Player Name" xr:uid="{3EAC1923-3D6C-4679-962B-736DC0F03553}">
          <x14:formula1>
            <xm:f>'Old Bow'!$A$2:$A$37</xm:f>
          </x14:formula1>
          <xm:sqref>B3:B10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149F3A-41D8-4DA9-BFC4-DDE1AD24595A}">
  <dimension ref="A1:AC330"/>
  <sheetViews>
    <sheetView workbookViewId="0">
      <pane ySplit="1" topLeftCell="A299" activePane="bottomLeft" state="frozen"/>
      <selection pane="bottomLeft" activeCell="L333" sqref="L332:L333"/>
    </sheetView>
  </sheetViews>
  <sheetFormatPr defaultRowHeight="15" x14ac:dyDescent="0.25"/>
  <cols>
    <col min="1" max="1" width="10.140625" bestFit="1" customWidth="1"/>
    <col min="2" max="2" width="10.7109375" bestFit="1" customWidth="1"/>
    <col min="3" max="3" width="9.140625" style="95"/>
    <col min="4" max="4" width="9.140625" style="86"/>
    <col min="11" max="12" width="10.28515625" bestFit="1" customWidth="1"/>
    <col min="13" max="13" width="10" bestFit="1" customWidth="1"/>
    <col min="14" max="14" width="10.28515625" bestFit="1" customWidth="1"/>
    <col min="15" max="15" width="5.85546875" bestFit="1" customWidth="1"/>
    <col min="25" max="25" width="11.42578125" bestFit="1" customWidth="1"/>
  </cols>
  <sheetData>
    <row r="1" spans="1:29" ht="45" x14ac:dyDescent="0.25">
      <c r="A1" s="83" t="s">
        <v>126</v>
      </c>
      <c r="B1" s="83" t="s">
        <v>0</v>
      </c>
      <c r="C1" s="96" t="s">
        <v>7</v>
      </c>
      <c r="D1" s="94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83" t="s">
        <v>41</v>
      </c>
      <c r="L1" s="83" t="s">
        <v>12</v>
      </c>
      <c r="M1" s="83" t="s">
        <v>10</v>
      </c>
      <c r="N1" s="83" t="s">
        <v>33</v>
      </c>
      <c r="O1" s="83" t="s">
        <v>48</v>
      </c>
      <c r="P1" s="83" t="s">
        <v>32</v>
      </c>
      <c r="Q1" s="83" t="s">
        <v>65</v>
      </c>
      <c r="R1" s="83" t="s">
        <v>31</v>
      </c>
      <c r="S1" s="83" t="s">
        <v>58</v>
      </c>
      <c r="T1" s="83" t="s">
        <v>57</v>
      </c>
      <c r="U1" s="83" t="s">
        <v>56</v>
      </c>
      <c r="V1" s="83" t="s">
        <v>9</v>
      </c>
      <c r="W1" s="83" t="s">
        <v>30</v>
      </c>
      <c r="X1" s="83" t="s">
        <v>11</v>
      </c>
      <c r="Y1" s="83" t="s">
        <v>39</v>
      </c>
      <c r="Z1" s="83" t="s">
        <v>134</v>
      </c>
      <c r="AA1" s="83" t="s">
        <v>132</v>
      </c>
      <c r="AB1" s="83" t="s">
        <v>133</v>
      </c>
      <c r="AC1" s="84" t="s">
        <v>136</v>
      </c>
    </row>
    <row r="2" spans="1:29" x14ac:dyDescent="0.25">
      <c r="A2" s="85">
        <v>46023</v>
      </c>
      <c r="B2" t="s">
        <v>17</v>
      </c>
      <c r="C2" s="95">
        <v>30</v>
      </c>
      <c r="D2">
        <v>1</v>
      </c>
      <c r="E2">
        <v>4</v>
      </c>
      <c r="F2">
        <v>3</v>
      </c>
      <c r="G2">
        <v>16</v>
      </c>
      <c r="H2">
        <v>10</v>
      </c>
      <c r="I2">
        <v>0.75</v>
      </c>
      <c r="J2">
        <v>0.63</v>
      </c>
      <c r="K2">
        <v>1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1</v>
      </c>
      <c r="W2">
        <v>0</v>
      </c>
      <c r="X2">
        <v>1</v>
      </c>
      <c r="Y2">
        <v>0</v>
      </c>
      <c r="Z2">
        <f>AVERAGEIFS($C$2:C2, $B$2:B2, B2)</f>
        <v>30</v>
      </c>
      <c r="AA2">
        <f>AVERAGEIFS($I$2:I2, $B$2:B2, B2)</f>
        <v>0.75</v>
      </c>
      <c r="AB2">
        <f>AVERAGEIFS($J$2:J2, $B$2:B2, B2)</f>
        <v>0.63</v>
      </c>
      <c r="AC2">
        <f>AVERAGEIFS($D$2:D2, $B$2:B2, B2)</f>
        <v>1</v>
      </c>
    </row>
    <row r="3" spans="1:29" x14ac:dyDescent="0.25">
      <c r="A3" s="85">
        <v>46023</v>
      </c>
      <c r="B3" t="s">
        <v>2</v>
      </c>
      <c r="C3" s="95">
        <v>28</v>
      </c>
      <c r="D3">
        <v>1</v>
      </c>
      <c r="E3">
        <v>4</v>
      </c>
      <c r="F3">
        <v>3</v>
      </c>
      <c r="G3">
        <v>16</v>
      </c>
      <c r="H3">
        <v>10</v>
      </c>
      <c r="I3">
        <v>0.75</v>
      </c>
      <c r="J3">
        <v>0.63</v>
      </c>
      <c r="K3">
        <v>1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1</v>
      </c>
      <c r="W3">
        <v>0</v>
      </c>
      <c r="X3">
        <v>1</v>
      </c>
      <c r="Y3">
        <v>0</v>
      </c>
      <c r="Z3">
        <f>AVERAGEIFS($C$2:C3, $B$2:B3, B3)</f>
        <v>28</v>
      </c>
      <c r="AA3">
        <f>AVERAGEIFS($I$2:I3, $B$2:B3, B3)</f>
        <v>0.75</v>
      </c>
      <c r="AB3">
        <f>AVERAGEIFS($J$2:J3, $B$2:B3, B3)</f>
        <v>0.63</v>
      </c>
      <c r="AC3">
        <f>AVERAGEIFS($D$2:D3, $B$2:B3, B3)</f>
        <v>1</v>
      </c>
    </row>
    <row r="4" spans="1:29" x14ac:dyDescent="0.25">
      <c r="A4" s="85">
        <v>46023</v>
      </c>
      <c r="B4" t="s">
        <v>3</v>
      </c>
      <c r="C4" s="95">
        <v>26</v>
      </c>
      <c r="D4">
        <v>1</v>
      </c>
      <c r="E4">
        <v>4</v>
      </c>
      <c r="F4">
        <v>3</v>
      </c>
      <c r="G4">
        <v>16</v>
      </c>
      <c r="H4">
        <v>10</v>
      </c>
      <c r="I4">
        <v>0.75</v>
      </c>
      <c r="J4">
        <v>0.63</v>
      </c>
      <c r="K4">
        <v>1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</v>
      </c>
      <c r="W4">
        <v>0</v>
      </c>
      <c r="X4">
        <v>1</v>
      </c>
      <c r="Y4">
        <v>0</v>
      </c>
      <c r="Z4">
        <f>AVERAGEIFS($C$2:C4, $B$2:B4, B4)</f>
        <v>26</v>
      </c>
      <c r="AA4">
        <f>AVERAGEIFS($I$2:I4, $B$2:B4, B4)</f>
        <v>0.75</v>
      </c>
      <c r="AB4">
        <f>AVERAGEIFS($J$2:J4, $B$2:B4, B4)</f>
        <v>0.63</v>
      </c>
      <c r="AC4">
        <f>AVERAGEIFS($D$2:D4, $B$2:B4, B4)</f>
        <v>1</v>
      </c>
    </row>
    <row r="5" spans="1:29" x14ac:dyDescent="0.25">
      <c r="A5" s="85">
        <v>46023</v>
      </c>
      <c r="B5" t="s">
        <v>14</v>
      </c>
      <c r="C5" s="95">
        <v>25</v>
      </c>
      <c r="D5">
        <v>1</v>
      </c>
      <c r="E5">
        <v>4</v>
      </c>
      <c r="F5">
        <v>3</v>
      </c>
      <c r="G5">
        <v>16</v>
      </c>
      <c r="H5">
        <v>10</v>
      </c>
      <c r="I5">
        <v>0.75</v>
      </c>
      <c r="J5">
        <v>0.63</v>
      </c>
      <c r="K5">
        <v>1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0</v>
      </c>
      <c r="X5">
        <v>1</v>
      </c>
      <c r="Y5">
        <v>0</v>
      </c>
      <c r="Z5">
        <f>AVERAGEIFS($C$2:C5, $B$2:B5, B5)</f>
        <v>25</v>
      </c>
      <c r="AA5">
        <f>AVERAGEIFS($I$2:I5, $B$2:B5, B5)</f>
        <v>0.75</v>
      </c>
      <c r="AB5">
        <f>AVERAGEIFS($J$2:J5, $B$2:B5, B5)</f>
        <v>0.63</v>
      </c>
      <c r="AC5">
        <f>AVERAGEIFS($D$2:D5, $B$2:B5, B5)</f>
        <v>1</v>
      </c>
    </row>
    <row r="6" spans="1:29" x14ac:dyDescent="0.25">
      <c r="A6" s="85">
        <v>46023</v>
      </c>
      <c r="B6" t="s">
        <v>35</v>
      </c>
      <c r="C6" s="95">
        <v>21</v>
      </c>
      <c r="D6">
        <v>1</v>
      </c>
      <c r="E6">
        <v>4</v>
      </c>
      <c r="F6">
        <v>3</v>
      </c>
      <c r="G6">
        <v>16</v>
      </c>
      <c r="H6">
        <v>10</v>
      </c>
      <c r="I6">
        <v>0.75</v>
      </c>
      <c r="J6">
        <v>0.63</v>
      </c>
      <c r="K6">
        <v>1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0</v>
      </c>
      <c r="X6">
        <v>1</v>
      </c>
      <c r="Y6">
        <v>0</v>
      </c>
      <c r="Z6">
        <f>AVERAGEIFS($C$2:C6, $B$2:B6, B6)</f>
        <v>21</v>
      </c>
      <c r="AA6">
        <f>AVERAGEIFS($I$2:I6, $B$2:B6, B6)</f>
        <v>0.75</v>
      </c>
      <c r="AB6">
        <f>AVERAGEIFS($J$2:J6, $B$2:B6, B6)</f>
        <v>0.63</v>
      </c>
      <c r="AC6">
        <f>AVERAGEIFS($D$2:D6, $B$2:B6, B6)</f>
        <v>1</v>
      </c>
    </row>
    <row r="7" spans="1:29" x14ac:dyDescent="0.25">
      <c r="A7" s="85">
        <v>46023</v>
      </c>
      <c r="B7" t="s">
        <v>51</v>
      </c>
      <c r="C7" s="95">
        <v>14</v>
      </c>
      <c r="D7">
        <v>1</v>
      </c>
      <c r="E7">
        <v>4</v>
      </c>
      <c r="F7">
        <v>3</v>
      </c>
      <c r="G7">
        <v>16</v>
      </c>
      <c r="H7">
        <v>10</v>
      </c>
      <c r="I7">
        <v>0.75</v>
      </c>
      <c r="J7">
        <v>0.63</v>
      </c>
      <c r="K7">
        <v>1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0</v>
      </c>
      <c r="X7">
        <v>1</v>
      </c>
      <c r="Y7">
        <v>0</v>
      </c>
      <c r="Z7">
        <f>AVERAGEIFS($C$2:C7, $B$2:B7, B7)</f>
        <v>14</v>
      </c>
      <c r="AA7">
        <f>AVERAGEIFS($I$2:I7, $B$2:B7, B7)</f>
        <v>0.75</v>
      </c>
      <c r="AB7">
        <f>AVERAGEIFS($J$2:J7, $B$2:B7, B7)</f>
        <v>0.63</v>
      </c>
      <c r="AC7">
        <f>AVERAGEIFS($D$2:D7, $B$2:B7, B7)</f>
        <v>1</v>
      </c>
    </row>
    <row r="8" spans="1:29" x14ac:dyDescent="0.25">
      <c r="A8" s="85">
        <v>46023</v>
      </c>
      <c r="B8" t="s">
        <v>29</v>
      </c>
      <c r="C8" s="95">
        <v>12</v>
      </c>
      <c r="D8">
        <v>1</v>
      </c>
      <c r="E8">
        <v>4</v>
      </c>
      <c r="F8">
        <v>3</v>
      </c>
      <c r="G8">
        <v>16</v>
      </c>
      <c r="H8">
        <v>10</v>
      </c>
      <c r="I8">
        <v>0.75</v>
      </c>
      <c r="J8">
        <v>0.63</v>
      </c>
      <c r="K8">
        <v>1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0</v>
      </c>
      <c r="X8">
        <v>1</v>
      </c>
      <c r="Y8">
        <v>0</v>
      </c>
      <c r="Z8">
        <f>AVERAGEIFS($C$2:C8, $B$2:B8, B8)</f>
        <v>12</v>
      </c>
      <c r="AA8">
        <f>AVERAGEIFS($I$2:I8, $B$2:B8, B8)</f>
        <v>0.75</v>
      </c>
      <c r="AB8">
        <f>AVERAGEIFS($J$2:J8, $B$2:B8, B8)</f>
        <v>0.63</v>
      </c>
      <c r="AC8">
        <f>AVERAGEIFS($D$2:D8, $B$2:B8, B8)</f>
        <v>1</v>
      </c>
    </row>
    <row r="9" spans="1:29" x14ac:dyDescent="0.25">
      <c r="A9" s="85">
        <v>46023</v>
      </c>
      <c r="B9" t="s">
        <v>55</v>
      </c>
      <c r="C9" s="95">
        <v>10</v>
      </c>
      <c r="D9">
        <v>1</v>
      </c>
      <c r="E9">
        <v>4</v>
      </c>
      <c r="F9">
        <v>3</v>
      </c>
      <c r="G9">
        <v>16</v>
      </c>
      <c r="H9">
        <v>10</v>
      </c>
      <c r="I9">
        <v>0.75</v>
      </c>
      <c r="J9">
        <v>0.63</v>
      </c>
      <c r="K9">
        <v>1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0</v>
      </c>
      <c r="X9">
        <v>1</v>
      </c>
      <c r="Y9">
        <v>0</v>
      </c>
      <c r="Z9">
        <f>AVERAGEIFS($C$2:C9, $B$2:B9, B9)</f>
        <v>10</v>
      </c>
      <c r="AA9">
        <f>AVERAGEIFS($I$2:I9, $B$2:B9, B9)</f>
        <v>0.75</v>
      </c>
      <c r="AB9">
        <f>AVERAGEIFS($J$2:J9, $B$2:B9, B9)</f>
        <v>0.63</v>
      </c>
      <c r="AC9">
        <f>AVERAGEIFS($D$2:D9, $B$2:B9, B9)</f>
        <v>1</v>
      </c>
    </row>
    <row r="10" spans="1:29" x14ac:dyDescent="0.25">
      <c r="A10" s="85">
        <v>46023</v>
      </c>
      <c r="B10" t="s">
        <v>15</v>
      </c>
      <c r="C10" s="95">
        <v>35</v>
      </c>
      <c r="D10">
        <v>0</v>
      </c>
      <c r="E10">
        <v>4</v>
      </c>
      <c r="F10">
        <v>1</v>
      </c>
      <c r="G10">
        <v>16</v>
      </c>
      <c r="H10">
        <v>6</v>
      </c>
      <c r="I10">
        <v>0.25</v>
      </c>
      <c r="J10">
        <v>0.38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f>AVERAGEIFS($C$2:C10, $B$2:B10, B10)</f>
        <v>35</v>
      </c>
      <c r="AA10">
        <f>AVERAGEIFS($I$2:I10, $B$2:B10, B10)</f>
        <v>0.25</v>
      </c>
      <c r="AB10">
        <f>AVERAGEIFS($J$2:J10, $B$2:B10, B10)</f>
        <v>0.38</v>
      </c>
      <c r="AC10">
        <f>AVERAGEIFS($D$2:D10, $B$2:B10, B10)</f>
        <v>0</v>
      </c>
    </row>
    <row r="11" spans="1:29" x14ac:dyDescent="0.25">
      <c r="A11" s="85">
        <v>46023</v>
      </c>
      <c r="B11" t="s">
        <v>5</v>
      </c>
      <c r="C11" s="95">
        <v>23</v>
      </c>
      <c r="D11">
        <v>0</v>
      </c>
      <c r="E11">
        <v>4</v>
      </c>
      <c r="F11">
        <v>1</v>
      </c>
      <c r="G11">
        <v>16</v>
      </c>
      <c r="H11">
        <v>6</v>
      </c>
      <c r="I11">
        <v>0.25</v>
      </c>
      <c r="J11">
        <v>0.38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f>AVERAGEIFS($C$2:C11, $B$2:B11, B11)</f>
        <v>23</v>
      </c>
      <c r="AA11">
        <f>AVERAGEIFS($I$2:I11, $B$2:B11, B11)</f>
        <v>0.25</v>
      </c>
      <c r="AB11">
        <f>AVERAGEIFS($J$2:J11, $B$2:B11, B11)</f>
        <v>0.38</v>
      </c>
      <c r="AC11">
        <f>AVERAGEIFS($D$2:D11, $B$2:B11, B11)</f>
        <v>0</v>
      </c>
    </row>
    <row r="12" spans="1:29" x14ac:dyDescent="0.25">
      <c r="A12" s="85">
        <v>46023</v>
      </c>
      <c r="B12" t="s">
        <v>37</v>
      </c>
      <c r="C12" s="95">
        <v>20</v>
      </c>
      <c r="D12">
        <v>0</v>
      </c>
      <c r="E12">
        <v>4</v>
      </c>
      <c r="F12">
        <v>1</v>
      </c>
      <c r="G12">
        <v>16</v>
      </c>
      <c r="H12">
        <v>6</v>
      </c>
      <c r="I12">
        <v>0.25</v>
      </c>
      <c r="J12">
        <v>0.38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f>AVERAGEIFS($C$2:C12, $B$2:B12, B12)</f>
        <v>20</v>
      </c>
      <c r="AA12">
        <f>AVERAGEIFS($I$2:I12, $B$2:B12, B12)</f>
        <v>0.25</v>
      </c>
      <c r="AB12">
        <f>AVERAGEIFS($J$2:J12, $B$2:B12, B12)</f>
        <v>0.38</v>
      </c>
      <c r="AC12">
        <f>AVERAGEIFS($D$2:D12, $B$2:B12, B12)</f>
        <v>0</v>
      </c>
    </row>
    <row r="13" spans="1:29" x14ac:dyDescent="0.25">
      <c r="A13" s="85">
        <v>46023</v>
      </c>
      <c r="B13" t="s">
        <v>1</v>
      </c>
      <c r="C13" s="95">
        <v>19</v>
      </c>
      <c r="D13">
        <v>0</v>
      </c>
      <c r="E13">
        <v>4</v>
      </c>
      <c r="F13">
        <v>1</v>
      </c>
      <c r="G13">
        <v>16</v>
      </c>
      <c r="H13">
        <v>6</v>
      </c>
      <c r="I13">
        <v>0.25</v>
      </c>
      <c r="J13">
        <v>0.38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f>AVERAGEIFS($C$2:C13, $B$2:B13, B13)</f>
        <v>19</v>
      </c>
      <c r="AA13">
        <f>AVERAGEIFS($I$2:I13, $B$2:B13, B13)</f>
        <v>0.25</v>
      </c>
      <c r="AB13">
        <f>AVERAGEIFS($J$2:J13, $B$2:B13, B13)</f>
        <v>0.38</v>
      </c>
      <c r="AC13">
        <f>AVERAGEIFS($D$2:D13, $B$2:B13, B13)</f>
        <v>0</v>
      </c>
    </row>
    <row r="14" spans="1:29" x14ac:dyDescent="0.25">
      <c r="A14" s="85">
        <v>46023</v>
      </c>
      <c r="B14" t="s">
        <v>13</v>
      </c>
      <c r="C14" s="95">
        <v>19</v>
      </c>
      <c r="D14">
        <v>0</v>
      </c>
      <c r="E14">
        <v>4</v>
      </c>
      <c r="F14">
        <v>1</v>
      </c>
      <c r="G14">
        <v>16</v>
      </c>
      <c r="H14">
        <v>6</v>
      </c>
      <c r="I14">
        <v>0.25</v>
      </c>
      <c r="J14">
        <v>0.38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1</v>
      </c>
      <c r="Z14">
        <f>AVERAGEIFS($C$2:C14, $B$2:B14, B14)</f>
        <v>19</v>
      </c>
      <c r="AA14">
        <f>AVERAGEIFS($I$2:I14, $B$2:B14, B14)</f>
        <v>0.25</v>
      </c>
      <c r="AB14">
        <f>AVERAGEIFS($J$2:J14, $B$2:B14, B14)</f>
        <v>0.38</v>
      </c>
      <c r="AC14">
        <f>AVERAGEIFS($D$2:D14, $B$2:B14, B14)</f>
        <v>0</v>
      </c>
    </row>
    <row r="15" spans="1:29" x14ac:dyDescent="0.25">
      <c r="A15" s="85">
        <v>46023</v>
      </c>
      <c r="B15" t="s">
        <v>28</v>
      </c>
      <c r="C15" s="95">
        <v>11</v>
      </c>
      <c r="D15">
        <v>0</v>
      </c>
      <c r="E15">
        <v>4</v>
      </c>
      <c r="F15">
        <v>1</v>
      </c>
      <c r="G15">
        <v>16</v>
      </c>
      <c r="H15">
        <v>6</v>
      </c>
      <c r="I15">
        <v>0.25</v>
      </c>
      <c r="J15">
        <v>0.38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1</v>
      </c>
      <c r="Z15">
        <f>AVERAGEIFS($C$2:C15, $B$2:B15, B15)</f>
        <v>11</v>
      </c>
      <c r="AA15">
        <f>AVERAGEIFS($I$2:I15, $B$2:B15, B15)</f>
        <v>0.25</v>
      </c>
      <c r="AB15">
        <f>AVERAGEIFS($J$2:J15, $B$2:B15, B15)</f>
        <v>0.38</v>
      </c>
      <c r="AC15">
        <f>AVERAGEIFS($D$2:D15, $B$2:B15, B15)</f>
        <v>0</v>
      </c>
    </row>
    <row r="16" spans="1:29" x14ac:dyDescent="0.25">
      <c r="A16" s="85">
        <v>46023</v>
      </c>
      <c r="B16" t="s">
        <v>19</v>
      </c>
      <c r="C16" s="95">
        <v>6</v>
      </c>
      <c r="D16">
        <v>0</v>
      </c>
      <c r="E16">
        <v>4</v>
      </c>
      <c r="F16">
        <v>1</v>
      </c>
      <c r="G16">
        <v>16</v>
      </c>
      <c r="H16">
        <v>6</v>
      </c>
      <c r="I16">
        <v>0.25</v>
      </c>
      <c r="J16">
        <v>0.38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1</v>
      </c>
      <c r="Z16">
        <f>AVERAGEIFS($C$2:C16, $B$2:B16, B16)</f>
        <v>6</v>
      </c>
      <c r="AA16">
        <f>AVERAGEIFS($I$2:I16, $B$2:B16, B16)</f>
        <v>0.25</v>
      </c>
      <c r="AB16">
        <f>AVERAGEIFS($J$2:J16, $B$2:B16, B16)</f>
        <v>0.38</v>
      </c>
      <c r="AC16">
        <f>AVERAGEIFS($D$2:D16, $B$2:B16, B16)</f>
        <v>0</v>
      </c>
    </row>
    <row r="17" spans="1:29" x14ac:dyDescent="0.25">
      <c r="A17" s="85">
        <v>46025</v>
      </c>
      <c r="B17" t="s">
        <v>5</v>
      </c>
      <c r="C17" s="95">
        <v>29</v>
      </c>
      <c r="D17">
        <v>1</v>
      </c>
      <c r="E17">
        <v>5</v>
      </c>
      <c r="F17">
        <v>3</v>
      </c>
      <c r="G17">
        <v>19</v>
      </c>
      <c r="H17">
        <v>10</v>
      </c>
      <c r="I17">
        <v>0.6</v>
      </c>
      <c r="J17">
        <v>0.53</v>
      </c>
      <c r="K17">
        <v>1</v>
      </c>
      <c r="L17">
        <v>0</v>
      </c>
      <c r="M17">
        <v>0</v>
      </c>
      <c r="N17">
        <v>1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0</v>
      </c>
      <c r="Y17">
        <v>0</v>
      </c>
      <c r="Z17">
        <f>AVERAGEIFS($C$2:C17, $B$2:B17, B17)</f>
        <v>26</v>
      </c>
      <c r="AA17">
        <f>AVERAGEIFS($I$2:I17, $B$2:B17, B17)</f>
        <v>0.42499999999999999</v>
      </c>
      <c r="AB17">
        <f>AVERAGEIFS($J$2:J17, $B$2:B17, B17)</f>
        <v>0.45500000000000002</v>
      </c>
      <c r="AC17">
        <f>AVERAGEIFS($D$2:D17, $B$2:B17, B17)</f>
        <v>0.5</v>
      </c>
    </row>
    <row r="18" spans="1:29" x14ac:dyDescent="0.25">
      <c r="A18" s="85">
        <v>46025</v>
      </c>
      <c r="B18" t="s">
        <v>14</v>
      </c>
      <c r="C18" s="95">
        <v>19</v>
      </c>
      <c r="D18">
        <v>1</v>
      </c>
      <c r="E18">
        <v>5</v>
      </c>
      <c r="F18">
        <v>3</v>
      </c>
      <c r="G18">
        <v>19</v>
      </c>
      <c r="H18">
        <v>10</v>
      </c>
      <c r="I18">
        <v>0.6</v>
      </c>
      <c r="J18">
        <v>0.53</v>
      </c>
      <c r="K18">
        <v>1</v>
      </c>
      <c r="L18">
        <v>0</v>
      </c>
      <c r="M18">
        <v>0</v>
      </c>
      <c r="N18">
        <v>1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0</v>
      </c>
      <c r="Y18">
        <v>0</v>
      </c>
      <c r="Z18">
        <f>AVERAGEIFS($C$2:C18, $B$2:B18, B18)</f>
        <v>22</v>
      </c>
      <c r="AA18">
        <f>AVERAGEIFS($I$2:I18, $B$2:B18, B18)</f>
        <v>0.67500000000000004</v>
      </c>
      <c r="AB18">
        <f>AVERAGEIFS($J$2:J18, $B$2:B18, B18)</f>
        <v>0.58000000000000007</v>
      </c>
      <c r="AC18">
        <f>AVERAGEIFS($D$2:D18, $B$2:B18, B18)</f>
        <v>1</v>
      </c>
    </row>
    <row r="19" spans="1:29" x14ac:dyDescent="0.25">
      <c r="A19" s="85">
        <v>46025</v>
      </c>
      <c r="B19" t="s">
        <v>51</v>
      </c>
      <c r="C19" s="95">
        <v>14</v>
      </c>
      <c r="D19">
        <v>1</v>
      </c>
      <c r="E19">
        <v>5</v>
      </c>
      <c r="F19">
        <v>3</v>
      </c>
      <c r="G19">
        <v>19</v>
      </c>
      <c r="H19">
        <v>10</v>
      </c>
      <c r="I19">
        <v>0.6</v>
      </c>
      <c r="J19">
        <v>0.53</v>
      </c>
      <c r="K19">
        <v>1</v>
      </c>
      <c r="L19">
        <v>0</v>
      </c>
      <c r="M19">
        <v>0</v>
      </c>
      <c r="N19">
        <v>1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0</v>
      </c>
      <c r="Y19">
        <v>0</v>
      </c>
      <c r="Z19">
        <f>AVERAGEIFS($C$2:C19, $B$2:B19, B19)</f>
        <v>14</v>
      </c>
      <c r="AA19">
        <f>AVERAGEIFS($I$2:I19, $B$2:B19, B19)</f>
        <v>0.67500000000000004</v>
      </c>
      <c r="AB19">
        <f>AVERAGEIFS($J$2:J19, $B$2:B19, B19)</f>
        <v>0.58000000000000007</v>
      </c>
      <c r="AC19">
        <f>AVERAGEIFS($D$2:D19, $B$2:B19, B19)</f>
        <v>1</v>
      </c>
    </row>
    <row r="20" spans="1:29" x14ac:dyDescent="0.25">
      <c r="A20" s="85">
        <v>46025</v>
      </c>
      <c r="B20" t="s">
        <v>37</v>
      </c>
      <c r="C20" s="95">
        <v>10</v>
      </c>
      <c r="D20">
        <v>1</v>
      </c>
      <c r="E20">
        <v>5</v>
      </c>
      <c r="F20">
        <v>3</v>
      </c>
      <c r="G20">
        <v>19</v>
      </c>
      <c r="H20">
        <v>10</v>
      </c>
      <c r="I20">
        <v>0.6</v>
      </c>
      <c r="J20">
        <v>0.53</v>
      </c>
      <c r="K20">
        <v>1</v>
      </c>
      <c r="L20">
        <v>0</v>
      </c>
      <c r="M20">
        <v>0</v>
      </c>
      <c r="N20">
        <v>1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0</v>
      </c>
      <c r="Y20">
        <v>0</v>
      </c>
      <c r="Z20">
        <f>AVERAGEIFS($C$2:C20, $B$2:B20, B20)</f>
        <v>15</v>
      </c>
      <c r="AA20">
        <f>AVERAGEIFS($I$2:I20, $B$2:B20, B20)</f>
        <v>0.42499999999999999</v>
      </c>
      <c r="AB20">
        <f>AVERAGEIFS($J$2:J20, $B$2:B20, B20)</f>
        <v>0.45500000000000002</v>
      </c>
      <c r="AC20">
        <f>AVERAGEIFS($D$2:D20, $B$2:B20, B20)</f>
        <v>0.5</v>
      </c>
    </row>
    <row r="21" spans="1:29" x14ac:dyDescent="0.25">
      <c r="A21" s="85">
        <v>46025</v>
      </c>
      <c r="B21" t="s">
        <v>35</v>
      </c>
      <c r="C21" s="95">
        <v>8</v>
      </c>
      <c r="D21">
        <v>1</v>
      </c>
      <c r="E21">
        <v>5</v>
      </c>
      <c r="F21">
        <v>3</v>
      </c>
      <c r="G21">
        <v>19</v>
      </c>
      <c r="H21">
        <v>10</v>
      </c>
      <c r="I21">
        <v>0.6</v>
      </c>
      <c r="J21">
        <v>0.53</v>
      </c>
      <c r="K21">
        <v>1</v>
      </c>
      <c r="L21">
        <v>0</v>
      </c>
      <c r="M21">
        <v>0</v>
      </c>
      <c r="N21">
        <v>1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0</v>
      </c>
      <c r="Y21">
        <v>0</v>
      </c>
      <c r="Z21">
        <f>AVERAGEIFS($C$2:C21, $B$2:B21, B21)</f>
        <v>14.5</v>
      </c>
      <c r="AA21">
        <f>AVERAGEIFS($I$2:I21, $B$2:B21, B21)</f>
        <v>0.67500000000000004</v>
      </c>
      <c r="AB21">
        <f>AVERAGEIFS($J$2:J21, $B$2:B21, B21)</f>
        <v>0.58000000000000007</v>
      </c>
      <c r="AC21">
        <f>AVERAGEIFS($D$2:D21, $B$2:B21, B21)</f>
        <v>1</v>
      </c>
    </row>
    <row r="22" spans="1:29" x14ac:dyDescent="0.25">
      <c r="A22" s="85">
        <v>46025</v>
      </c>
      <c r="B22" t="s">
        <v>13</v>
      </c>
      <c r="C22" s="95">
        <v>24</v>
      </c>
      <c r="D22">
        <v>0</v>
      </c>
      <c r="E22">
        <v>5</v>
      </c>
      <c r="F22">
        <v>2</v>
      </c>
      <c r="G22">
        <v>19</v>
      </c>
      <c r="H22">
        <v>9</v>
      </c>
      <c r="I22">
        <v>0.4</v>
      </c>
      <c r="J22">
        <v>0.47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f>AVERAGEIFS($C$2:C22, $B$2:B22, B22)</f>
        <v>21.5</v>
      </c>
      <c r="AA22">
        <f>AVERAGEIFS($I$2:I22, $B$2:B22, B22)</f>
        <v>0.32500000000000001</v>
      </c>
      <c r="AB22">
        <f>AVERAGEIFS($J$2:J22, $B$2:B22, B22)</f>
        <v>0.42499999999999999</v>
      </c>
      <c r="AC22">
        <f>AVERAGEIFS($D$2:D22, $B$2:B22, B22)</f>
        <v>0</v>
      </c>
    </row>
    <row r="23" spans="1:29" x14ac:dyDescent="0.25">
      <c r="A23" s="85">
        <v>46025</v>
      </c>
      <c r="B23" t="s">
        <v>17</v>
      </c>
      <c r="C23" s="95">
        <v>18</v>
      </c>
      <c r="D23">
        <v>0</v>
      </c>
      <c r="E23">
        <v>5</v>
      </c>
      <c r="F23">
        <v>2</v>
      </c>
      <c r="G23">
        <v>19</v>
      </c>
      <c r="H23">
        <v>9</v>
      </c>
      <c r="I23">
        <v>0.4</v>
      </c>
      <c r="J23">
        <v>0.47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f>AVERAGEIFS($C$2:C23, $B$2:B23, B23)</f>
        <v>24</v>
      </c>
      <c r="AA23">
        <f>AVERAGEIFS($I$2:I23, $B$2:B23, B23)</f>
        <v>0.57499999999999996</v>
      </c>
      <c r="AB23">
        <f>AVERAGEIFS($J$2:J23, $B$2:B23, B23)</f>
        <v>0.55000000000000004</v>
      </c>
      <c r="AC23">
        <f>AVERAGEIFS($D$2:D23, $B$2:B23, B23)</f>
        <v>0.5</v>
      </c>
    </row>
    <row r="24" spans="1:29" x14ac:dyDescent="0.25">
      <c r="A24" s="85">
        <v>46025</v>
      </c>
      <c r="B24" t="s">
        <v>26</v>
      </c>
      <c r="C24" s="95">
        <v>14</v>
      </c>
      <c r="D24">
        <v>0</v>
      </c>
      <c r="E24">
        <v>5</v>
      </c>
      <c r="F24">
        <v>2</v>
      </c>
      <c r="G24">
        <v>19</v>
      </c>
      <c r="H24">
        <v>9</v>
      </c>
      <c r="I24">
        <v>0.4</v>
      </c>
      <c r="J24">
        <v>0.47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1</v>
      </c>
      <c r="T24">
        <v>1</v>
      </c>
      <c r="U24">
        <v>0</v>
      </c>
      <c r="V24">
        <v>0</v>
      </c>
      <c r="W24">
        <v>0</v>
      </c>
      <c r="X24">
        <v>0</v>
      </c>
      <c r="Y24">
        <v>0</v>
      </c>
      <c r="Z24">
        <f>AVERAGEIFS($C$2:C24, $B$2:B24, B24)</f>
        <v>14</v>
      </c>
      <c r="AA24">
        <f>AVERAGEIFS($I$2:I24, $B$2:B24, B24)</f>
        <v>0.4</v>
      </c>
      <c r="AB24">
        <f>AVERAGEIFS($J$2:J24, $B$2:B24, B24)</f>
        <v>0.47</v>
      </c>
      <c r="AC24">
        <f>AVERAGEIFS($D$2:D24, $B$2:B24, B24)</f>
        <v>0</v>
      </c>
    </row>
    <row r="25" spans="1:29" x14ac:dyDescent="0.25">
      <c r="A25" s="85">
        <v>46025</v>
      </c>
      <c r="B25" t="s">
        <v>19</v>
      </c>
      <c r="C25" s="95">
        <v>9</v>
      </c>
      <c r="D25">
        <v>0</v>
      </c>
      <c r="E25">
        <v>5</v>
      </c>
      <c r="F25">
        <v>2</v>
      </c>
      <c r="G25">
        <v>19</v>
      </c>
      <c r="H25">
        <v>9</v>
      </c>
      <c r="I25">
        <v>0.4</v>
      </c>
      <c r="J25">
        <v>0.47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1</v>
      </c>
      <c r="T25">
        <v>1</v>
      </c>
      <c r="U25">
        <v>0</v>
      </c>
      <c r="V25">
        <v>0</v>
      </c>
      <c r="W25">
        <v>0</v>
      </c>
      <c r="X25">
        <v>0</v>
      </c>
      <c r="Y25">
        <v>0</v>
      </c>
      <c r="Z25">
        <f>AVERAGEIFS($C$2:C25, $B$2:B25, B25)</f>
        <v>7.5</v>
      </c>
      <c r="AA25">
        <f>AVERAGEIFS($I$2:I25, $B$2:B25, B25)</f>
        <v>0.32500000000000001</v>
      </c>
      <c r="AB25">
        <f>AVERAGEIFS($J$2:J25, $B$2:B25, B25)</f>
        <v>0.42499999999999999</v>
      </c>
      <c r="AC25">
        <f>AVERAGEIFS($D$2:D25, $B$2:B25, B25)</f>
        <v>0</v>
      </c>
    </row>
    <row r="26" spans="1:29" x14ac:dyDescent="0.25">
      <c r="A26" s="85">
        <v>46025</v>
      </c>
      <c r="B26" t="s">
        <v>28</v>
      </c>
      <c r="C26" s="95">
        <v>9</v>
      </c>
      <c r="D26">
        <v>0</v>
      </c>
      <c r="E26">
        <v>5</v>
      </c>
      <c r="F26">
        <v>2</v>
      </c>
      <c r="G26">
        <v>19</v>
      </c>
      <c r="H26">
        <v>9</v>
      </c>
      <c r="I26">
        <v>0.4</v>
      </c>
      <c r="J26">
        <v>0.47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1</v>
      </c>
      <c r="T26">
        <v>1</v>
      </c>
      <c r="U26">
        <v>0</v>
      </c>
      <c r="V26">
        <v>0</v>
      </c>
      <c r="W26">
        <v>0</v>
      </c>
      <c r="X26">
        <v>0</v>
      </c>
      <c r="Y26">
        <v>0</v>
      </c>
      <c r="Z26">
        <f>AVERAGEIFS($C$2:C26, $B$2:B26, B26)</f>
        <v>10</v>
      </c>
      <c r="AA26">
        <f>AVERAGEIFS($I$2:I26, $B$2:B26, B26)</f>
        <v>0.32500000000000001</v>
      </c>
      <c r="AB26">
        <f>AVERAGEIFS($J$2:J26, $B$2:B26, B26)</f>
        <v>0.42499999999999999</v>
      </c>
      <c r="AC26">
        <f>AVERAGEIFS($D$2:D26, $B$2:B26, B26)</f>
        <v>0</v>
      </c>
    </row>
    <row r="27" spans="1:29" x14ac:dyDescent="0.25">
      <c r="A27" s="85">
        <v>46026</v>
      </c>
      <c r="B27" t="s">
        <v>13</v>
      </c>
      <c r="C27" s="95">
        <v>32</v>
      </c>
      <c r="D27">
        <v>1</v>
      </c>
      <c r="E27">
        <v>4</v>
      </c>
      <c r="F27">
        <v>3</v>
      </c>
      <c r="G27">
        <v>16</v>
      </c>
      <c r="H27">
        <v>11</v>
      </c>
      <c r="I27">
        <v>0.75</v>
      </c>
      <c r="J27">
        <v>0.69</v>
      </c>
      <c r="K27">
        <v>1</v>
      </c>
      <c r="L27">
        <v>0</v>
      </c>
      <c r="M27">
        <v>0</v>
      </c>
      <c r="N27">
        <v>0</v>
      </c>
      <c r="O27">
        <v>0</v>
      </c>
      <c r="P27">
        <v>0</v>
      </c>
      <c r="Q27">
        <v>1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f>AVERAGEIFS($C$2:C27, $B$2:B27, B27)</f>
        <v>25</v>
      </c>
      <c r="AA27">
        <f>AVERAGEIFS($I$2:I27, $B$2:B27, B27)</f>
        <v>0.46666666666666662</v>
      </c>
      <c r="AB27">
        <f>AVERAGEIFS($J$2:J27, $B$2:B27, B27)</f>
        <v>0.51333333333333331</v>
      </c>
      <c r="AC27">
        <f>AVERAGEIFS($D$2:D27, $B$2:B27, B27)</f>
        <v>0.33333333333333331</v>
      </c>
    </row>
    <row r="28" spans="1:29" x14ac:dyDescent="0.25">
      <c r="A28" s="85">
        <v>46026</v>
      </c>
      <c r="B28" t="s">
        <v>17</v>
      </c>
      <c r="C28" s="95">
        <v>23</v>
      </c>
      <c r="D28">
        <v>1</v>
      </c>
      <c r="E28">
        <v>4</v>
      </c>
      <c r="F28">
        <v>3</v>
      </c>
      <c r="G28">
        <v>16</v>
      </c>
      <c r="H28">
        <v>11</v>
      </c>
      <c r="I28">
        <v>0.75</v>
      </c>
      <c r="J28">
        <v>0.69</v>
      </c>
      <c r="K28">
        <v>1</v>
      </c>
      <c r="L28">
        <v>0</v>
      </c>
      <c r="M28">
        <v>0</v>
      </c>
      <c r="N28">
        <v>0</v>
      </c>
      <c r="O28">
        <v>0</v>
      </c>
      <c r="P28">
        <v>0</v>
      </c>
      <c r="Q28">
        <v>1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f>AVERAGEIFS($C$2:C28, $B$2:B28, B28)</f>
        <v>23.666666666666668</v>
      </c>
      <c r="AA28">
        <f>AVERAGEIFS($I$2:I28, $B$2:B28, B28)</f>
        <v>0.6333333333333333</v>
      </c>
      <c r="AB28">
        <f>AVERAGEIFS($J$2:J28, $B$2:B28, B28)</f>
        <v>0.59666666666666668</v>
      </c>
      <c r="AC28">
        <f>AVERAGEIFS($D$2:D28, $B$2:B28, B28)</f>
        <v>0.66666666666666663</v>
      </c>
    </row>
    <row r="29" spans="1:29" x14ac:dyDescent="0.25">
      <c r="A29" s="85">
        <v>46026</v>
      </c>
      <c r="B29" t="s">
        <v>25</v>
      </c>
      <c r="C29" s="95">
        <v>21</v>
      </c>
      <c r="D29">
        <v>1</v>
      </c>
      <c r="E29">
        <v>4</v>
      </c>
      <c r="F29">
        <v>3</v>
      </c>
      <c r="G29">
        <v>16</v>
      </c>
      <c r="H29">
        <v>11</v>
      </c>
      <c r="I29">
        <v>0.75</v>
      </c>
      <c r="J29">
        <v>0.69</v>
      </c>
      <c r="K29">
        <v>1</v>
      </c>
      <c r="L29">
        <v>0</v>
      </c>
      <c r="M29">
        <v>0</v>
      </c>
      <c r="N29">
        <v>0</v>
      </c>
      <c r="O29">
        <v>0</v>
      </c>
      <c r="P29">
        <v>0</v>
      </c>
      <c r="Q29">
        <v>1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1</v>
      </c>
      <c r="Z29">
        <f>AVERAGEIFS($C$2:C29, $B$2:B29, B29)</f>
        <v>21</v>
      </c>
      <c r="AA29">
        <f>AVERAGEIFS($I$2:I29, $B$2:B29, B29)</f>
        <v>0.75</v>
      </c>
      <c r="AB29">
        <f>AVERAGEIFS($J$2:J29, $B$2:B29, B29)</f>
        <v>0.69</v>
      </c>
      <c r="AC29">
        <f>AVERAGEIFS($D$2:D29, $B$2:B29, B29)</f>
        <v>1</v>
      </c>
    </row>
    <row r="30" spans="1:29" x14ac:dyDescent="0.25">
      <c r="A30" s="85">
        <v>46026</v>
      </c>
      <c r="B30" t="s">
        <v>3</v>
      </c>
      <c r="C30" s="95">
        <v>20</v>
      </c>
      <c r="D30">
        <v>1</v>
      </c>
      <c r="E30">
        <v>4</v>
      </c>
      <c r="F30">
        <v>3</v>
      </c>
      <c r="G30">
        <v>16</v>
      </c>
      <c r="H30">
        <v>11</v>
      </c>
      <c r="I30">
        <v>0.75</v>
      </c>
      <c r="J30">
        <v>0.69</v>
      </c>
      <c r="K30">
        <v>1</v>
      </c>
      <c r="L30">
        <v>0</v>
      </c>
      <c r="M30">
        <v>0</v>
      </c>
      <c r="N30">
        <v>0</v>
      </c>
      <c r="O30">
        <v>0</v>
      </c>
      <c r="P30">
        <v>0</v>
      </c>
      <c r="Q30">
        <v>1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1</v>
      </c>
      <c r="Z30">
        <f>AVERAGEIFS($C$2:C30, $B$2:B30, B30)</f>
        <v>23</v>
      </c>
      <c r="AA30">
        <f>AVERAGEIFS($I$2:I30, $B$2:B30, B30)</f>
        <v>0.75</v>
      </c>
      <c r="AB30">
        <f>AVERAGEIFS($J$2:J30, $B$2:B30, B30)</f>
        <v>0.65999999999999992</v>
      </c>
      <c r="AC30">
        <f>AVERAGEIFS($D$2:D30, $B$2:B30, B30)</f>
        <v>1</v>
      </c>
    </row>
    <row r="31" spans="1:29" x14ac:dyDescent="0.25">
      <c r="A31" s="85">
        <v>46026</v>
      </c>
      <c r="B31" t="s">
        <v>28</v>
      </c>
      <c r="C31" s="95">
        <v>16</v>
      </c>
      <c r="D31">
        <v>1</v>
      </c>
      <c r="E31">
        <v>4</v>
      </c>
      <c r="F31">
        <v>3</v>
      </c>
      <c r="G31">
        <v>16</v>
      </c>
      <c r="H31">
        <v>11</v>
      </c>
      <c r="I31">
        <v>0.75</v>
      </c>
      <c r="J31">
        <v>0.69</v>
      </c>
      <c r="K31">
        <v>1</v>
      </c>
      <c r="L31">
        <v>0</v>
      </c>
      <c r="M31">
        <v>0</v>
      </c>
      <c r="N31">
        <v>0</v>
      </c>
      <c r="O31">
        <v>0</v>
      </c>
      <c r="P31">
        <v>0</v>
      </c>
      <c r="Q31">
        <v>1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1</v>
      </c>
      <c r="Z31">
        <f>AVERAGEIFS($C$2:C31, $B$2:B31, B31)</f>
        <v>12</v>
      </c>
      <c r="AA31">
        <f>AVERAGEIFS($I$2:I31, $B$2:B31, B31)</f>
        <v>0.46666666666666662</v>
      </c>
      <c r="AB31">
        <f>AVERAGEIFS($J$2:J31, $B$2:B31, B31)</f>
        <v>0.51333333333333331</v>
      </c>
      <c r="AC31">
        <f>AVERAGEIFS($D$2:D31, $B$2:B31, B31)</f>
        <v>0.33333333333333331</v>
      </c>
    </row>
    <row r="32" spans="1:29" x14ac:dyDescent="0.25">
      <c r="A32" s="85">
        <v>46026</v>
      </c>
      <c r="B32" t="s">
        <v>19</v>
      </c>
      <c r="C32" s="95">
        <v>15</v>
      </c>
      <c r="D32">
        <v>1</v>
      </c>
      <c r="E32">
        <v>4</v>
      </c>
      <c r="F32">
        <v>3</v>
      </c>
      <c r="G32">
        <v>16</v>
      </c>
      <c r="H32">
        <v>11</v>
      </c>
      <c r="I32">
        <v>0.75</v>
      </c>
      <c r="J32">
        <v>0.69</v>
      </c>
      <c r="K32">
        <v>1</v>
      </c>
      <c r="L32">
        <v>0</v>
      </c>
      <c r="M32">
        <v>0</v>
      </c>
      <c r="N32">
        <v>0</v>
      </c>
      <c r="O32">
        <v>0</v>
      </c>
      <c r="P32">
        <v>0</v>
      </c>
      <c r="Q32">
        <v>1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1</v>
      </c>
      <c r="Z32">
        <f>AVERAGEIFS($C$2:C32, $B$2:B32, B32)</f>
        <v>10</v>
      </c>
      <c r="AA32">
        <f>AVERAGEIFS($I$2:I32, $B$2:B32, B32)</f>
        <v>0.46666666666666662</v>
      </c>
      <c r="AB32">
        <f>AVERAGEIFS($J$2:J32, $B$2:B32, B32)</f>
        <v>0.51333333333333331</v>
      </c>
      <c r="AC32">
        <f>AVERAGEIFS($D$2:D32, $B$2:B32, B32)</f>
        <v>0.33333333333333331</v>
      </c>
    </row>
    <row r="33" spans="1:29" x14ac:dyDescent="0.25">
      <c r="A33" s="85">
        <v>46026</v>
      </c>
      <c r="B33" t="s">
        <v>29</v>
      </c>
      <c r="C33" s="95">
        <v>14</v>
      </c>
      <c r="D33">
        <v>1</v>
      </c>
      <c r="E33">
        <v>4</v>
      </c>
      <c r="F33">
        <v>3</v>
      </c>
      <c r="G33">
        <v>16</v>
      </c>
      <c r="H33">
        <v>11</v>
      </c>
      <c r="I33">
        <v>0.75</v>
      </c>
      <c r="J33">
        <v>0.69</v>
      </c>
      <c r="K33">
        <v>1</v>
      </c>
      <c r="L33">
        <v>0</v>
      </c>
      <c r="M33">
        <v>0</v>
      </c>
      <c r="N33">
        <v>0</v>
      </c>
      <c r="O33">
        <v>0</v>
      </c>
      <c r="P33">
        <v>0</v>
      </c>
      <c r="Q33">
        <v>1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1</v>
      </c>
      <c r="Z33">
        <f>AVERAGEIFS($C$2:C33, $B$2:B33, B33)</f>
        <v>13</v>
      </c>
      <c r="AA33">
        <f>AVERAGEIFS($I$2:I33, $B$2:B33, B33)</f>
        <v>0.75</v>
      </c>
      <c r="AB33">
        <f>AVERAGEIFS($J$2:J33, $B$2:B33, B33)</f>
        <v>0.65999999999999992</v>
      </c>
      <c r="AC33">
        <f>AVERAGEIFS($D$2:D33, $B$2:B33, B33)</f>
        <v>1</v>
      </c>
    </row>
    <row r="34" spans="1:29" x14ac:dyDescent="0.25">
      <c r="A34" s="85">
        <v>46026</v>
      </c>
      <c r="B34" t="s">
        <v>26</v>
      </c>
      <c r="C34" s="95">
        <v>10</v>
      </c>
      <c r="D34">
        <v>1</v>
      </c>
      <c r="E34">
        <v>4</v>
      </c>
      <c r="F34">
        <v>3</v>
      </c>
      <c r="G34">
        <v>16</v>
      </c>
      <c r="H34">
        <v>11</v>
      </c>
      <c r="I34">
        <v>0.75</v>
      </c>
      <c r="J34">
        <v>0.69</v>
      </c>
      <c r="K34">
        <v>1</v>
      </c>
      <c r="L34">
        <v>0</v>
      </c>
      <c r="M34">
        <v>0</v>
      </c>
      <c r="N34">
        <v>0</v>
      </c>
      <c r="O34">
        <v>0</v>
      </c>
      <c r="P34">
        <v>0</v>
      </c>
      <c r="Q34">
        <v>1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1</v>
      </c>
      <c r="Z34">
        <f>AVERAGEIFS($C$2:C34, $B$2:B34, B34)</f>
        <v>12</v>
      </c>
      <c r="AA34">
        <f>AVERAGEIFS($I$2:I34, $B$2:B34, B34)</f>
        <v>0.57499999999999996</v>
      </c>
      <c r="AB34">
        <f>AVERAGEIFS($J$2:J34, $B$2:B34, B34)</f>
        <v>0.57999999999999996</v>
      </c>
      <c r="AC34">
        <f>AVERAGEIFS($D$2:D34, $B$2:B34, B34)</f>
        <v>0.5</v>
      </c>
    </row>
    <row r="35" spans="1:29" x14ac:dyDescent="0.25">
      <c r="A35" s="85">
        <v>46026</v>
      </c>
      <c r="B35" t="s">
        <v>2</v>
      </c>
      <c r="C35" s="95">
        <v>27</v>
      </c>
      <c r="D35">
        <v>0</v>
      </c>
      <c r="E35">
        <v>4</v>
      </c>
      <c r="F35">
        <v>1</v>
      </c>
      <c r="G35">
        <v>16</v>
      </c>
      <c r="H35">
        <v>5</v>
      </c>
      <c r="I35">
        <v>0.25</v>
      </c>
      <c r="J35">
        <v>0.31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1</v>
      </c>
      <c r="W35">
        <v>0</v>
      </c>
      <c r="X35">
        <v>0</v>
      </c>
      <c r="Y35">
        <v>0</v>
      </c>
      <c r="Z35">
        <f>AVERAGEIFS($C$2:C35, $B$2:B35, B35)</f>
        <v>27.5</v>
      </c>
      <c r="AA35">
        <f>AVERAGEIFS($I$2:I35, $B$2:B35, B35)</f>
        <v>0.5</v>
      </c>
      <c r="AB35">
        <f>AVERAGEIFS($J$2:J35, $B$2:B35, B35)</f>
        <v>0.47</v>
      </c>
      <c r="AC35">
        <f>AVERAGEIFS($D$2:D35, $B$2:B35, B35)</f>
        <v>0.5</v>
      </c>
    </row>
    <row r="36" spans="1:29" x14ac:dyDescent="0.25">
      <c r="A36" s="85">
        <v>46026</v>
      </c>
      <c r="B36" t="s">
        <v>15</v>
      </c>
      <c r="C36" s="95">
        <v>24</v>
      </c>
      <c r="D36">
        <v>0</v>
      </c>
      <c r="E36">
        <v>4</v>
      </c>
      <c r="F36">
        <v>1</v>
      </c>
      <c r="G36">
        <v>16</v>
      </c>
      <c r="H36">
        <v>5</v>
      </c>
      <c r="I36">
        <v>0.25</v>
      </c>
      <c r="J36">
        <v>0.31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1</v>
      </c>
      <c r="W36">
        <v>0</v>
      </c>
      <c r="X36">
        <v>0</v>
      </c>
      <c r="Y36">
        <v>0</v>
      </c>
      <c r="Z36">
        <f>AVERAGEIFS($C$2:C36, $B$2:B36, B36)</f>
        <v>29.5</v>
      </c>
      <c r="AA36">
        <f>AVERAGEIFS($I$2:I36, $B$2:B36, B36)</f>
        <v>0.25</v>
      </c>
      <c r="AB36">
        <f>AVERAGEIFS($J$2:J36, $B$2:B36, B36)</f>
        <v>0.34499999999999997</v>
      </c>
      <c r="AC36">
        <f>AVERAGEIFS($D$2:D36, $B$2:B36, B36)</f>
        <v>0</v>
      </c>
    </row>
    <row r="37" spans="1:29" x14ac:dyDescent="0.25">
      <c r="A37" s="85">
        <v>46026</v>
      </c>
      <c r="B37" t="s">
        <v>27</v>
      </c>
      <c r="C37" s="95">
        <v>20</v>
      </c>
      <c r="D37">
        <v>0</v>
      </c>
      <c r="E37">
        <v>4</v>
      </c>
      <c r="F37">
        <v>1</v>
      </c>
      <c r="G37">
        <v>16</v>
      </c>
      <c r="H37">
        <v>5</v>
      </c>
      <c r="I37">
        <v>0.25</v>
      </c>
      <c r="J37">
        <v>0.31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1</v>
      </c>
      <c r="W37">
        <v>0</v>
      </c>
      <c r="X37">
        <v>0</v>
      </c>
      <c r="Y37">
        <v>0</v>
      </c>
      <c r="Z37">
        <f>AVERAGEIFS($C$2:C37, $B$2:B37, B37)</f>
        <v>20</v>
      </c>
      <c r="AA37">
        <f>AVERAGEIFS($I$2:I37, $B$2:B37, B37)</f>
        <v>0.25</v>
      </c>
      <c r="AB37">
        <f>AVERAGEIFS($J$2:J37, $B$2:B37, B37)</f>
        <v>0.31</v>
      </c>
      <c r="AC37">
        <f>AVERAGEIFS($D$2:D37, $B$2:B37, B37)</f>
        <v>0</v>
      </c>
    </row>
    <row r="38" spans="1:29" x14ac:dyDescent="0.25">
      <c r="A38" s="85">
        <v>46026</v>
      </c>
      <c r="B38" t="s">
        <v>18</v>
      </c>
      <c r="C38" s="95">
        <v>16</v>
      </c>
      <c r="D38">
        <v>0</v>
      </c>
      <c r="E38">
        <v>4</v>
      </c>
      <c r="F38">
        <v>1</v>
      </c>
      <c r="G38">
        <v>16</v>
      </c>
      <c r="H38">
        <v>5</v>
      </c>
      <c r="I38">
        <v>0.25</v>
      </c>
      <c r="J38">
        <v>0.31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1</v>
      </c>
      <c r="W38">
        <v>0</v>
      </c>
      <c r="X38">
        <v>0</v>
      </c>
      <c r="Y38">
        <v>0</v>
      </c>
      <c r="Z38">
        <f>AVERAGEIFS($C$2:C38, $B$2:B38, B38)</f>
        <v>16</v>
      </c>
      <c r="AA38">
        <f>AVERAGEIFS($I$2:I38, $B$2:B38, B38)</f>
        <v>0.25</v>
      </c>
      <c r="AB38">
        <f>AVERAGEIFS($J$2:J38, $B$2:B38, B38)</f>
        <v>0.31</v>
      </c>
      <c r="AC38">
        <f>AVERAGEIFS($D$2:D38, $B$2:B38, B38)</f>
        <v>0</v>
      </c>
    </row>
    <row r="39" spans="1:29" x14ac:dyDescent="0.25">
      <c r="A39" s="85">
        <v>46026</v>
      </c>
      <c r="B39" t="s">
        <v>20</v>
      </c>
      <c r="C39" s="95">
        <v>15</v>
      </c>
      <c r="D39">
        <v>0</v>
      </c>
      <c r="E39">
        <v>4</v>
      </c>
      <c r="F39">
        <v>1</v>
      </c>
      <c r="G39">
        <v>16</v>
      </c>
      <c r="H39">
        <v>5</v>
      </c>
      <c r="I39">
        <v>0.25</v>
      </c>
      <c r="J39">
        <v>0.31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1</v>
      </c>
      <c r="W39">
        <v>0</v>
      </c>
      <c r="X39">
        <v>0</v>
      </c>
      <c r="Y39">
        <v>0</v>
      </c>
      <c r="Z39">
        <f>AVERAGEIFS($C$2:C39, $B$2:B39, B39)</f>
        <v>15</v>
      </c>
      <c r="AA39">
        <f>AVERAGEIFS($I$2:I39, $B$2:B39, B39)</f>
        <v>0.25</v>
      </c>
      <c r="AB39">
        <f>AVERAGEIFS($J$2:J39, $B$2:B39, B39)</f>
        <v>0.31</v>
      </c>
      <c r="AC39">
        <f>AVERAGEIFS($D$2:D39, $B$2:B39, B39)</f>
        <v>0</v>
      </c>
    </row>
    <row r="40" spans="1:29" x14ac:dyDescent="0.25">
      <c r="A40" s="85">
        <v>46026</v>
      </c>
      <c r="B40" t="s">
        <v>50</v>
      </c>
      <c r="C40" s="95">
        <v>12</v>
      </c>
      <c r="D40">
        <v>0</v>
      </c>
      <c r="E40">
        <v>4</v>
      </c>
      <c r="F40">
        <v>1</v>
      </c>
      <c r="G40">
        <v>16</v>
      </c>
      <c r="H40">
        <v>5</v>
      </c>
      <c r="I40">
        <v>0.25</v>
      </c>
      <c r="J40">
        <v>0.31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1</v>
      </c>
      <c r="W40">
        <v>0</v>
      </c>
      <c r="X40">
        <v>0</v>
      </c>
      <c r="Y40">
        <v>0</v>
      </c>
      <c r="Z40">
        <f>AVERAGEIFS($C$2:C40, $B$2:B40, B40)</f>
        <v>12</v>
      </c>
      <c r="AA40">
        <f>AVERAGEIFS($I$2:I40, $B$2:B40, B40)</f>
        <v>0.25</v>
      </c>
      <c r="AB40">
        <f>AVERAGEIFS($J$2:J40, $B$2:B40, B40)</f>
        <v>0.31</v>
      </c>
      <c r="AC40">
        <f>AVERAGEIFS($D$2:D40, $B$2:B40, B40)</f>
        <v>0</v>
      </c>
    </row>
    <row r="41" spans="1:29" x14ac:dyDescent="0.25">
      <c r="A41" s="85">
        <v>46026</v>
      </c>
      <c r="B41" t="s">
        <v>51</v>
      </c>
      <c r="C41" s="95">
        <v>12</v>
      </c>
      <c r="D41">
        <v>0</v>
      </c>
      <c r="E41">
        <v>4</v>
      </c>
      <c r="F41">
        <v>1</v>
      </c>
      <c r="G41">
        <v>16</v>
      </c>
      <c r="H41">
        <v>5</v>
      </c>
      <c r="I41">
        <v>0.25</v>
      </c>
      <c r="J41">
        <v>0.31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1</v>
      </c>
      <c r="W41">
        <v>0</v>
      </c>
      <c r="X41">
        <v>0</v>
      </c>
      <c r="Y41">
        <v>0</v>
      </c>
      <c r="Z41">
        <f>AVERAGEIFS($C$2:C41, $B$2:B41, B41)</f>
        <v>13.333333333333334</v>
      </c>
      <c r="AA41">
        <f>AVERAGEIFS($I$2:I41, $B$2:B41, B41)</f>
        <v>0.53333333333333333</v>
      </c>
      <c r="AB41">
        <f>AVERAGEIFS($J$2:J41, $B$2:B41, B41)</f>
        <v>0.49000000000000005</v>
      </c>
      <c r="AC41">
        <f>AVERAGEIFS($D$2:D41, $B$2:B41, B41)</f>
        <v>0.66666666666666663</v>
      </c>
    </row>
    <row r="42" spans="1:29" x14ac:dyDescent="0.25">
      <c r="A42" s="85">
        <v>46026</v>
      </c>
      <c r="B42" t="s">
        <v>55</v>
      </c>
      <c r="C42" s="95">
        <v>6</v>
      </c>
      <c r="D42">
        <v>0</v>
      </c>
      <c r="E42">
        <v>4</v>
      </c>
      <c r="F42">
        <v>1</v>
      </c>
      <c r="G42">
        <v>16</v>
      </c>
      <c r="H42">
        <v>5</v>
      </c>
      <c r="I42">
        <v>0.25</v>
      </c>
      <c r="J42">
        <v>0.31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1</v>
      </c>
      <c r="W42">
        <v>0</v>
      </c>
      <c r="X42">
        <v>0</v>
      </c>
      <c r="Y42">
        <v>0</v>
      </c>
      <c r="Z42">
        <f>AVERAGEIFS($C$2:C42, $B$2:B42, B42)</f>
        <v>8</v>
      </c>
      <c r="AA42">
        <f>AVERAGEIFS($I$2:I42, $B$2:B42, B42)</f>
        <v>0.5</v>
      </c>
      <c r="AB42">
        <f>AVERAGEIFS($J$2:J42, $B$2:B42, B42)</f>
        <v>0.47</v>
      </c>
      <c r="AC42">
        <f>AVERAGEIFS($D$2:D42, $B$2:B42, B42)</f>
        <v>0.5</v>
      </c>
    </row>
    <row r="43" spans="1:29" x14ac:dyDescent="0.25">
      <c r="A43" s="85">
        <v>46027</v>
      </c>
      <c r="B43" t="s">
        <v>18</v>
      </c>
      <c r="C43" s="95">
        <v>24</v>
      </c>
      <c r="D43">
        <v>1</v>
      </c>
      <c r="E43">
        <v>5</v>
      </c>
      <c r="F43">
        <v>3</v>
      </c>
      <c r="G43">
        <v>21</v>
      </c>
      <c r="H43">
        <v>12</v>
      </c>
      <c r="I43">
        <v>0.6</v>
      </c>
      <c r="J43">
        <v>0.56999999999999995</v>
      </c>
      <c r="K43">
        <v>1</v>
      </c>
      <c r="L43">
        <v>0</v>
      </c>
      <c r="M43">
        <v>0</v>
      </c>
      <c r="N43">
        <v>0</v>
      </c>
      <c r="O43">
        <v>0</v>
      </c>
      <c r="P43">
        <v>1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1</v>
      </c>
      <c r="X43">
        <v>0</v>
      </c>
      <c r="Y43">
        <v>0</v>
      </c>
      <c r="Z43">
        <f>AVERAGEIFS($C$2:C43, $B$2:B43, B43)</f>
        <v>20</v>
      </c>
      <c r="AA43">
        <f>AVERAGEIFS($I$2:I43, $B$2:B43, B43)</f>
        <v>0.42499999999999999</v>
      </c>
      <c r="AB43">
        <f>AVERAGEIFS($J$2:J43, $B$2:B43, B43)</f>
        <v>0.43999999999999995</v>
      </c>
      <c r="AC43">
        <f>AVERAGEIFS($D$2:D43, $B$2:B43, B43)</f>
        <v>0.5</v>
      </c>
    </row>
    <row r="44" spans="1:29" x14ac:dyDescent="0.25">
      <c r="A44" s="85">
        <v>46027</v>
      </c>
      <c r="B44" t="s">
        <v>17</v>
      </c>
      <c r="C44" s="95">
        <v>20</v>
      </c>
      <c r="D44">
        <v>1</v>
      </c>
      <c r="E44">
        <v>5</v>
      </c>
      <c r="F44">
        <v>3</v>
      </c>
      <c r="G44">
        <v>21</v>
      </c>
      <c r="H44">
        <v>12</v>
      </c>
      <c r="I44">
        <v>0.6</v>
      </c>
      <c r="J44">
        <v>0.56999999999999995</v>
      </c>
      <c r="K44">
        <v>1</v>
      </c>
      <c r="L44">
        <v>0</v>
      </c>
      <c r="M44">
        <v>0</v>
      </c>
      <c r="N44">
        <v>0</v>
      </c>
      <c r="O44">
        <v>0</v>
      </c>
      <c r="P44">
        <v>1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1</v>
      </c>
      <c r="X44">
        <v>0</v>
      </c>
      <c r="Y44">
        <v>0</v>
      </c>
      <c r="Z44">
        <f>AVERAGEIFS($C$2:C44, $B$2:B44, B44)</f>
        <v>22.75</v>
      </c>
      <c r="AA44">
        <f>AVERAGEIFS($I$2:I44, $B$2:B44, B44)</f>
        <v>0.625</v>
      </c>
      <c r="AB44">
        <f>AVERAGEIFS($J$2:J44, $B$2:B44, B44)</f>
        <v>0.59</v>
      </c>
      <c r="AC44">
        <f>AVERAGEIFS($D$2:D44, $B$2:B44, B44)</f>
        <v>0.75</v>
      </c>
    </row>
    <row r="45" spans="1:29" x14ac:dyDescent="0.25">
      <c r="A45" s="85">
        <v>46027</v>
      </c>
      <c r="B45" t="s">
        <v>15</v>
      </c>
      <c r="C45" s="95">
        <v>17</v>
      </c>
      <c r="D45">
        <v>1</v>
      </c>
      <c r="E45">
        <v>5</v>
      </c>
      <c r="F45">
        <v>3</v>
      </c>
      <c r="G45">
        <v>21</v>
      </c>
      <c r="H45">
        <v>12</v>
      </c>
      <c r="I45">
        <v>0.6</v>
      </c>
      <c r="J45">
        <v>0.56999999999999995</v>
      </c>
      <c r="K45">
        <v>1</v>
      </c>
      <c r="L45">
        <v>0</v>
      </c>
      <c r="M45">
        <v>0</v>
      </c>
      <c r="N45">
        <v>0</v>
      </c>
      <c r="O45">
        <v>0</v>
      </c>
      <c r="P45">
        <v>1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1</v>
      </c>
      <c r="X45">
        <v>0</v>
      </c>
      <c r="Y45">
        <v>0</v>
      </c>
      <c r="Z45">
        <f>AVERAGEIFS($C$2:C45, $B$2:B45, B45)</f>
        <v>25.333333333333332</v>
      </c>
      <c r="AA45">
        <f>AVERAGEIFS($I$2:I45, $B$2:B45, B45)</f>
        <v>0.3666666666666667</v>
      </c>
      <c r="AB45">
        <f>AVERAGEIFS($J$2:J45, $B$2:B45, B45)</f>
        <v>0.41999999999999993</v>
      </c>
      <c r="AC45">
        <f>AVERAGEIFS($D$2:D45, $B$2:B45, B45)</f>
        <v>0.33333333333333331</v>
      </c>
    </row>
    <row r="46" spans="1:29" x14ac:dyDescent="0.25">
      <c r="A46" s="85">
        <v>46027</v>
      </c>
      <c r="B46" t="s">
        <v>25</v>
      </c>
      <c r="C46" s="95">
        <v>12</v>
      </c>
      <c r="D46">
        <v>1</v>
      </c>
      <c r="E46">
        <v>5</v>
      </c>
      <c r="F46">
        <v>3</v>
      </c>
      <c r="G46">
        <v>21</v>
      </c>
      <c r="H46">
        <v>12</v>
      </c>
      <c r="I46">
        <v>0.6</v>
      </c>
      <c r="J46">
        <v>0.56999999999999995</v>
      </c>
      <c r="K46">
        <v>1</v>
      </c>
      <c r="L46">
        <v>0</v>
      </c>
      <c r="M46">
        <v>0</v>
      </c>
      <c r="N46">
        <v>0</v>
      </c>
      <c r="O46">
        <v>0</v>
      </c>
      <c r="P46">
        <v>1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1</v>
      </c>
      <c r="X46">
        <v>0</v>
      </c>
      <c r="Y46">
        <v>0</v>
      </c>
      <c r="Z46">
        <f>AVERAGEIFS($C$2:C46, $B$2:B46, B46)</f>
        <v>16.5</v>
      </c>
      <c r="AA46">
        <f>AVERAGEIFS($I$2:I46, $B$2:B46, B46)</f>
        <v>0.67500000000000004</v>
      </c>
      <c r="AB46">
        <f>AVERAGEIFS($J$2:J46, $B$2:B46, B46)</f>
        <v>0.62999999999999989</v>
      </c>
      <c r="AC46">
        <f>AVERAGEIFS($D$2:D46, $B$2:B46, B46)</f>
        <v>1</v>
      </c>
    </row>
    <row r="47" spans="1:29" x14ac:dyDescent="0.25">
      <c r="A47" s="85">
        <v>46027</v>
      </c>
      <c r="B47" t="s">
        <v>19</v>
      </c>
      <c r="C47" s="95">
        <v>11</v>
      </c>
      <c r="D47">
        <v>1</v>
      </c>
      <c r="E47">
        <v>5</v>
      </c>
      <c r="F47">
        <v>3</v>
      </c>
      <c r="G47">
        <v>21</v>
      </c>
      <c r="H47">
        <v>12</v>
      </c>
      <c r="I47">
        <v>0.6</v>
      </c>
      <c r="J47">
        <v>0.56999999999999995</v>
      </c>
      <c r="K47">
        <v>1</v>
      </c>
      <c r="L47">
        <v>0</v>
      </c>
      <c r="M47">
        <v>0</v>
      </c>
      <c r="N47">
        <v>0</v>
      </c>
      <c r="O47">
        <v>0</v>
      </c>
      <c r="P47">
        <v>1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1</v>
      </c>
      <c r="X47">
        <v>0</v>
      </c>
      <c r="Y47">
        <v>0</v>
      </c>
      <c r="Z47">
        <f>AVERAGEIFS($C$2:C47, $B$2:B47, B47)</f>
        <v>10.25</v>
      </c>
      <c r="AA47">
        <f>AVERAGEIFS($I$2:I47, $B$2:B47, B47)</f>
        <v>0.5</v>
      </c>
      <c r="AB47">
        <f>AVERAGEIFS($J$2:J47, $B$2:B47, B47)</f>
        <v>0.52749999999999997</v>
      </c>
      <c r="AC47">
        <f>AVERAGEIFS($D$2:D47, $B$2:B47, B47)</f>
        <v>0.5</v>
      </c>
    </row>
    <row r="48" spans="1:29" x14ac:dyDescent="0.25">
      <c r="A48" s="85">
        <v>46027</v>
      </c>
      <c r="B48" t="s">
        <v>13</v>
      </c>
      <c r="C48" s="95">
        <v>27</v>
      </c>
      <c r="D48">
        <v>0</v>
      </c>
      <c r="E48">
        <v>5</v>
      </c>
      <c r="F48">
        <v>2</v>
      </c>
      <c r="G48">
        <v>21</v>
      </c>
      <c r="H48">
        <v>9</v>
      </c>
      <c r="I48">
        <v>0.4</v>
      </c>
      <c r="J48">
        <v>0.43</v>
      </c>
      <c r="K48">
        <v>0</v>
      </c>
      <c r="L48">
        <v>1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1</v>
      </c>
      <c r="V48">
        <v>0</v>
      </c>
      <c r="W48">
        <v>0</v>
      </c>
      <c r="X48">
        <v>0</v>
      </c>
      <c r="Y48">
        <v>0</v>
      </c>
      <c r="Z48">
        <f>AVERAGEIFS($C$2:C48, $B$2:B48, B48)</f>
        <v>25.5</v>
      </c>
      <c r="AA48">
        <f>AVERAGEIFS($I$2:I48, $B$2:B48, B48)</f>
        <v>0.44999999999999996</v>
      </c>
      <c r="AB48">
        <f>AVERAGEIFS($J$2:J48, $B$2:B48, B48)</f>
        <v>0.49249999999999999</v>
      </c>
      <c r="AC48">
        <f>AVERAGEIFS($D$2:D48, $B$2:B48, B48)</f>
        <v>0.25</v>
      </c>
    </row>
    <row r="49" spans="1:29" x14ac:dyDescent="0.25">
      <c r="A49" s="85">
        <v>46027</v>
      </c>
      <c r="B49" t="s">
        <v>14</v>
      </c>
      <c r="C49" s="95">
        <v>22</v>
      </c>
      <c r="D49">
        <v>0</v>
      </c>
      <c r="E49">
        <v>5</v>
      </c>
      <c r="F49">
        <v>2</v>
      </c>
      <c r="G49">
        <v>21</v>
      </c>
      <c r="H49">
        <v>9</v>
      </c>
      <c r="I49">
        <v>0.4</v>
      </c>
      <c r="J49">
        <v>0.43</v>
      </c>
      <c r="K49">
        <v>0</v>
      </c>
      <c r="L49">
        <v>1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1</v>
      </c>
      <c r="V49">
        <v>0</v>
      </c>
      <c r="W49">
        <v>0</v>
      </c>
      <c r="X49">
        <v>0</v>
      </c>
      <c r="Y49">
        <v>0</v>
      </c>
      <c r="Z49">
        <f>AVERAGEIFS($C$2:C49, $B$2:B49, B49)</f>
        <v>22</v>
      </c>
      <c r="AA49">
        <f>AVERAGEIFS($I$2:I49, $B$2:B49, B49)</f>
        <v>0.58333333333333337</v>
      </c>
      <c r="AB49">
        <f>AVERAGEIFS($J$2:J49, $B$2:B49, B49)</f>
        <v>0.53</v>
      </c>
      <c r="AC49">
        <f>AVERAGEIFS($D$2:D49, $B$2:B49, B49)</f>
        <v>0.66666666666666663</v>
      </c>
    </row>
    <row r="50" spans="1:29" x14ac:dyDescent="0.25">
      <c r="A50" s="85">
        <v>46027</v>
      </c>
      <c r="B50" t="s">
        <v>3</v>
      </c>
      <c r="C50" s="95">
        <v>21</v>
      </c>
      <c r="D50">
        <v>0</v>
      </c>
      <c r="E50">
        <v>5</v>
      </c>
      <c r="F50">
        <v>2</v>
      </c>
      <c r="G50">
        <v>21</v>
      </c>
      <c r="H50">
        <v>9</v>
      </c>
      <c r="I50">
        <v>0.4</v>
      </c>
      <c r="J50">
        <v>0.43</v>
      </c>
      <c r="K50">
        <v>0</v>
      </c>
      <c r="L50">
        <v>1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1</v>
      </c>
      <c r="V50">
        <v>0</v>
      </c>
      <c r="W50">
        <v>0</v>
      </c>
      <c r="X50">
        <v>0</v>
      </c>
      <c r="Y50">
        <v>0</v>
      </c>
      <c r="Z50">
        <f>AVERAGEIFS($C$2:C50, $B$2:B50, B50)</f>
        <v>22.333333333333332</v>
      </c>
      <c r="AA50">
        <f>AVERAGEIFS($I$2:I50, $B$2:B50, B50)</f>
        <v>0.6333333333333333</v>
      </c>
      <c r="AB50">
        <f>AVERAGEIFS($J$2:J50, $B$2:B50, B50)</f>
        <v>0.58333333333333326</v>
      </c>
      <c r="AC50">
        <f>AVERAGEIFS($D$2:D50, $B$2:B50, B50)</f>
        <v>0.66666666666666663</v>
      </c>
    </row>
    <row r="51" spans="1:29" x14ac:dyDescent="0.25">
      <c r="A51" s="85">
        <v>46027</v>
      </c>
      <c r="B51" t="s">
        <v>29</v>
      </c>
      <c r="C51" s="95">
        <v>5</v>
      </c>
      <c r="D51">
        <v>0</v>
      </c>
      <c r="E51">
        <v>5</v>
      </c>
      <c r="F51">
        <v>2</v>
      </c>
      <c r="G51">
        <v>21</v>
      </c>
      <c r="H51">
        <v>9</v>
      </c>
      <c r="I51">
        <v>0.4</v>
      </c>
      <c r="J51">
        <v>0.43</v>
      </c>
      <c r="K51">
        <v>0</v>
      </c>
      <c r="L51">
        <v>1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1</v>
      </c>
      <c r="V51">
        <v>0</v>
      </c>
      <c r="W51">
        <v>0</v>
      </c>
      <c r="X51">
        <v>0</v>
      </c>
      <c r="Y51">
        <v>0</v>
      </c>
      <c r="Z51">
        <f>AVERAGEIFS($C$2:C51, $B$2:B51, B51)</f>
        <v>10.333333333333334</v>
      </c>
      <c r="AA51">
        <f>AVERAGEIFS($I$2:I51, $B$2:B51, B51)</f>
        <v>0.6333333333333333</v>
      </c>
      <c r="AB51">
        <f>AVERAGEIFS($J$2:J51, $B$2:B51, B51)</f>
        <v>0.58333333333333326</v>
      </c>
      <c r="AC51">
        <f>AVERAGEIFS($D$2:D51, $B$2:B51, B51)</f>
        <v>0.66666666666666663</v>
      </c>
    </row>
    <row r="52" spans="1:29" x14ac:dyDescent="0.25">
      <c r="A52" s="85">
        <v>46027</v>
      </c>
      <c r="B52" t="s">
        <v>20</v>
      </c>
      <c r="C52" s="95">
        <v>5</v>
      </c>
      <c r="D52">
        <v>0</v>
      </c>
      <c r="E52">
        <v>5</v>
      </c>
      <c r="F52">
        <v>2</v>
      </c>
      <c r="G52">
        <v>21</v>
      </c>
      <c r="H52">
        <v>9</v>
      </c>
      <c r="I52">
        <v>0.4</v>
      </c>
      <c r="J52">
        <v>0.43</v>
      </c>
      <c r="K52">
        <v>0</v>
      </c>
      <c r="L52">
        <v>1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1</v>
      </c>
      <c r="V52">
        <v>0</v>
      </c>
      <c r="W52">
        <v>0</v>
      </c>
      <c r="X52">
        <v>0</v>
      </c>
      <c r="Y52">
        <v>0</v>
      </c>
      <c r="Z52">
        <f>AVERAGEIFS($C$2:C52, $B$2:B52, B52)</f>
        <v>10</v>
      </c>
      <c r="AA52">
        <f>AVERAGEIFS($I$2:I52, $B$2:B52, B52)</f>
        <v>0.32500000000000001</v>
      </c>
      <c r="AB52">
        <f>AVERAGEIFS($J$2:J52, $B$2:B52, B52)</f>
        <v>0.37</v>
      </c>
      <c r="AC52">
        <f>AVERAGEIFS($D$2:D52, $B$2:B52, B52)</f>
        <v>0</v>
      </c>
    </row>
    <row r="53" spans="1:29" x14ac:dyDescent="0.25">
      <c r="A53" s="85">
        <v>46029</v>
      </c>
      <c r="B53" t="s">
        <v>14</v>
      </c>
      <c r="C53" s="95">
        <v>30</v>
      </c>
      <c r="D53">
        <v>1</v>
      </c>
      <c r="E53">
        <v>5</v>
      </c>
      <c r="F53">
        <v>3</v>
      </c>
      <c r="G53">
        <v>22</v>
      </c>
      <c r="H53">
        <v>13</v>
      </c>
      <c r="I53">
        <v>0.6</v>
      </c>
      <c r="J53">
        <v>0.59</v>
      </c>
      <c r="K53">
        <v>0</v>
      </c>
      <c r="L53">
        <v>1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1</v>
      </c>
      <c r="W53">
        <v>0</v>
      </c>
      <c r="X53">
        <v>0</v>
      </c>
      <c r="Y53">
        <v>0</v>
      </c>
      <c r="Z53">
        <f>AVERAGEIFS($C$2:C53, $B$2:B53, B53)</f>
        <v>24</v>
      </c>
      <c r="AA53">
        <f>AVERAGEIFS($I$2:I53, $B$2:B53, B53)</f>
        <v>0.58750000000000002</v>
      </c>
      <c r="AB53">
        <f>AVERAGEIFS($J$2:J53, $B$2:B53, B53)</f>
        <v>0.54500000000000004</v>
      </c>
      <c r="AC53">
        <f>AVERAGEIFS($D$2:D53, $B$2:B53, B53)</f>
        <v>0.75</v>
      </c>
    </row>
    <row r="54" spans="1:29" x14ac:dyDescent="0.25">
      <c r="A54" s="85">
        <v>46029</v>
      </c>
      <c r="B54" t="s">
        <v>13</v>
      </c>
      <c r="C54" s="95">
        <v>26</v>
      </c>
      <c r="D54">
        <v>1</v>
      </c>
      <c r="E54">
        <v>5</v>
      </c>
      <c r="F54">
        <v>3</v>
      </c>
      <c r="G54">
        <v>22</v>
      </c>
      <c r="H54">
        <v>13</v>
      </c>
      <c r="I54">
        <v>0.6</v>
      </c>
      <c r="J54">
        <v>0.59</v>
      </c>
      <c r="K54">
        <v>0</v>
      </c>
      <c r="L54">
        <v>1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</v>
      </c>
      <c r="V54">
        <v>1</v>
      </c>
      <c r="W54">
        <v>0</v>
      </c>
      <c r="X54">
        <v>0</v>
      </c>
      <c r="Y54">
        <v>0</v>
      </c>
      <c r="Z54">
        <f>AVERAGEIFS($C$2:C54, $B$2:B54, B54)</f>
        <v>25.6</v>
      </c>
      <c r="AA54">
        <f>AVERAGEIFS($I$2:I54, $B$2:B54, B54)</f>
        <v>0.48</v>
      </c>
      <c r="AB54">
        <f>AVERAGEIFS($J$2:J54, $B$2:B54, B54)</f>
        <v>0.51200000000000001</v>
      </c>
      <c r="AC54">
        <f>AVERAGEIFS($D$2:D54, $B$2:B54, B54)</f>
        <v>0.4</v>
      </c>
    </row>
    <row r="55" spans="1:29" x14ac:dyDescent="0.25">
      <c r="A55" s="85">
        <v>46029</v>
      </c>
      <c r="B55" t="s">
        <v>20</v>
      </c>
      <c r="C55" s="95">
        <v>17</v>
      </c>
      <c r="D55">
        <v>1</v>
      </c>
      <c r="E55">
        <v>5</v>
      </c>
      <c r="F55">
        <v>3</v>
      </c>
      <c r="G55">
        <v>22</v>
      </c>
      <c r="H55">
        <v>13</v>
      </c>
      <c r="I55">
        <v>0.6</v>
      </c>
      <c r="J55">
        <v>0.59</v>
      </c>
      <c r="K55">
        <v>0</v>
      </c>
      <c r="L55">
        <v>1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</v>
      </c>
      <c r="V55">
        <v>1</v>
      </c>
      <c r="W55">
        <v>0</v>
      </c>
      <c r="X55">
        <v>0</v>
      </c>
      <c r="Y55">
        <v>0</v>
      </c>
      <c r="Z55">
        <f>AVERAGEIFS($C$2:C55, $B$2:B55, B55)</f>
        <v>12.333333333333334</v>
      </c>
      <c r="AA55">
        <f>AVERAGEIFS($I$2:I55, $B$2:B55, B55)</f>
        <v>0.41666666666666669</v>
      </c>
      <c r="AB55">
        <f>AVERAGEIFS($J$2:J55, $B$2:B55, B55)</f>
        <v>0.44333333333333336</v>
      </c>
      <c r="AC55">
        <f>AVERAGEIFS($D$2:D55, $B$2:B55, B55)</f>
        <v>0.33333333333333331</v>
      </c>
    </row>
    <row r="56" spans="1:29" x14ac:dyDescent="0.25">
      <c r="A56" s="85">
        <v>46029</v>
      </c>
      <c r="B56" t="s">
        <v>51</v>
      </c>
      <c r="C56" s="95">
        <v>14</v>
      </c>
      <c r="D56">
        <v>1</v>
      </c>
      <c r="E56">
        <v>5</v>
      </c>
      <c r="F56">
        <v>3</v>
      </c>
      <c r="G56">
        <v>22</v>
      </c>
      <c r="H56">
        <v>13</v>
      </c>
      <c r="I56">
        <v>0.6</v>
      </c>
      <c r="J56">
        <v>0.59</v>
      </c>
      <c r="K56">
        <v>0</v>
      </c>
      <c r="L56">
        <v>1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1</v>
      </c>
      <c r="V56">
        <v>1</v>
      </c>
      <c r="W56">
        <v>0</v>
      </c>
      <c r="X56">
        <v>0</v>
      </c>
      <c r="Y56">
        <v>0</v>
      </c>
      <c r="Z56">
        <f>AVERAGEIFS($C$2:C56, $B$2:B56, B56)</f>
        <v>13.5</v>
      </c>
      <c r="AA56">
        <f>AVERAGEIFS($I$2:I56, $B$2:B56, B56)</f>
        <v>0.55000000000000004</v>
      </c>
      <c r="AB56">
        <f>AVERAGEIFS($J$2:J56, $B$2:B56, B56)</f>
        <v>0.51500000000000001</v>
      </c>
      <c r="AC56">
        <f>AVERAGEIFS($D$2:D56, $B$2:B56, B56)</f>
        <v>0.75</v>
      </c>
    </row>
    <row r="57" spans="1:29" x14ac:dyDescent="0.25">
      <c r="A57" s="85">
        <v>46029</v>
      </c>
      <c r="B57" t="s">
        <v>6</v>
      </c>
      <c r="C57" s="95">
        <v>13</v>
      </c>
      <c r="D57">
        <v>1</v>
      </c>
      <c r="E57">
        <v>5</v>
      </c>
      <c r="F57">
        <v>3</v>
      </c>
      <c r="G57">
        <v>22</v>
      </c>
      <c r="H57">
        <v>13</v>
      </c>
      <c r="I57">
        <v>0.6</v>
      </c>
      <c r="J57">
        <v>0.59</v>
      </c>
      <c r="K57">
        <v>0</v>
      </c>
      <c r="L57">
        <v>1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1</v>
      </c>
      <c r="W57">
        <v>0</v>
      </c>
      <c r="X57">
        <v>0</v>
      </c>
      <c r="Y57">
        <v>0</v>
      </c>
      <c r="Z57">
        <f>AVERAGEIFS($C$2:C57, $B$2:B57, B57)</f>
        <v>13</v>
      </c>
      <c r="AA57">
        <f>AVERAGEIFS($I$2:I57, $B$2:B57, B57)</f>
        <v>0.6</v>
      </c>
      <c r="AB57">
        <f>AVERAGEIFS($J$2:J57, $B$2:B57, B57)</f>
        <v>0.59</v>
      </c>
      <c r="AC57">
        <f>AVERAGEIFS($D$2:D57, $B$2:B57, B57)</f>
        <v>1</v>
      </c>
    </row>
    <row r="58" spans="1:29" x14ac:dyDescent="0.25">
      <c r="A58" s="85">
        <v>46029</v>
      </c>
      <c r="B58" t="s">
        <v>54</v>
      </c>
      <c r="C58" s="95">
        <v>12</v>
      </c>
      <c r="D58">
        <v>1</v>
      </c>
      <c r="E58">
        <v>5</v>
      </c>
      <c r="F58">
        <v>3</v>
      </c>
      <c r="G58">
        <v>22</v>
      </c>
      <c r="H58">
        <v>13</v>
      </c>
      <c r="I58">
        <v>0.6</v>
      </c>
      <c r="J58">
        <v>0.59</v>
      </c>
      <c r="K58">
        <v>0</v>
      </c>
      <c r="L58">
        <v>1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1</v>
      </c>
      <c r="W58">
        <v>0</v>
      </c>
      <c r="X58">
        <v>0</v>
      </c>
      <c r="Y58">
        <v>0</v>
      </c>
      <c r="Z58">
        <f>AVERAGEIFS($C$2:C58, $B$2:B58, B58)</f>
        <v>12</v>
      </c>
      <c r="AA58">
        <f>AVERAGEIFS($I$2:I58, $B$2:B58, B58)</f>
        <v>0.6</v>
      </c>
      <c r="AB58">
        <f>AVERAGEIFS($J$2:J58, $B$2:B58, B58)</f>
        <v>0.59</v>
      </c>
      <c r="AC58">
        <f>AVERAGEIFS($D$2:D58, $B$2:B58, B58)</f>
        <v>1</v>
      </c>
    </row>
    <row r="59" spans="1:29" x14ac:dyDescent="0.25">
      <c r="A59" s="85">
        <v>46029</v>
      </c>
      <c r="B59" t="s">
        <v>46</v>
      </c>
      <c r="C59" s="95">
        <v>30</v>
      </c>
      <c r="D59">
        <v>0</v>
      </c>
      <c r="E59">
        <v>5</v>
      </c>
      <c r="F59">
        <v>2</v>
      </c>
      <c r="G59">
        <v>22</v>
      </c>
      <c r="H59">
        <v>9</v>
      </c>
      <c r="I59">
        <v>0.4</v>
      </c>
      <c r="J59">
        <v>0.41</v>
      </c>
      <c r="K59">
        <v>0</v>
      </c>
      <c r="L59">
        <v>0</v>
      </c>
      <c r="M59">
        <v>0</v>
      </c>
      <c r="N59">
        <v>0</v>
      </c>
      <c r="O59">
        <v>0</v>
      </c>
      <c r="P59">
        <v>1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1</v>
      </c>
      <c r="X59">
        <v>0</v>
      </c>
      <c r="Y59">
        <v>0</v>
      </c>
      <c r="Z59">
        <f>AVERAGEIFS($C$2:C59, $B$2:B59, B59)</f>
        <v>30</v>
      </c>
      <c r="AA59">
        <f>AVERAGEIFS($I$2:I59, $B$2:B59, B59)</f>
        <v>0.4</v>
      </c>
      <c r="AB59">
        <f>AVERAGEIFS($J$2:J59, $B$2:B59, B59)</f>
        <v>0.41</v>
      </c>
      <c r="AC59">
        <f>AVERAGEIFS($D$2:D59, $B$2:B59, B59)</f>
        <v>0</v>
      </c>
    </row>
    <row r="60" spans="1:29" x14ac:dyDescent="0.25">
      <c r="A60" s="85">
        <v>46029</v>
      </c>
      <c r="B60" t="s">
        <v>17</v>
      </c>
      <c r="C60" s="95">
        <v>23</v>
      </c>
      <c r="D60">
        <v>0</v>
      </c>
      <c r="E60">
        <v>5</v>
      </c>
      <c r="F60">
        <v>2</v>
      </c>
      <c r="G60">
        <v>22</v>
      </c>
      <c r="H60">
        <v>9</v>
      </c>
      <c r="I60">
        <v>0.4</v>
      </c>
      <c r="J60">
        <v>0.41</v>
      </c>
      <c r="K60">
        <v>0</v>
      </c>
      <c r="L60">
        <v>0</v>
      </c>
      <c r="M60">
        <v>0</v>
      </c>
      <c r="N60">
        <v>0</v>
      </c>
      <c r="O60">
        <v>0</v>
      </c>
      <c r="P60">
        <v>1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1</v>
      </c>
      <c r="X60">
        <v>0</v>
      </c>
      <c r="Y60">
        <v>0</v>
      </c>
      <c r="Z60">
        <f>AVERAGEIFS($C$2:C60, $B$2:B60, B60)</f>
        <v>22.8</v>
      </c>
      <c r="AA60">
        <f>AVERAGEIFS($I$2:I60, $B$2:B60, B60)</f>
        <v>0.57999999999999996</v>
      </c>
      <c r="AB60">
        <f>AVERAGEIFS($J$2:J60, $B$2:B60, B60)</f>
        <v>0.55400000000000005</v>
      </c>
      <c r="AC60">
        <f>AVERAGEIFS($D$2:D60, $B$2:B60, B60)</f>
        <v>0.6</v>
      </c>
    </row>
    <row r="61" spans="1:29" x14ac:dyDescent="0.25">
      <c r="A61" s="85">
        <v>46029</v>
      </c>
      <c r="B61" t="s">
        <v>15</v>
      </c>
      <c r="C61" s="95">
        <v>21</v>
      </c>
      <c r="D61">
        <v>0</v>
      </c>
      <c r="E61">
        <v>5</v>
      </c>
      <c r="F61">
        <v>2</v>
      </c>
      <c r="G61">
        <v>22</v>
      </c>
      <c r="H61">
        <v>9</v>
      </c>
      <c r="I61">
        <v>0.4</v>
      </c>
      <c r="J61">
        <v>0.41</v>
      </c>
      <c r="K61">
        <v>0</v>
      </c>
      <c r="L61">
        <v>0</v>
      </c>
      <c r="M61">
        <v>0</v>
      </c>
      <c r="N61">
        <v>0</v>
      </c>
      <c r="O61">
        <v>0</v>
      </c>
      <c r="P61">
        <v>1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1</v>
      </c>
      <c r="X61">
        <v>0</v>
      </c>
      <c r="Y61">
        <v>0</v>
      </c>
      <c r="Z61">
        <f>AVERAGEIFS($C$2:C61, $B$2:B61, B61)</f>
        <v>24.25</v>
      </c>
      <c r="AA61">
        <f>AVERAGEIFS($I$2:I61, $B$2:B61, B61)</f>
        <v>0.375</v>
      </c>
      <c r="AB61">
        <f>AVERAGEIFS($J$2:J61, $B$2:B61, B61)</f>
        <v>0.41749999999999993</v>
      </c>
      <c r="AC61">
        <f>AVERAGEIFS($D$2:D61, $B$2:B61, B61)</f>
        <v>0.25</v>
      </c>
    </row>
    <row r="62" spans="1:29" x14ac:dyDescent="0.25">
      <c r="A62" s="85">
        <v>46029</v>
      </c>
      <c r="B62" t="s">
        <v>29</v>
      </c>
      <c r="C62" s="95">
        <v>12</v>
      </c>
      <c r="D62">
        <v>0</v>
      </c>
      <c r="E62">
        <v>5</v>
      </c>
      <c r="F62">
        <v>2</v>
      </c>
      <c r="G62">
        <v>22</v>
      </c>
      <c r="H62">
        <v>9</v>
      </c>
      <c r="I62">
        <v>0.4</v>
      </c>
      <c r="J62">
        <v>0.41</v>
      </c>
      <c r="K62">
        <v>0</v>
      </c>
      <c r="L62">
        <v>0</v>
      </c>
      <c r="M62">
        <v>0</v>
      </c>
      <c r="N62">
        <v>0</v>
      </c>
      <c r="O62">
        <v>0</v>
      </c>
      <c r="P62">
        <v>1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1</v>
      </c>
      <c r="X62">
        <v>0</v>
      </c>
      <c r="Y62">
        <v>0</v>
      </c>
      <c r="Z62">
        <f>AVERAGEIFS($C$2:C62, $B$2:B62, B62)</f>
        <v>10.75</v>
      </c>
      <c r="AA62">
        <f>AVERAGEIFS($I$2:I62, $B$2:B62, B62)</f>
        <v>0.57499999999999996</v>
      </c>
      <c r="AB62">
        <f>AVERAGEIFS($J$2:J62, $B$2:B62, B62)</f>
        <v>0.53999999999999992</v>
      </c>
      <c r="AC62">
        <f>AVERAGEIFS($D$2:D62, $B$2:B62, B62)</f>
        <v>0.5</v>
      </c>
    </row>
    <row r="63" spans="1:29" x14ac:dyDescent="0.25">
      <c r="A63" s="85">
        <v>46029</v>
      </c>
      <c r="B63" t="s">
        <v>19</v>
      </c>
      <c r="C63" s="95">
        <v>8</v>
      </c>
      <c r="D63">
        <v>0</v>
      </c>
      <c r="E63">
        <v>5</v>
      </c>
      <c r="F63">
        <v>2</v>
      </c>
      <c r="G63">
        <v>22</v>
      </c>
      <c r="H63">
        <v>9</v>
      </c>
      <c r="I63">
        <v>0.4</v>
      </c>
      <c r="J63">
        <v>0.41</v>
      </c>
      <c r="K63">
        <v>0</v>
      </c>
      <c r="L63">
        <v>0</v>
      </c>
      <c r="M63">
        <v>0</v>
      </c>
      <c r="N63">
        <v>0</v>
      </c>
      <c r="O63">
        <v>0</v>
      </c>
      <c r="P63">
        <v>1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1</v>
      </c>
      <c r="X63">
        <v>0</v>
      </c>
      <c r="Y63">
        <v>0</v>
      </c>
      <c r="Z63">
        <f>AVERAGEIFS($C$2:C63, $B$2:B63, B63)</f>
        <v>9.8000000000000007</v>
      </c>
      <c r="AA63">
        <f>AVERAGEIFS($I$2:I63, $B$2:B63, B63)</f>
        <v>0.48</v>
      </c>
      <c r="AB63">
        <f>AVERAGEIFS($J$2:J63, $B$2:B63, B63)</f>
        <v>0.504</v>
      </c>
      <c r="AC63">
        <f>AVERAGEIFS($D$2:D63, $B$2:B63, B63)</f>
        <v>0.4</v>
      </c>
    </row>
    <row r="64" spans="1:29" x14ac:dyDescent="0.25">
      <c r="A64" s="85">
        <v>46029</v>
      </c>
      <c r="B64" t="s">
        <v>45</v>
      </c>
      <c r="C64" s="95">
        <v>8</v>
      </c>
      <c r="D64" s="86">
        <v>0</v>
      </c>
      <c r="E64">
        <v>5</v>
      </c>
      <c r="F64">
        <v>2</v>
      </c>
      <c r="G64">
        <v>22</v>
      </c>
      <c r="H64">
        <v>9</v>
      </c>
      <c r="I64">
        <v>0.4</v>
      </c>
      <c r="J64">
        <v>0.41</v>
      </c>
      <c r="K64">
        <v>0</v>
      </c>
      <c r="L64">
        <v>0</v>
      </c>
      <c r="M64">
        <v>0</v>
      </c>
      <c r="N64">
        <v>0</v>
      </c>
      <c r="O64">
        <v>0</v>
      </c>
      <c r="P64">
        <v>1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1</v>
      </c>
      <c r="X64">
        <v>0</v>
      </c>
      <c r="Y64">
        <v>0</v>
      </c>
      <c r="Z64">
        <f>AVERAGEIFS($C$2:C64, $B$2:B64, B64)</f>
        <v>8</v>
      </c>
      <c r="AA64">
        <f>AVERAGEIFS($I$2:I64, $B$2:B64, B64)</f>
        <v>0.4</v>
      </c>
      <c r="AB64">
        <f>AVERAGEIFS($J$2:J64, $B$2:B64, B64)</f>
        <v>0.41</v>
      </c>
      <c r="AC64">
        <f>AVERAGEIFS($D$2:D64, $B$2:B64, B64)</f>
        <v>0</v>
      </c>
    </row>
    <row r="65" spans="1:29" x14ac:dyDescent="0.25">
      <c r="A65" s="85">
        <v>46030</v>
      </c>
      <c r="B65" t="s">
        <v>13</v>
      </c>
      <c r="C65" s="95">
        <v>22</v>
      </c>
      <c r="D65">
        <v>1</v>
      </c>
      <c r="E65">
        <v>4</v>
      </c>
      <c r="F65">
        <v>3</v>
      </c>
      <c r="G65">
        <v>15</v>
      </c>
      <c r="H65">
        <v>10</v>
      </c>
      <c r="I65">
        <v>0.75</v>
      </c>
      <c r="J65">
        <v>0.67</v>
      </c>
      <c r="K65">
        <v>1</v>
      </c>
      <c r="L65">
        <v>0</v>
      </c>
      <c r="M65">
        <v>0</v>
      </c>
      <c r="N65">
        <v>0</v>
      </c>
      <c r="O65">
        <v>0</v>
      </c>
      <c r="P65">
        <v>1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0</v>
      </c>
      <c r="X65">
        <v>0</v>
      </c>
      <c r="Y65">
        <v>1</v>
      </c>
      <c r="Z65">
        <f>AVERAGEIFS($C$2:C65, $B$2:B65, B65)</f>
        <v>25</v>
      </c>
      <c r="AA65">
        <f>AVERAGEIFS($I$2:I65, $B$2:B65, B65)</f>
        <v>0.52500000000000002</v>
      </c>
      <c r="AB65">
        <f>AVERAGEIFS($J$2:J65, $B$2:B65, B65)</f>
        <v>0.53833333333333333</v>
      </c>
      <c r="AC65">
        <f>AVERAGEIFS($D$2:D65, $B$2:B65, B65)</f>
        <v>0.5</v>
      </c>
    </row>
    <row r="66" spans="1:29" x14ac:dyDescent="0.25">
      <c r="A66" s="85">
        <v>46030</v>
      </c>
      <c r="B66" t="s">
        <v>28</v>
      </c>
      <c r="C66" s="95">
        <v>13</v>
      </c>
      <c r="D66">
        <v>1</v>
      </c>
      <c r="E66">
        <v>4</v>
      </c>
      <c r="F66">
        <v>3</v>
      </c>
      <c r="G66">
        <v>15</v>
      </c>
      <c r="H66">
        <v>10</v>
      </c>
      <c r="I66">
        <v>0.75</v>
      </c>
      <c r="J66">
        <v>0.67</v>
      </c>
      <c r="K66">
        <v>1</v>
      </c>
      <c r="L66">
        <v>0</v>
      </c>
      <c r="M66">
        <v>0</v>
      </c>
      <c r="N66">
        <v>0</v>
      </c>
      <c r="O66">
        <v>0</v>
      </c>
      <c r="P66">
        <v>1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0</v>
      </c>
      <c r="X66">
        <v>0</v>
      </c>
      <c r="Y66">
        <v>1</v>
      </c>
      <c r="Z66">
        <f>AVERAGEIFS($C$2:C66, $B$2:B66, B66)</f>
        <v>12.25</v>
      </c>
      <c r="AA66">
        <f>AVERAGEIFS($I$2:I66, $B$2:B66, B66)</f>
        <v>0.53749999999999998</v>
      </c>
      <c r="AB66">
        <f>AVERAGEIFS($J$2:J66, $B$2:B66, B66)</f>
        <v>0.55249999999999999</v>
      </c>
      <c r="AC66">
        <f>AVERAGEIFS($D$2:D66, $B$2:B66, B66)</f>
        <v>0.5</v>
      </c>
    </row>
    <row r="67" spans="1:29" x14ac:dyDescent="0.25">
      <c r="A67" s="85">
        <v>46030</v>
      </c>
      <c r="B67" t="s">
        <v>6</v>
      </c>
      <c r="C67" s="95">
        <v>11</v>
      </c>
      <c r="D67">
        <v>1</v>
      </c>
      <c r="E67">
        <v>4</v>
      </c>
      <c r="F67">
        <v>3</v>
      </c>
      <c r="G67">
        <v>15</v>
      </c>
      <c r="H67">
        <v>10</v>
      </c>
      <c r="I67">
        <v>0.75</v>
      </c>
      <c r="J67">
        <v>0.67</v>
      </c>
      <c r="K67">
        <v>1</v>
      </c>
      <c r="L67">
        <v>0</v>
      </c>
      <c r="M67">
        <v>0</v>
      </c>
      <c r="N67">
        <v>0</v>
      </c>
      <c r="O67">
        <v>0</v>
      </c>
      <c r="P67">
        <v>1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0</v>
      </c>
      <c r="X67">
        <v>0</v>
      </c>
      <c r="Y67">
        <v>1</v>
      </c>
      <c r="Z67">
        <f>AVERAGEIFS($C$2:C67, $B$2:B67, B67)</f>
        <v>12</v>
      </c>
      <c r="AA67">
        <f>AVERAGEIFS($I$2:I67, $B$2:B67, B67)</f>
        <v>0.67500000000000004</v>
      </c>
      <c r="AB67">
        <f>AVERAGEIFS($J$2:J67, $B$2:B67, B67)</f>
        <v>0.63</v>
      </c>
      <c r="AC67">
        <f>AVERAGEIFS($D$2:D67, $B$2:B67, B67)</f>
        <v>1</v>
      </c>
    </row>
    <row r="68" spans="1:29" x14ac:dyDescent="0.25">
      <c r="A68" s="85">
        <v>46030</v>
      </c>
      <c r="B68" t="s">
        <v>2</v>
      </c>
      <c r="C68" s="95">
        <v>9</v>
      </c>
      <c r="D68">
        <v>1</v>
      </c>
      <c r="E68">
        <v>4</v>
      </c>
      <c r="F68">
        <v>3</v>
      </c>
      <c r="G68">
        <v>15</v>
      </c>
      <c r="H68">
        <v>10</v>
      </c>
      <c r="I68">
        <v>0.75</v>
      </c>
      <c r="J68">
        <v>0.67</v>
      </c>
      <c r="K68">
        <v>1</v>
      </c>
      <c r="L68">
        <v>0</v>
      </c>
      <c r="M68">
        <v>0</v>
      </c>
      <c r="N68">
        <v>0</v>
      </c>
      <c r="O68">
        <v>0</v>
      </c>
      <c r="P68">
        <v>1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0</v>
      </c>
      <c r="X68">
        <v>0</v>
      </c>
      <c r="Y68">
        <v>1</v>
      </c>
      <c r="Z68">
        <f>AVERAGEIFS($C$2:C68, $B$2:B68, B68)</f>
        <v>21.333333333333332</v>
      </c>
      <c r="AA68">
        <f>AVERAGEIFS($I$2:I68, $B$2:B68, B68)</f>
        <v>0.58333333333333337</v>
      </c>
      <c r="AB68">
        <f>AVERAGEIFS($J$2:J68, $B$2:B68, B68)</f>
        <v>0.53666666666666663</v>
      </c>
      <c r="AC68">
        <f>AVERAGEIFS($D$2:D68, $B$2:B68, B68)</f>
        <v>0.66666666666666663</v>
      </c>
    </row>
    <row r="69" spans="1:29" x14ac:dyDescent="0.25">
      <c r="A69" s="85">
        <v>46030</v>
      </c>
      <c r="B69" t="s">
        <v>17</v>
      </c>
      <c r="C69" s="95">
        <v>8</v>
      </c>
      <c r="D69">
        <v>1</v>
      </c>
      <c r="E69">
        <v>4</v>
      </c>
      <c r="F69">
        <v>3</v>
      </c>
      <c r="G69">
        <v>15</v>
      </c>
      <c r="H69">
        <v>10</v>
      </c>
      <c r="I69">
        <v>0.75</v>
      </c>
      <c r="J69">
        <v>0.67</v>
      </c>
      <c r="K69">
        <v>1</v>
      </c>
      <c r="L69">
        <v>0</v>
      </c>
      <c r="M69">
        <v>0</v>
      </c>
      <c r="N69">
        <v>0</v>
      </c>
      <c r="O69">
        <v>0</v>
      </c>
      <c r="P69">
        <v>1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0</v>
      </c>
      <c r="X69">
        <v>0</v>
      </c>
      <c r="Y69">
        <v>1</v>
      </c>
      <c r="Z69">
        <f>AVERAGEIFS($C$2:C69, $B$2:B69, B69)</f>
        <v>20.333333333333332</v>
      </c>
      <c r="AA69">
        <f>AVERAGEIFS($I$2:I69, $B$2:B69, B69)</f>
        <v>0.60833333333333328</v>
      </c>
      <c r="AB69">
        <f>AVERAGEIFS($J$2:J69, $B$2:B69, B69)</f>
        <v>0.57333333333333336</v>
      </c>
      <c r="AC69">
        <f>AVERAGEIFS($D$2:D69, $B$2:B69, B69)</f>
        <v>0.66666666666666663</v>
      </c>
    </row>
    <row r="70" spans="1:29" x14ac:dyDescent="0.25">
      <c r="A70" s="85">
        <v>46030</v>
      </c>
      <c r="B70" t="s">
        <v>51</v>
      </c>
      <c r="C70" s="95">
        <v>7</v>
      </c>
      <c r="D70">
        <v>1</v>
      </c>
      <c r="E70">
        <v>4</v>
      </c>
      <c r="F70">
        <v>3</v>
      </c>
      <c r="G70">
        <v>15</v>
      </c>
      <c r="H70">
        <v>10</v>
      </c>
      <c r="I70">
        <v>0.75</v>
      </c>
      <c r="J70">
        <v>0.67</v>
      </c>
      <c r="K70">
        <v>1</v>
      </c>
      <c r="L70">
        <v>0</v>
      </c>
      <c r="M70">
        <v>0</v>
      </c>
      <c r="N70">
        <v>0</v>
      </c>
      <c r="O70">
        <v>0</v>
      </c>
      <c r="P70">
        <v>1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0</v>
      </c>
      <c r="X70">
        <v>0</v>
      </c>
      <c r="Y70">
        <v>1</v>
      </c>
      <c r="Z70">
        <f>AVERAGEIFS($C$2:C70, $B$2:B70, B70)</f>
        <v>12.2</v>
      </c>
      <c r="AA70">
        <f>AVERAGEIFS($I$2:I70, $B$2:B70, B70)</f>
        <v>0.59000000000000008</v>
      </c>
      <c r="AB70">
        <f>AVERAGEIFS($J$2:J70, $B$2:B70, B70)</f>
        <v>0.54600000000000004</v>
      </c>
      <c r="AC70">
        <f>AVERAGEIFS($D$2:D70, $B$2:B70, B70)</f>
        <v>0.8</v>
      </c>
    </row>
    <row r="71" spans="1:29" x14ac:dyDescent="0.25">
      <c r="A71" s="85">
        <v>46030</v>
      </c>
      <c r="B71" t="s">
        <v>15</v>
      </c>
      <c r="C71" s="95">
        <v>17</v>
      </c>
      <c r="D71">
        <v>0</v>
      </c>
      <c r="E71">
        <v>4</v>
      </c>
      <c r="F71">
        <v>1</v>
      </c>
      <c r="G71">
        <v>15</v>
      </c>
      <c r="H71">
        <v>5</v>
      </c>
      <c r="I71">
        <v>0.25</v>
      </c>
      <c r="J71">
        <v>0.33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1</v>
      </c>
      <c r="X71">
        <v>0</v>
      </c>
      <c r="Y71">
        <v>0</v>
      </c>
      <c r="Z71">
        <f>AVERAGEIFS($C$2:C71, $B$2:B71, B71)</f>
        <v>22.8</v>
      </c>
      <c r="AA71">
        <f>AVERAGEIFS($I$2:I71, $B$2:B71, B71)</f>
        <v>0.35</v>
      </c>
      <c r="AB71">
        <f>AVERAGEIFS($J$2:J71, $B$2:B71, B71)</f>
        <v>0.39999999999999997</v>
      </c>
      <c r="AC71">
        <f>AVERAGEIFS($D$2:D71, $B$2:B71, B71)</f>
        <v>0.2</v>
      </c>
    </row>
    <row r="72" spans="1:29" x14ac:dyDescent="0.25">
      <c r="A72" s="85">
        <v>46030</v>
      </c>
      <c r="B72" t="s">
        <v>14</v>
      </c>
      <c r="C72" s="95">
        <v>14</v>
      </c>
      <c r="D72">
        <v>0</v>
      </c>
      <c r="E72">
        <v>4</v>
      </c>
      <c r="F72">
        <v>1</v>
      </c>
      <c r="G72">
        <v>15</v>
      </c>
      <c r="H72">
        <v>5</v>
      </c>
      <c r="I72">
        <v>0.25</v>
      </c>
      <c r="J72">
        <v>0.33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1</v>
      </c>
      <c r="X72">
        <v>0</v>
      </c>
      <c r="Y72">
        <v>0</v>
      </c>
      <c r="Z72">
        <f>AVERAGEIFS($C$2:C72, $B$2:B72, B72)</f>
        <v>22</v>
      </c>
      <c r="AA72">
        <f>AVERAGEIFS($I$2:I72, $B$2:B72, B72)</f>
        <v>0.52</v>
      </c>
      <c r="AB72">
        <f>AVERAGEIFS($J$2:J72, $B$2:B72, B72)</f>
        <v>0.502</v>
      </c>
      <c r="AC72">
        <f>AVERAGEIFS($D$2:D72, $B$2:B72, B72)</f>
        <v>0.6</v>
      </c>
    </row>
    <row r="73" spans="1:29" x14ac:dyDescent="0.25">
      <c r="A73" s="85">
        <v>46030</v>
      </c>
      <c r="B73" t="s">
        <v>3</v>
      </c>
      <c r="C73" s="95">
        <v>12</v>
      </c>
      <c r="D73">
        <v>0</v>
      </c>
      <c r="E73">
        <v>4</v>
      </c>
      <c r="F73">
        <v>1</v>
      </c>
      <c r="G73">
        <v>15</v>
      </c>
      <c r="H73">
        <v>5</v>
      </c>
      <c r="I73">
        <v>0.25</v>
      </c>
      <c r="J73">
        <v>0.33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1</v>
      </c>
      <c r="X73">
        <v>0</v>
      </c>
      <c r="Y73">
        <v>0</v>
      </c>
      <c r="Z73">
        <f>AVERAGEIFS($C$2:C73, $B$2:B73, B73)</f>
        <v>19.75</v>
      </c>
      <c r="AA73">
        <f>AVERAGEIFS($I$2:I73, $B$2:B73, B73)</f>
        <v>0.53749999999999998</v>
      </c>
      <c r="AB73">
        <f>AVERAGEIFS($J$2:J73, $B$2:B73, B73)</f>
        <v>0.51999999999999991</v>
      </c>
      <c r="AC73">
        <f>AVERAGEIFS($D$2:D73, $B$2:B73, B73)</f>
        <v>0.5</v>
      </c>
    </row>
    <row r="74" spans="1:29" x14ac:dyDescent="0.25">
      <c r="A74" s="85">
        <v>46030</v>
      </c>
      <c r="B74" t="s">
        <v>19</v>
      </c>
      <c r="C74" s="95">
        <v>9</v>
      </c>
      <c r="D74">
        <v>0</v>
      </c>
      <c r="E74">
        <v>4</v>
      </c>
      <c r="F74">
        <v>1</v>
      </c>
      <c r="G74">
        <v>15</v>
      </c>
      <c r="H74">
        <v>5</v>
      </c>
      <c r="I74">
        <v>0.25</v>
      </c>
      <c r="J74">
        <v>0.33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1</v>
      </c>
      <c r="X74">
        <v>0</v>
      </c>
      <c r="Y74">
        <v>0</v>
      </c>
      <c r="Z74">
        <f>AVERAGEIFS($C$2:C74, $B$2:B74, B74)</f>
        <v>9.6666666666666661</v>
      </c>
      <c r="AA74">
        <f>AVERAGEIFS($I$2:I74, $B$2:B74, B74)</f>
        <v>0.44166666666666665</v>
      </c>
      <c r="AB74">
        <f>AVERAGEIFS($J$2:J74, $B$2:B74, B74)</f>
        <v>0.47500000000000003</v>
      </c>
      <c r="AC74">
        <f>AVERAGEIFS($D$2:D74, $B$2:B74, B74)</f>
        <v>0.33333333333333331</v>
      </c>
    </row>
    <row r="75" spans="1:29" x14ac:dyDescent="0.25">
      <c r="A75" s="85">
        <v>46030</v>
      </c>
      <c r="B75" t="s">
        <v>20</v>
      </c>
      <c r="C75" s="95">
        <v>7</v>
      </c>
      <c r="D75">
        <v>0</v>
      </c>
      <c r="E75">
        <v>4</v>
      </c>
      <c r="F75">
        <v>1</v>
      </c>
      <c r="G75">
        <v>15</v>
      </c>
      <c r="H75">
        <v>5</v>
      </c>
      <c r="I75">
        <v>0.25</v>
      </c>
      <c r="J75">
        <v>0.33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1</v>
      </c>
      <c r="X75">
        <v>0</v>
      </c>
      <c r="Y75">
        <v>0</v>
      </c>
      <c r="Z75">
        <f>AVERAGEIFS($C$2:C75, $B$2:B75, B75)</f>
        <v>11</v>
      </c>
      <c r="AA75">
        <f>AVERAGEIFS($I$2:I75, $B$2:B75, B75)</f>
        <v>0.375</v>
      </c>
      <c r="AB75">
        <f>AVERAGEIFS($J$2:J75, $B$2:B75, B75)</f>
        <v>0.41500000000000004</v>
      </c>
      <c r="AC75">
        <f>AVERAGEIFS($D$2:D75, $B$2:B75, B75)</f>
        <v>0.25</v>
      </c>
    </row>
    <row r="76" spans="1:29" x14ac:dyDescent="0.25">
      <c r="A76" s="85">
        <v>46030</v>
      </c>
      <c r="B76" t="s">
        <v>45</v>
      </c>
      <c r="C76" s="95">
        <v>5</v>
      </c>
      <c r="D76" s="86">
        <v>0</v>
      </c>
      <c r="E76">
        <v>4</v>
      </c>
      <c r="F76">
        <v>1</v>
      </c>
      <c r="G76">
        <v>15</v>
      </c>
      <c r="H76">
        <v>5</v>
      </c>
      <c r="I76">
        <v>0.25</v>
      </c>
      <c r="J76">
        <v>0.33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1</v>
      </c>
      <c r="X76">
        <v>0</v>
      </c>
      <c r="Y76">
        <v>0</v>
      </c>
      <c r="Z76">
        <f>AVERAGEIFS($C$2:C76, $B$2:B76, B76)</f>
        <v>6.5</v>
      </c>
      <c r="AA76">
        <f>AVERAGEIFS($I$2:I76, $B$2:B76, B76)</f>
        <v>0.32500000000000001</v>
      </c>
      <c r="AB76">
        <f>AVERAGEIFS($J$2:J76, $B$2:B76, B76)</f>
        <v>0.37</v>
      </c>
      <c r="AC76">
        <f>AVERAGEIFS($D$2:D76, $B$2:B76, B76)</f>
        <v>0</v>
      </c>
    </row>
    <row r="77" spans="1:29" x14ac:dyDescent="0.25">
      <c r="A77" s="85">
        <v>46032</v>
      </c>
      <c r="B77" t="s">
        <v>13</v>
      </c>
      <c r="C77" s="95">
        <v>25</v>
      </c>
      <c r="D77">
        <v>1</v>
      </c>
      <c r="E77">
        <v>4</v>
      </c>
      <c r="F77">
        <v>3</v>
      </c>
      <c r="G77">
        <v>17</v>
      </c>
      <c r="H77">
        <v>9</v>
      </c>
      <c r="I77">
        <v>0.75</v>
      </c>
      <c r="J77">
        <v>0.53</v>
      </c>
      <c r="K77">
        <v>0</v>
      </c>
      <c r="L77">
        <v>0</v>
      </c>
      <c r="M77">
        <v>0</v>
      </c>
      <c r="N77">
        <v>1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1</v>
      </c>
      <c r="X77">
        <v>0</v>
      </c>
      <c r="Y77">
        <v>1</v>
      </c>
      <c r="Z77">
        <f>AVERAGEIFS($C$2:C77, $B$2:B77, B77)</f>
        <v>25</v>
      </c>
      <c r="AA77">
        <f>AVERAGEIFS($I$2:I77, $B$2:B77, B77)</f>
        <v>0.55714285714285716</v>
      </c>
      <c r="AB77">
        <f>AVERAGEIFS($J$2:J77, $B$2:B77, B77)</f>
        <v>0.53714285714285714</v>
      </c>
      <c r="AC77">
        <f>AVERAGEIFS($D$2:D77, $B$2:B77, B77)</f>
        <v>0.5714285714285714</v>
      </c>
    </row>
    <row r="78" spans="1:29" x14ac:dyDescent="0.25">
      <c r="A78" s="85">
        <v>46032</v>
      </c>
      <c r="B78" t="s">
        <v>18</v>
      </c>
      <c r="C78" s="95">
        <v>19</v>
      </c>
      <c r="D78">
        <v>1</v>
      </c>
      <c r="E78">
        <v>4</v>
      </c>
      <c r="F78">
        <v>3</v>
      </c>
      <c r="G78">
        <v>17</v>
      </c>
      <c r="H78">
        <v>9</v>
      </c>
      <c r="I78">
        <v>0.75</v>
      </c>
      <c r="J78">
        <v>0.53</v>
      </c>
      <c r="K78">
        <v>0</v>
      </c>
      <c r="L78">
        <v>0</v>
      </c>
      <c r="M78">
        <v>0</v>
      </c>
      <c r="N78">
        <v>1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1</v>
      </c>
      <c r="X78">
        <v>0</v>
      </c>
      <c r="Y78">
        <v>1</v>
      </c>
      <c r="Z78">
        <f>AVERAGEIFS($C$2:C78, $B$2:B78, B78)</f>
        <v>19.666666666666668</v>
      </c>
      <c r="AA78">
        <f>AVERAGEIFS($I$2:I78, $B$2:B78, B78)</f>
        <v>0.53333333333333333</v>
      </c>
      <c r="AB78">
        <f>AVERAGEIFS($J$2:J78, $B$2:B78, B78)</f>
        <v>0.47</v>
      </c>
      <c r="AC78">
        <f>AVERAGEIFS($D$2:D78, $B$2:B78, B78)</f>
        <v>0.66666666666666663</v>
      </c>
    </row>
    <row r="79" spans="1:29" x14ac:dyDescent="0.25">
      <c r="A79" s="85">
        <v>46032</v>
      </c>
      <c r="B79" t="s">
        <v>55</v>
      </c>
      <c r="C79" s="95">
        <v>13</v>
      </c>
      <c r="D79">
        <v>1</v>
      </c>
      <c r="E79">
        <v>4</v>
      </c>
      <c r="F79">
        <v>3</v>
      </c>
      <c r="G79">
        <v>17</v>
      </c>
      <c r="H79">
        <v>9</v>
      </c>
      <c r="I79">
        <v>0.75</v>
      </c>
      <c r="J79">
        <v>0.53</v>
      </c>
      <c r="K79">
        <v>0</v>
      </c>
      <c r="L79">
        <v>0</v>
      </c>
      <c r="M79">
        <v>0</v>
      </c>
      <c r="N79">
        <v>1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1</v>
      </c>
      <c r="X79">
        <v>0</v>
      </c>
      <c r="Y79">
        <v>1</v>
      </c>
      <c r="Z79">
        <f>AVERAGEIFS($C$2:C79, $B$2:B79, B79)</f>
        <v>9.6666666666666661</v>
      </c>
      <c r="AA79">
        <f>AVERAGEIFS($I$2:I79, $B$2:B79, B79)</f>
        <v>0.58333333333333337</v>
      </c>
      <c r="AB79">
        <f>AVERAGEIFS($J$2:J79, $B$2:B79, B79)</f>
        <v>0.49</v>
      </c>
      <c r="AC79">
        <f>AVERAGEIFS($D$2:D79, $B$2:B79, B79)</f>
        <v>0.66666666666666663</v>
      </c>
    </row>
    <row r="80" spans="1:29" x14ac:dyDescent="0.25">
      <c r="A80" s="85">
        <v>46032</v>
      </c>
      <c r="B80" t="s">
        <v>14</v>
      </c>
      <c r="C80" s="95">
        <v>12</v>
      </c>
      <c r="D80">
        <v>1</v>
      </c>
      <c r="E80">
        <v>4</v>
      </c>
      <c r="F80">
        <v>3</v>
      </c>
      <c r="G80">
        <v>17</v>
      </c>
      <c r="H80">
        <v>9</v>
      </c>
      <c r="I80">
        <v>0.75</v>
      </c>
      <c r="J80">
        <v>0.53</v>
      </c>
      <c r="K80">
        <v>0</v>
      </c>
      <c r="L80">
        <v>0</v>
      </c>
      <c r="M80">
        <v>0</v>
      </c>
      <c r="N80">
        <v>1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1</v>
      </c>
      <c r="X80">
        <v>0</v>
      </c>
      <c r="Y80">
        <v>1</v>
      </c>
      <c r="Z80">
        <f>AVERAGEIFS($C$2:C80, $B$2:B80, B80)</f>
        <v>20.333333333333332</v>
      </c>
      <c r="AA80">
        <f>AVERAGEIFS($I$2:I80, $B$2:B80, B80)</f>
        <v>0.55833333333333335</v>
      </c>
      <c r="AB80">
        <f>AVERAGEIFS($J$2:J80, $B$2:B80, B80)</f>
        <v>0.50666666666666671</v>
      </c>
      <c r="AC80">
        <f>AVERAGEIFS($D$2:D80, $B$2:B80, B80)</f>
        <v>0.66666666666666663</v>
      </c>
    </row>
    <row r="81" spans="1:29" x14ac:dyDescent="0.25">
      <c r="A81" s="85">
        <v>46032</v>
      </c>
      <c r="B81" t="s">
        <v>29</v>
      </c>
      <c r="C81" s="95">
        <v>10</v>
      </c>
      <c r="D81">
        <v>1</v>
      </c>
      <c r="E81">
        <v>4</v>
      </c>
      <c r="F81">
        <v>3</v>
      </c>
      <c r="G81">
        <v>17</v>
      </c>
      <c r="H81">
        <v>9</v>
      </c>
      <c r="I81">
        <v>0.75</v>
      </c>
      <c r="J81">
        <v>0.53</v>
      </c>
      <c r="K81">
        <v>0</v>
      </c>
      <c r="L81">
        <v>0</v>
      </c>
      <c r="M81">
        <v>0</v>
      </c>
      <c r="N81">
        <v>1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1</v>
      </c>
      <c r="X81">
        <v>0</v>
      </c>
      <c r="Y81">
        <v>1</v>
      </c>
      <c r="Z81">
        <f>AVERAGEIFS($C$2:C81, $B$2:B81, B81)</f>
        <v>10.6</v>
      </c>
      <c r="AA81">
        <f>AVERAGEIFS($I$2:I81, $B$2:B81, B81)</f>
        <v>0.61</v>
      </c>
      <c r="AB81">
        <f>AVERAGEIFS($J$2:J81, $B$2:B81, B81)</f>
        <v>0.53799999999999992</v>
      </c>
      <c r="AC81">
        <f>AVERAGEIFS($D$2:D81, $B$2:B81, B81)</f>
        <v>0.6</v>
      </c>
    </row>
    <row r="82" spans="1:29" x14ac:dyDescent="0.25">
      <c r="A82" s="85">
        <v>46032</v>
      </c>
      <c r="B82" t="s">
        <v>26</v>
      </c>
      <c r="C82" s="95">
        <v>10</v>
      </c>
      <c r="D82">
        <v>1</v>
      </c>
      <c r="E82">
        <v>4</v>
      </c>
      <c r="F82">
        <v>3</v>
      </c>
      <c r="G82">
        <v>17</v>
      </c>
      <c r="H82">
        <v>9</v>
      </c>
      <c r="I82">
        <v>0.75</v>
      </c>
      <c r="J82">
        <v>0.53</v>
      </c>
      <c r="K82">
        <v>0</v>
      </c>
      <c r="L82">
        <v>0</v>
      </c>
      <c r="M82">
        <v>0</v>
      </c>
      <c r="N82">
        <v>1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1</v>
      </c>
      <c r="X82">
        <v>0</v>
      </c>
      <c r="Y82">
        <v>1</v>
      </c>
      <c r="Z82">
        <f>AVERAGEIFS($C$2:C82, $B$2:B82, B82)</f>
        <v>11.333333333333334</v>
      </c>
      <c r="AA82">
        <f>AVERAGEIFS($I$2:I82, $B$2:B82, B82)</f>
        <v>0.6333333333333333</v>
      </c>
      <c r="AB82">
        <f>AVERAGEIFS($J$2:J82, $B$2:B82, B82)</f>
        <v>0.56333333333333335</v>
      </c>
      <c r="AC82">
        <f>AVERAGEIFS($D$2:D82, $B$2:B82, B82)</f>
        <v>0.66666666666666663</v>
      </c>
    </row>
    <row r="83" spans="1:29" x14ac:dyDescent="0.25">
      <c r="A83" s="85">
        <v>46032</v>
      </c>
      <c r="B83" t="s">
        <v>17</v>
      </c>
      <c r="C83" s="95">
        <v>36</v>
      </c>
      <c r="D83">
        <v>0</v>
      </c>
      <c r="E83">
        <v>4</v>
      </c>
      <c r="F83">
        <v>1</v>
      </c>
      <c r="G83">
        <v>17</v>
      </c>
      <c r="H83">
        <v>8</v>
      </c>
      <c r="I83">
        <v>0.25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1</v>
      </c>
      <c r="Q83">
        <v>0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f>AVERAGEIFS($C$2:C83, $B$2:B83, B83)</f>
        <v>22.571428571428573</v>
      </c>
      <c r="AA83">
        <f>AVERAGEIFS($I$2:I83, $B$2:B83, B83)</f>
        <v>0.55714285714285716</v>
      </c>
      <c r="AB83">
        <f>AVERAGEIFS($J$2:J83, $B$2:B83, B83)</f>
        <v>0.55857142857142861</v>
      </c>
      <c r="AC83">
        <f>AVERAGEIFS($D$2:D83, $B$2:B83, B83)</f>
        <v>0.5714285714285714</v>
      </c>
    </row>
    <row r="84" spans="1:29" x14ac:dyDescent="0.25">
      <c r="A84" s="85">
        <v>46032</v>
      </c>
      <c r="B84" t="s">
        <v>2</v>
      </c>
      <c r="C84" s="95">
        <v>18</v>
      </c>
      <c r="D84">
        <v>0</v>
      </c>
      <c r="E84">
        <v>4</v>
      </c>
      <c r="F84">
        <v>1</v>
      </c>
      <c r="G84">
        <v>17</v>
      </c>
      <c r="H84">
        <v>8</v>
      </c>
      <c r="I84">
        <v>0.25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1</v>
      </c>
      <c r="Q84">
        <v>0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f>AVERAGEIFS($C$2:C84, $B$2:B84, B84)</f>
        <v>20.5</v>
      </c>
      <c r="AA84">
        <f>AVERAGEIFS($I$2:I84, $B$2:B84, B84)</f>
        <v>0.5</v>
      </c>
      <c r="AB84">
        <f>AVERAGEIFS($J$2:J84, $B$2:B84, B84)</f>
        <v>0.52</v>
      </c>
      <c r="AC84">
        <f>AVERAGEIFS($D$2:D84, $B$2:B84, B84)</f>
        <v>0.5</v>
      </c>
    </row>
    <row r="85" spans="1:29" x14ac:dyDescent="0.25">
      <c r="A85" s="85">
        <v>46032</v>
      </c>
      <c r="B85" t="s">
        <v>51</v>
      </c>
      <c r="C85" s="95">
        <v>10</v>
      </c>
      <c r="D85">
        <v>0</v>
      </c>
      <c r="E85">
        <v>4</v>
      </c>
      <c r="F85">
        <v>1</v>
      </c>
      <c r="G85">
        <v>17</v>
      </c>
      <c r="H85">
        <v>8</v>
      </c>
      <c r="I85">
        <v>0.25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1</v>
      </c>
      <c r="Q85">
        <v>0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f>AVERAGEIFS($C$2:C85, $B$2:B85, B85)</f>
        <v>11.833333333333334</v>
      </c>
      <c r="AA85">
        <f>AVERAGEIFS($I$2:I85, $B$2:B85, B85)</f>
        <v>0.53333333333333333</v>
      </c>
      <c r="AB85">
        <f>AVERAGEIFS($J$2:J85, $B$2:B85, B85)</f>
        <v>0.53333333333333333</v>
      </c>
      <c r="AC85">
        <f>AVERAGEIFS($D$2:D85, $B$2:B85, B85)</f>
        <v>0.66666666666666663</v>
      </c>
    </row>
    <row r="86" spans="1:29" x14ac:dyDescent="0.25">
      <c r="A86" s="85">
        <v>46032</v>
      </c>
      <c r="B86" t="s">
        <v>19</v>
      </c>
      <c r="C86" s="95">
        <v>10</v>
      </c>
      <c r="D86">
        <v>0</v>
      </c>
      <c r="E86">
        <v>4</v>
      </c>
      <c r="F86">
        <v>1</v>
      </c>
      <c r="G86">
        <v>17</v>
      </c>
      <c r="H86">
        <v>8</v>
      </c>
      <c r="I86">
        <v>0.25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1</v>
      </c>
      <c r="Q86">
        <v>0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f>AVERAGEIFS($C$2:C86, $B$2:B86, B86)</f>
        <v>9.7142857142857135</v>
      </c>
      <c r="AA86">
        <f>AVERAGEIFS($I$2:I86, $B$2:B86, B86)</f>
        <v>0.41428571428571426</v>
      </c>
      <c r="AB86">
        <f>AVERAGEIFS($J$2:J86, $B$2:B86, B86)</f>
        <v>0.47428571428571431</v>
      </c>
      <c r="AC86">
        <f>AVERAGEIFS($D$2:D86, $B$2:B86, B86)</f>
        <v>0.2857142857142857</v>
      </c>
    </row>
    <row r="87" spans="1:29" x14ac:dyDescent="0.25">
      <c r="A87" s="85">
        <v>46032</v>
      </c>
      <c r="B87" t="s">
        <v>35</v>
      </c>
      <c r="C87" s="95">
        <v>5</v>
      </c>
      <c r="D87">
        <v>0</v>
      </c>
      <c r="E87">
        <v>4</v>
      </c>
      <c r="F87">
        <v>1</v>
      </c>
      <c r="G87">
        <v>17</v>
      </c>
      <c r="H87">
        <v>8</v>
      </c>
      <c r="I87">
        <v>0.25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1</v>
      </c>
      <c r="Q87">
        <v>0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f>AVERAGEIFS($C$2:C87, $B$2:B87, B87)</f>
        <v>11.333333333333334</v>
      </c>
      <c r="AA87">
        <f>AVERAGEIFS($I$2:I87, $B$2:B87, B87)</f>
        <v>0.53333333333333333</v>
      </c>
      <c r="AB87">
        <f>AVERAGEIFS($J$2:J87, $B$2:B87, B87)</f>
        <v>0.54333333333333333</v>
      </c>
      <c r="AC87">
        <f>AVERAGEIFS($D$2:D87, $B$2:B87, B87)</f>
        <v>0.66666666666666663</v>
      </c>
    </row>
    <row r="88" spans="1:29" x14ac:dyDescent="0.25">
      <c r="A88" s="85">
        <v>46032</v>
      </c>
      <c r="B88" t="s">
        <v>27</v>
      </c>
      <c r="C88" s="95">
        <v>5</v>
      </c>
      <c r="D88">
        <v>0</v>
      </c>
      <c r="E88">
        <v>4</v>
      </c>
      <c r="F88">
        <v>1</v>
      </c>
      <c r="G88">
        <v>17</v>
      </c>
      <c r="H88">
        <v>8</v>
      </c>
      <c r="I88">
        <v>0.25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1</v>
      </c>
      <c r="Q88">
        <v>0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f>AVERAGEIFS($C$2:C88, $B$2:B88, B88)</f>
        <v>12.5</v>
      </c>
      <c r="AA88">
        <f>AVERAGEIFS($I$2:I88, $B$2:B88, B88)</f>
        <v>0.25</v>
      </c>
      <c r="AB88">
        <f>AVERAGEIFS($J$2:J88, $B$2:B88, B88)</f>
        <v>0.39</v>
      </c>
      <c r="AC88">
        <f>AVERAGEIFS($D$2:D88, $B$2:B88, B88)</f>
        <v>0</v>
      </c>
    </row>
    <row r="89" spans="1:29" x14ac:dyDescent="0.25">
      <c r="A89" s="85">
        <v>46033</v>
      </c>
      <c r="B89" t="s">
        <v>13</v>
      </c>
      <c r="C89" s="95">
        <v>50</v>
      </c>
      <c r="D89">
        <v>1</v>
      </c>
      <c r="E89">
        <v>5</v>
      </c>
      <c r="F89">
        <v>3</v>
      </c>
      <c r="G89">
        <v>21</v>
      </c>
      <c r="H89">
        <v>12</v>
      </c>
      <c r="I89">
        <v>0.6</v>
      </c>
      <c r="J89">
        <v>0.56999999999999995</v>
      </c>
      <c r="K89">
        <v>0</v>
      </c>
      <c r="L89">
        <v>0</v>
      </c>
      <c r="M89">
        <v>0</v>
      </c>
      <c r="N89">
        <v>1</v>
      </c>
      <c r="O89">
        <v>1</v>
      </c>
      <c r="P89">
        <v>0</v>
      </c>
      <c r="Q89">
        <v>1</v>
      </c>
      <c r="R89">
        <v>0</v>
      </c>
      <c r="S89">
        <v>0</v>
      </c>
      <c r="T89">
        <v>0</v>
      </c>
      <c r="U89">
        <v>0</v>
      </c>
      <c r="V89">
        <v>0</v>
      </c>
      <c r="W89">
        <v>0</v>
      </c>
      <c r="X89">
        <v>0</v>
      </c>
      <c r="Y89">
        <v>0</v>
      </c>
      <c r="Z89">
        <f>AVERAGEIFS($C$2:C89, $B$2:B89, B89)</f>
        <v>28.125</v>
      </c>
      <c r="AA89">
        <f>AVERAGEIFS($I$2:I89, $B$2:B89, B89)</f>
        <v>0.5625</v>
      </c>
      <c r="AB89">
        <f>AVERAGEIFS($J$2:J89, $B$2:B89, B89)</f>
        <v>0.54125000000000001</v>
      </c>
      <c r="AC89">
        <f>AVERAGEIFS($D$2:D89, $B$2:B89, B89)</f>
        <v>0.625</v>
      </c>
    </row>
    <row r="90" spans="1:29" x14ac:dyDescent="0.25">
      <c r="A90" s="85">
        <v>46033</v>
      </c>
      <c r="B90" t="s">
        <v>54</v>
      </c>
      <c r="C90" s="95">
        <v>29</v>
      </c>
      <c r="D90">
        <v>1</v>
      </c>
      <c r="E90">
        <v>5</v>
      </c>
      <c r="F90">
        <v>3</v>
      </c>
      <c r="G90">
        <v>21</v>
      </c>
      <c r="H90">
        <v>12</v>
      </c>
      <c r="I90">
        <v>0.6</v>
      </c>
      <c r="J90">
        <v>0.56999999999999995</v>
      </c>
      <c r="K90">
        <v>0</v>
      </c>
      <c r="L90">
        <v>0</v>
      </c>
      <c r="M90">
        <v>0</v>
      </c>
      <c r="N90">
        <v>1</v>
      </c>
      <c r="O90">
        <v>1</v>
      </c>
      <c r="P90">
        <v>0</v>
      </c>
      <c r="Q90">
        <v>1</v>
      </c>
      <c r="R90">
        <v>0</v>
      </c>
      <c r="S90">
        <v>0</v>
      </c>
      <c r="T90">
        <v>0</v>
      </c>
      <c r="U90">
        <v>0</v>
      </c>
      <c r="V90">
        <v>0</v>
      </c>
      <c r="W90">
        <v>0</v>
      </c>
      <c r="X90">
        <v>0</v>
      </c>
      <c r="Y90">
        <v>0</v>
      </c>
      <c r="Z90">
        <f>AVERAGEIFS($C$2:C90, $B$2:B90, B90)</f>
        <v>20.5</v>
      </c>
      <c r="AA90">
        <f>AVERAGEIFS($I$2:I90, $B$2:B90, B90)</f>
        <v>0.6</v>
      </c>
      <c r="AB90">
        <f>AVERAGEIFS($J$2:J90, $B$2:B90, B90)</f>
        <v>0.57999999999999996</v>
      </c>
      <c r="AC90">
        <f>AVERAGEIFS($D$2:D90, $B$2:B90, B90)</f>
        <v>1</v>
      </c>
    </row>
    <row r="91" spans="1:29" x14ac:dyDescent="0.25">
      <c r="A91" s="85">
        <v>46033</v>
      </c>
      <c r="B91" t="s">
        <v>3</v>
      </c>
      <c r="C91" s="95">
        <v>26</v>
      </c>
      <c r="D91">
        <v>1</v>
      </c>
      <c r="E91">
        <v>5</v>
      </c>
      <c r="F91">
        <v>3</v>
      </c>
      <c r="G91">
        <v>21</v>
      </c>
      <c r="H91">
        <v>12</v>
      </c>
      <c r="I91">
        <v>0.6</v>
      </c>
      <c r="J91">
        <v>0.56999999999999995</v>
      </c>
      <c r="K91">
        <v>0</v>
      </c>
      <c r="L91">
        <v>0</v>
      </c>
      <c r="M91">
        <v>0</v>
      </c>
      <c r="N91">
        <v>1</v>
      </c>
      <c r="O91">
        <v>1</v>
      </c>
      <c r="P91">
        <v>0</v>
      </c>
      <c r="Q91">
        <v>1</v>
      </c>
      <c r="R91">
        <v>0</v>
      </c>
      <c r="S91">
        <v>0</v>
      </c>
      <c r="T91">
        <v>0</v>
      </c>
      <c r="U91">
        <v>0</v>
      </c>
      <c r="V91">
        <v>0</v>
      </c>
      <c r="W91">
        <v>0</v>
      </c>
      <c r="X91">
        <v>0</v>
      </c>
      <c r="Y91">
        <v>0</v>
      </c>
      <c r="Z91">
        <f>AVERAGEIFS($C$2:C91, $B$2:B91, B91)</f>
        <v>21</v>
      </c>
      <c r="AA91">
        <f>AVERAGEIFS($I$2:I91, $B$2:B91, B91)</f>
        <v>0.55000000000000004</v>
      </c>
      <c r="AB91">
        <f>AVERAGEIFS($J$2:J91, $B$2:B91, B91)</f>
        <v>0.52999999999999992</v>
      </c>
      <c r="AC91">
        <f>AVERAGEIFS($D$2:D91, $B$2:B91, B91)</f>
        <v>0.6</v>
      </c>
    </row>
    <row r="92" spans="1:29" x14ac:dyDescent="0.25">
      <c r="A92" s="85">
        <v>46033</v>
      </c>
      <c r="B92" t="s">
        <v>53</v>
      </c>
      <c r="C92" s="95">
        <v>25</v>
      </c>
      <c r="D92">
        <v>1</v>
      </c>
      <c r="E92">
        <v>5</v>
      </c>
      <c r="F92">
        <v>3</v>
      </c>
      <c r="G92">
        <v>21</v>
      </c>
      <c r="H92">
        <v>12</v>
      </c>
      <c r="I92">
        <v>0.6</v>
      </c>
      <c r="J92">
        <v>0.56999999999999995</v>
      </c>
      <c r="K92">
        <v>0</v>
      </c>
      <c r="L92">
        <v>0</v>
      </c>
      <c r="M92">
        <v>0</v>
      </c>
      <c r="N92">
        <v>1</v>
      </c>
      <c r="O92">
        <v>1</v>
      </c>
      <c r="P92">
        <v>0</v>
      </c>
      <c r="Q92">
        <v>1</v>
      </c>
      <c r="R92">
        <v>0</v>
      </c>
      <c r="S92">
        <v>0</v>
      </c>
      <c r="T92">
        <v>0</v>
      </c>
      <c r="U92">
        <v>0</v>
      </c>
      <c r="V92">
        <v>0</v>
      </c>
      <c r="W92">
        <v>0</v>
      </c>
      <c r="X92">
        <v>0</v>
      </c>
      <c r="Y92">
        <v>0</v>
      </c>
      <c r="Z92">
        <f>AVERAGEIFS($C$2:C92, $B$2:B92, B92)</f>
        <v>25</v>
      </c>
      <c r="AA92">
        <f>AVERAGEIFS($I$2:I92, $B$2:B92, B92)</f>
        <v>0.6</v>
      </c>
      <c r="AB92">
        <f>AVERAGEIFS($J$2:J92, $B$2:B92, B92)</f>
        <v>0.56999999999999995</v>
      </c>
      <c r="AC92">
        <f>AVERAGEIFS($D$2:D92, $B$2:B92, B92)</f>
        <v>1</v>
      </c>
    </row>
    <row r="93" spans="1:29" x14ac:dyDescent="0.25">
      <c r="A93" s="85">
        <v>46033</v>
      </c>
      <c r="B93" t="s">
        <v>55</v>
      </c>
      <c r="C93" s="95">
        <v>12</v>
      </c>
      <c r="D93">
        <v>1</v>
      </c>
      <c r="E93">
        <v>5</v>
      </c>
      <c r="F93">
        <v>3</v>
      </c>
      <c r="G93">
        <v>21</v>
      </c>
      <c r="H93">
        <v>12</v>
      </c>
      <c r="I93">
        <v>0.6</v>
      </c>
      <c r="J93">
        <v>0.56999999999999995</v>
      </c>
      <c r="K93">
        <v>0</v>
      </c>
      <c r="L93">
        <v>0</v>
      </c>
      <c r="M93">
        <v>0</v>
      </c>
      <c r="N93">
        <v>1</v>
      </c>
      <c r="O93">
        <v>1</v>
      </c>
      <c r="P93">
        <v>0</v>
      </c>
      <c r="Q93">
        <v>1</v>
      </c>
      <c r="R93">
        <v>0</v>
      </c>
      <c r="S93">
        <v>0</v>
      </c>
      <c r="T93">
        <v>0</v>
      </c>
      <c r="U93">
        <v>0</v>
      </c>
      <c r="V93">
        <v>0</v>
      </c>
      <c r="W93">
        <v>0</v>
      </c>
      <c r="X93">
        <v>0</v>
      </c>
      <c r="Y93">
        <v>0</v>
      </c>
      <c r="Z93">
        <f>AVERAGEIFS($C$2:C93, $B$2:B93, B93)</f>
        <v>10.25</v>
      </c>
      <c r="AA93">
        <f>AVERAGEIFS($I$2:I93, $B$2:B93, B93)</f>
        <v>0.58750000000000002</v>
      </c>
      <c r="AB93">
        <f>AVERAGEIFS($J$2:J93, $B$2:B93, B93)</f>
        <v>0.51</v>
      </c>
      <c r="AC93">
        <f>AVERAGEIFS($D$2:D93, $B$2:B93, B93)</f>
        <v>0.75</v>
      </c>
    </row>
    <row r="94" spans="1:29" x14ac:dyDescent="0.25">
      <c r="A94" s="85">
        <v>46033</v>
      </c>
      <c r="B94" t="s">
        <v>26</v>
      </c>
      <c r="C94" s="95">
        <v>8</v>
      </c>
      <c r="D94">
        <v>1</v>
      </c>
      <c r="E94">
        <v>5</v>
      </c>
      <c r="F94">
        <v>3</v>
      </c>
      <c r="G94">
        <v>21</v>
      </c>
      <c r="H94">
        <v>12</v>
      </c>
      <c r="I94">
        <v>0.6</v>
      </c>
      <c r="J94">
        <v>0.56999999999999995</v>
      </c>
      <c r="K94">
        <v>0</v>
      </c>
      <c r="L94">
        <v>0</v>
      </c>
      <c r="M94">
        <v>0</v>
      </c>
      <c r="N94">
        <v>1</v>
      </c>
      <c r="O94">
        <v>1</v>
      </c>
      <c r="P94">
        <v>0</v>
      </c>
      <c r="Q94">
        <v>1</v>
      </c>
      <c r="R94">
        <v>0</v>
      </c>
      <c r="S94">
        <v>0</v>
      </c>
      <c r="T94">
        <v>0</v>
      </c>
      <c r="U94">
        <v>0</v>
      </c>
      <c r="V94">
        <v>0</v>
      </c>
      <c r="W94">
        <v>0</v>
      </c>
      <c r="X94">
        <v>0</v>
      </c>
      <c r="Y94">
        <v>0</v>
      </c>
      <c r="Z94">
        <f>AVERAGEIFS($C$2:C94, $B$2:B94, B94)</f>
        <v>10.5</v>
      </c>
      <c r="AA94">
        <f>AVERAGEIFS($I$2:I94, $B$2:B94, B94)</f>
        <v>0.625</v>
      </c>
      <c r="AB94">
        <f>AVERAGEIFS($J$2:J94, $B$2:B94, B94)</f>
        <v>0.56499999999999995</v>
      </c>
      <c r="AC94">
        <f>AVERAGEIFS($D$2:D94, $B$2:B94, B94)</f>
        <v>0.75</v>
      </c>
    </row>
    <row r="95" spans="1:29" x14ac:dyDescent="0.25">
      <c r="A95" s="85">
        <v>46033</v>
      </c>
      <c r="B95" t="s">
        <v>17</v>
      </c>
      <c r="C95" s="95">
        <v>33</v>
      </c>
      <c r="D95">
        <v>0</v>
      </c>
      <c r="E95">
        <v>5</v>
      </c>
      <c r="F95">
        <v>2</v>
      </c>
      <c r="G95">
        <v>21</v>
      </c>
      <c r="H95">
        <v>9</v>
      </c>
      <c r="I95">
        <v>0.4</v>
      </c>
      <c r="J95">
        <v>0.43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1</v>
      </c>
      <c r="Y95">
        <v>1</v>
      </c>
      <c r="Z95">
        <f>AVERAGEIFS($C$2:C95, $B$2:B95, B95)</f>
        <v>23.875</v>
      </c>
      <c r="AA95">
        <f>AVERAGEIFS($I$2:I95, $B$2:B95, B95)</f>
        <v>0.53749999999999998</v>
      </c>
      <c r="AB95">
        <f>AVERAGEIFS($J$2:J95, $B$2:B95, B95)</f>
        <v>0.54249999999999998</v>
      </c>
      <c r="AC95">
        <f>AVERAGEIFS($D$2:D95, $B$2:B95, B95)</f>
        <v>0.5</v>
      </c>
    </row>
    <row r="96" spans="1:29" x14ac:dyDescent="0.25">
      <c r="A96" s="85">
        <v>46033</v>
      </c>
      <c r="B96" t="s">
        <v>2</v>
      </c>
      <c r="C96" s="95">
        <v>32</v>
      </c>
      <c r="D96">
        <v>0</v>
      </c>
      <c r="E96">
        <v>5</v>
      </c>
      <c r="F96">
        <v>2</v>
      </c>
      <c r="G96">
        <v>21</v>
      </c>
      <c r="H96">
        <v>9</v>
      </c>
      <c r="I96">
        <v>0.4</v>
      </c>
      <c r="J96">
        <v>0.43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1</v>
      </c>
      <c r="Y96">
        <v>1</v>
      </c>
      <c r="Z96">
        <f>AVERAGEIFS($C$2:C96, $B$2:B96, B96)</f>
        <v>22.8</v>
      </c>
      <c r="AA96">
        <f>AVERAGEIFS($I$2:I96, $B$2:B96, B96)</f>
        <v>0.48</v>
      </c>
      <c r="AB96">
        <f>AVERAGEIFS($J$2:J96, $B$2:B96, B96)</f>
        <v>0.502</v>
      </c>
      <c r="AC96">
        <f>AVERAGEIFS($D$2:D96, $B$2:B96, B96)</f>
        <v>0.4</v>
      </c>
    </row>
    <row r="97" spans="1:29" x14ac:dyDescent="0.25">
      <c r="A97" s="85">
        <v>46033</v>
      </c>
      <c r="B97" t="s">
        <v>1</v>
      </c>
      <c r="C97" s="95">
        <v>24</v>
      </c>
      <c r="D97">
        <v>0</v>
      </c>
      <c r="E97">
        <v>5</v>
      </c>
      <c r="F97">
        <v>2</v>
      </c>
      <c r="G97">
        <v>21</v>
      </c>
      <c r="H97">
        <v>9</v>
      </c>
      <c r="I97">
        <v>0.4</v>
      </c>
      <c r="J97">
        <v>0.43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1</v>
      </c>
      <c r="Y97">
        <v>1</v>
      </c>
      <c r="Z97">
        <f>AVERAGEIFS($C$2:C97, $B$2:B97, B97)</f>
        <v>21.5</v>
      </c>
      <c r="AA97">
        <f>AVERAGEIFS($I$2:I97, $B$2:B97, B97)</f>
        <v>0.32500000000000001</v>
      </c>
      <c r="AB97">
        <f>AVERAGEIFS($J$2:J97, $B$2:B97, B97)</f>
        <v>0.40500000000000003</v>
      </c>
      <c r="AC97">
        <f>AVERAGEIFS($D$2:D97, $B$2:B97, B97)</f>
        <v>0</v>
      </c>
    </row>
    <row r="98" spans="1:29" x14ac:dyDescent="0.25">
      <c r="A98" s="85">
        <v>46033</v>
      </c>
      <c r="B98" t="s">
        <v>25</v>
      </c>
      <c r="C98" s="95">
        <v>20</v>
      </c>
      <c r="D98">
        <v>0</v>
      </c>
      <c r="E98">
        <v>5</v>
      </c>
      <c r="F98">
        <v>2</v>
      </c>
      <c r="G98">
        <v>21</v>
      </c>
      <c r="H98">
        <v>9</v>
      </c>
      <c r="I98">
        <v>0.4</v>
      </c>
      <c r="J98">
        <v>0.43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1</v>
      </c>
      <c r="Y98">
        <v>1</v>
      </c>
      <c r="Z98">
        <f>AVERAGEIFS($C$2:C98, $B$2:B98, B98)</f>
        <v>17.666666666666668</v>
      </c>
      <c r="AA98">
        <f>AVERAGEIFS($I$2:I98, $B$2:B98, B98)</f>
        <v>0.58333333333333337</v>
      </c>
      <c r="AB98">
        <f>AVERAGEIFS($J$2:J98, $B$2:B98, B98)</f>
        <v>0.56333333333333324</v>
      </c>
      <c r="AC98">
        <f>AVERAGEIFS($D$2:D98, $B$2:B98, B98)</f>
        <v>0.66666666666666663</v>
      </c>
    </row>
    <row r="99" spans="1:29" x14ac:dyDescent="0.25">
      <c r="A99" s="85">
        <v>46033</v>
      </c>
      <c r="B99" t="s">
        <v>28</v>
      </c>
      <c r="C99" s="95">
        <v>17</v>
      </c>
      <c r="D99">
        <v>0</v>
      </c>
      <c r="E99">
        <v>5</v>
      </c>
      <c r="F99">
        <v>2</v>
      </c>
      <c r="G99">
        <v>21</v>
      </c>
      <c r="H99">
        <v>9</v>
      </c>
      <c r="I99">
        <v>0.4</v>
      </c>
      <c r="J99">
        <v>0.43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1</v>
      </c>
      <c r="Y99">
        <v>1</v>
      </c>
      <c r="Z99">
        <f>AVERAGEIFS($C$2:C99, $B$2:B99, B99)</f>
        <v>13.2</v>
      </c>
      <c r="AA99">
        <f>AVERAGEIFS($I$2:I99, $B$2:B99, B99)</f>
        <v>0.51</v>
      </c>
      <c r="AB99">
        <f>AVERAGEIFS($J$2:J99, $B$2:B99, B99)</f>
        <v>0.52800000000000002</v>
      </c>
      <c r="AC99">
        <f>AVERAGEIFS($D$2:D99, $B$2:B99, B99)</f>
        <v>0.4</v>
      </c>
    </row>
    <row r="100" spans="1:29" x14ac:dyDescent="0.25">
      <c r="A100" s="85">
        <v>46033</v>
      </c>
      <c r="B100" t="s">
        <v>27</v>
      </c>
      <c r="C100" s="95">
        <v>7</v>
      </c>
      <c r="D100">
        <v>0</v>
      </c>
      <c r="E100">
        <v>5</v>
      </c>
      <c r="F100">
        <v>2</v>
      </c>
      <c r="G100">
        <v>21</v>
      </c>
      <c r="H100">
        <v>9</v>
      </c>
      <c r="I100">
        <v>0.4</v>
      </c>
      <c r="J100">
        <v>0.43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1</v>
      </c>
      <c r="Y100">
        <v>1</v>
      </c>
      <c r="Z100">
        <f>AVERAGEIFS($C$2:C100, $B$2:B100, B100)</f>
        <v>10.666666666666666</v>
      </c>
      <c r="AA100">
        <f>AVERAGEIFS($I$2:I100, $B$2:B100, B100)</f>
        <v>0.3</v>
      </c>
      <c r="AB100">
        <f>AVERAGEIFS($J$2:J100, $B$2:B100, B100)</f>
        <v>0.40333333333333332</v>
      </c>
      <c r="AC100">
        <f>AVERAGEIFS($D$2:D100, $B$2:B100, B100)</f>
        <v>0</v>
      </c>
    </row>
    <row r="101" spans="1:29" x14ac:dyDescent="0.25">
      <c r="A101" s="85">
        <v>46034</v>
      </c>
      <c r="B101" t="s">
        <v>18</v>
      </c>
      <c r="C101" s="95">
        <v>24</v>
      </c>
      <c r="D101">
        <v>1</v>
      </c>
      <c r="E101">
        <v>4</v>
      </c>
      <c r="F101">
        <v>3</v>
      </c>
      <c r="G101">
        <v>15</v>
      </c>
      <c r="H101">
        <v>9</v>
      </c>
      <c r="I101">
        <v>0.75</v>
      </c>
      <c r="J101">
        <v>0.6</v>
      </c>
      <c r="K101">
        <v>1</v>
      </c>
      <c r="L101">
        <v>0</v>
      </c>
      <c r="M101">
        <v>0</v>
      </c>
      <c r="N101">
        <v>1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1</v>
      </c>
      <c r="X101">
        <v>0</v>
      </c>
      <c r="Y101">
        <v>0</v>
      </c>
      <c r="Z101">
        <f>AVERAGEIFS($C$2:C101, $B$2:B101, B101)</f>
        <v>20.75</v>
      </c>
      <c r="AA101">
        <f>AVERAGEIFS($I$2:I101, $B$2:B101, B101)</f>
        <v>0.58750000000000002</v>
      </c>
      <c r="AB101">
        <f>AVERAGEIFS($J$2:J101, $B$2:B101, B101)</f>
        <v>0.50249999999999995</v>
      </c>
      <c r="AC101">
        <f>AVERAGEIFS($D$2:D101, $B$2:B101, B101)</f>
        <v>0.75</v>
      </c>
    </row>
    <row r="102" spans="1:29" x14ac:dyDescent="0.25">
      <c r="A102" s="85">
        <v>46034</v>
      </c>
      <c r="B102" t="s">
        <v>37</v>
      </c>
      <c r="C102" s="95">
        <v>21</v>
      </c>
      <c r="D102">
        <v>1</v>
      </c>
      <c r="E102">
        <v>4</v>
      </c>
      <c r="F102">
        <v>3</v>
      </c>
      <c r="G102">
        <v>15</v>
      </c>
      <c r="H102">
        <v>9</v>
      </c>
      <c r="I102">
        <v>0.75</v>
      </c>
      <c r="J102">
        <v>0.6</v>
      </c>
      <c r="K102">
        <v>1</v>
      </c>
      <c r="L102">
        <v>0</v>
      </c>
      <c r="M102">
        <v>0</v>
      </c>
      <c r="N102">
        <v>1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0</v>
      </c>
      <c r="W102">
        <v>1</v>
      </c>
      <c r="X102">
        <v>0</v>
      </c>
      <c r="Y102">
        <v>0</v>
      </c>
      <c r="Z102">
        <f>AVERAGEIFS($C$2:C102, $B$2:B102, B102)</f>
        <v>17</v>
      </c>
      <c r="AA102">
        <f>AVERAGEIFS($I$2:I102, $B$2:B102, B102)</f>
        <v>0.53333333333333333</v>
      </c>
      <c r="AB102">
        <f>AVERAGEIFS($J$2:J102, $B$2:B102, B102)</f>
        <v>0.5033333333333333</v>
      </c>
      <c r="AC102">
        <f>AVERAGEIFS($D$2:D102, $B$2:B102, B102)</f>
        <v>0.66666666666666663</v>
      </c>
    </row>
    <row r="103" spans="1:29" x14ac:dyDescent="0.25">
      <c r="A103" s="85">
        <v>46034</v>
      </c>
      <c r="B103" t="s">
        <v>15</v>
      </c>
      <c r="C103" s="95">
        <v>20</v>
      </c>
      <c r="D103">
        <v>1</v>
      </c>
      <c r="E103">
        <v>4</v>
      </c>
      <c r="F103">
        <v>3</v>
      </c>
      <c r="G103">
        <v>15</v>
      </c>
      <c r="H103">
        <v>9</v>
      </c>
      <c r="I103">
        <v>0.75</v>
      </c>
      <c r="J103">
        <v>0.6</v>
      </c>
      <c r="K103">
        <v>1</v>
      </c>
      <c r="L103">
        <v>0</v>
      </c>
      <c r="M103">
        <v>0</v>
      </c>
      <c r="N103">
        <v>1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0</v>
      </c>
      <c r="W103">
        <v>1</v>
      </c>
      <c r="X103">
        <v>0</v>
      </c>
      <c r="Y103">
        <v>0</v>
      </c>
      <c r="Z103">
        <f>AVERAGEIFS($C$2:C103, $B$2:B103, B103)</f>
        <v>22.333333333333332</v>
      </c>
      <c r="AA103">
        <f>AVERAGEIFS($I$2:I103, $B$2:B103, B103)</f>
        <v>0.41666666666666669</v>
      </c>
      <c r="AB103">
        <f>AVERAGEIFS($J$2:J103, $B$2:B103, B103)</f>
        <v>0.43333333333333329</v>
      </c>
      <c r="AC103">
        <f>AVERAGEIFS($D$2:D103, $B$2:B103, B103)</f>
        <v>0.33333333333333331</v>
      </c>
    </row>
    <row r="104" spans="1:29" x14ac:dyDescent="0.25">
      <c r="A104" s="85">
        <v>46034</v>
      </c>
      <c r="B104" t="s">
        <v>51</v>
      </c>
      <c r="C104" s="95">
        <v>18</v>
      </c>
      <c r="D104">
        <v>1</v>
      </c>
      <c r="E104">
        <v>4</v>
      </c>
      <c r="F104">
        <v>3</v>
      </c>
      <c r="G104">
        <v>15</v>
      </c>
      <c r="H104">
        <v>9</v>
      </c>
      <c r="I104">
        <v>0.75</v>
      </c>
      <c r="J104">
        <v>0.6</v>
      </c>
      <c r="K104">
        <v>1</v>
      </c>
      <c r="L104">
        <v>0</v>
      </c>
      <c r="M104">
        <v>0</v>
      </c>
      <c r="N104">
        <v>1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0</v>
      </c>
      <c r="W104">
        <v>1</v>
      </c>
      <c r="X104">
        <v>0</v>
      </c>
      <c r="Y104">
        <v>0</v>
      </c>
      <c r="Z104">
        <f>AVERAGEIFS($C$2:C104, $B$2:B104, B104)</f>
        <v>12.714285714285714</v>
      </c>
      <c r="AA104">
        <f>AVERAGEIFS($I$2:I104, $B$2:B104, B104)</f>
        <v>0.56428571428571428</v>
      </c>
      <c r="AB104">
        <f>AVERAGEIFS($J$2:J104, $B$2:B104, B104)</f>
        <v>0.54285714285714293</v>
      </c>
      <c r="AC104">
        <f>AVERAGEIFS($D$2:D104, $B$2:B104, B104)</f>
        <v>0.7142857142857143</v>
      </c>
    </row>
    <row r="105" spans="1:29" x14ac:dyDescent="0.25">
      <c r="A105" s="85">
        <v>46034</v>
      </c>
      <c r="B105" t="s">
        <v>19</v>
      </c>
      <c r="C105" s="95">
        <v>13</v>
      </c>
      <c r="D105">
        <v>1</v>
      </c>
      <c r="E105">
        <v>4</v>
      </c>
      <c r="F105">
        <v>3</v>
      </c>
      <c r="G105">
        <v>15</v>
      </c>
      <c r="H105">
        <v>9</v>
      </c>
      <c r="I105">
        <v>0.75</v>
      </c>
      <c r="J105">
        <v>0.6</v>
      </c>
      <c r="K105">
        <v>1</v>
      </c>
      <c r="L105">
        <v>0</v>
      </c>
      <c r="M105">
        <v>0</v>
      </c>
      <c r="N105">
        <v>1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0</v>
      </c>
      <c r="W105">
        <v>1</v>
      </c>
      <c r="X105">
        <v>0</v>
      </c>
      <c r="Y105">
        <v>0</v>
      </c>
      <c r="Z105">
        <f>AVERAGEIFS($C$2:C105, $B$2:B105, B105)</f>
        <v>10.125</v>
      </c>
      <c r="AA105">
        <f>AVERAGEIFS($I$2:I105, $B$2:B105, B105)</f>
        <v>0.45624999999999999</v>
      </c>
      <c r="AB105">
        <f>AVERAGEIFS($J$2:J105, $B$2:B105, B105)</f>
        <v>0.49000000000000005</v>
      </c>
      <c r="AC105">
        <f>AVERAGEIFS($D$2:D105, $B$2:B105, B105)</f>
        <v>0.375</v>
      </c>
    </row>
    <row r="106" spans="1:29" x14ac:dyDescent="0.25">
      <c r="A106" s="85">
        <v>46034</v>
      </c>
      <c r="B106" t="s">
        <v>20</v>
      </c>
      <c r="C106" s="95">
        <v>7</v>
      </c>
      <c r="D106">
        <v>1</v>
      </c>
      <c r="E106">
        <v>4</v>
      </c>
      <c r="F106">
        <v>3</v>
      </c>
      <c r="G106">
        <v>15</v>
      </c>
      <c r="H106">
        <v>9</v>
      </c>
      <c r="I106">
        <v>0.75</v>
      </c>
      <c r="J106">
        <v>0.6</v>
      </c>
      <c r="K106">
        <v>1</v>
      </c>
      <c r="L106">
        <v>0</v>
      </c>
      <c r="M106">
        <v>0</v>
      </c>
      <c r="N106">
        <v>1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1</v>
      </c>
      <c r="X106">
        <v>0</v>
      </c>
      <c r="Y106">
        <v>0</v>
      </c>
      <c r="Z106">
        <f>AVERAGEIFS($C$2:C106, $B$2:B106, B106)</f>
        <v>10.199999999999999</v>
      </c>
      <c r="AA106">
        <f>AVERAGEIFS($I$2:I106, $B$2:B106, B106)</f>
        <v>0.45</v>
      </c>
      <c r="AB106">
        <f>AVERAGEIFS($J$2:J106, $B$2:B106, B106)</f>
        <v>0.45200000000000007</v>
      </c>
      <c r="AC106">
        <f>AVERAGEIFS($D$2:D106, $B$2:B106, B106)</f>
        <v>0.4</v>
      </c>
    </row>
    <row r="107" spans="1:29" x14ac:dyDescent="0.25">
      <c r="A107" s="85">
        <v>46034</v>
      </c>
      <c r="B107" t="s">
        <v>14</v>
      </c>
      <c r="C107" s="95">
        <v>24</v>
      </c>
      <c r="D107">
        <v>0</v>
      </c>
      <c r="E107">
        <v>4</v>
      </c>
      <c r="F107">
        <v>1</v>
      </c>
      <c r="G107">
        <v>15</v>
      </c>
      <c r="H107">
        <v>6</v>
      </c>
      <c r="I107">
        <v>0.25</v>
      </c>
      <c r="J107">
        <v>0.4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1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f>AVERAGEIFS($C$2:C107, $B$2:B107, B107)</f>
        <v>20.857142857142858</v>
      </c>
      <c r="AA107">
        <f>AVERAGEIFS($I$2:I107, $B$2:B107, B107)</f>
        <v>0.51428571428571435</v>
      </c>
      <c r="AB107">
        <f>AVERAGEIFS($J$2:J107, $B$2:B107, B107)</f>
        <v>0.49142857142857144</v>
      </c>
      <c r="AC107">
        <f>AVERAGEIFS($D$2:D107, $B$2:B107, B107)</f>
        <v>0.5714285714285714</v>
      </c>
    </row>
    <row r="108" spans="1:29" x14ac:dyDescent="0.25">
      <c r="A108" s="85">
        <v>46034</v>
      </c>
      <c r="B108" t="s">
        <v>5</v>
      </c>
      <c r="C108" s="95">
        <v>24</v>
      </c>
      <c r="D108">
        <v>0</v>
      </c>
      <c r="E108">
        <v>4</v>
      </c>
      <c r="F108">
        <v>1</v>
      </c>
      <c r="G108">
        <v>15</v>
      </c>
      <c r="H108">
        <v>6</v>
      </c>
      <c r="I108">
        <v>0.25</v>
      </c>
      <c r="J108">
        <v>0.4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1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f>AVERAGEIFS($C$2:C108, $B$2:B108, B108)</f>
        <v>25.333333333333332</v>
      </c>
      <c r="AA108">
        <f>AVERAGEIFS($I$2:I108, $B$2:B108, B108)</f>
        <v>0.3666666666666667</v>
      </c>
      <c r="AB108">
        <f>AVERAGEIFS($J$2:J108, $B$2:B108, B108)</f>
        <v>0.4366666666666667</v>
      </c>
      <c r="AC108">
        <f>AVERAGEIFS($D$2:D108, $B$2:B108, B108)</f>
        <v>0.33333333333333331</v>
      </c>
    </row>
    <row r="109" spans="1:29" x14ac:dyDescent="0.25">
      <c r="A109" s="85">
        <v>46034</v>
      </c>
      <c r="B109" t="s">
        <v>46</v>
      </c>
      <c r="C109" s="95">
        <v>16</v>
      </c>
      <c r="D109">
        <v>0</v>
      </c>
      <c r="E109">
        <v>4</v>
      </c>
      <c r="F109">
        <v>1</v>
      </c>
      <c r="G109">
        <v>15</v>
      </c>
      <c r="H109">
        <v>6</v>
      </c>
      <c r="I109">
        <v>0.25</v>
      </c>
      <c r="J109">
        <v>0.4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1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f>AVERAGEIFS($C$2:C109, $B$2:B109, B109)</f>
        <v>23</v>
      </c>
      <c r="AA109">
        <f>AVERAGEIFS($I$2:I109, $B$2:B109, B109)</f>
        <v>0.32500000000000001</v>
      </c>
      <c r="AB109">
        <f>AVERAGEIFS($J$2:J109, $B$2:B109, B109)</f>
        <v>0.40500000000000003</v>
      </c>
      <c r="AC109">
        <f>AVERAGEIFS($D$2:D109, $B$2:B109, B109)</f>
        <v>0</v>
      </c>
    </row>
    <row r="110" spans="1:29" x14ac:dyDescent="0.25">
      <c r="A110" s="85">
        <v>46034</v>
      </c>
      <c r="B110" t="s">
        <v>45</v>
      </c>
      <c r="C110" s="95">
        <v>14</v>
      </c>
      <c r="D110" s="86">
        <v>0</v>
      </c>
      <c r="E110">
        <v>4</v>
      </c>
      <c r="F110">
        <v>1</v>
      </c>
      <c r="G110">
        <v>15</v>
      </c>
      <c r="H110">
        <v>6</v>
      </c>
      <c r="I110">
        <v>0.25</v>
      </c>
      <c r="J110">
        <v>0.4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1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f>AVERAGEIFS($C$2:C110, $B$2:B110, B110)</f>
        <v>9</v>
      </c>
      <c r="AA110">
        <f>AVERAGEIFS($I$2:I110, $B$2:B110, B110)</f>
        <v>0.3</v>
      </c>
      <c r="AB110">
        <f>AVERAGEIFS($J$2:J110, $B$2:B110, B110)</f>
        <v>0.38000000000000006</v>
      </c>
      <c r="AC110">
        <f>AVERAGEIFS($D$2:D110, $B$2:B110, B110)</f>
        <v>0</v>
      </c>
    </row>
    <row r="111" spans="1:29" x14ac:dyDescent="0.25">
      <c r="A111" s="85">
        <v>46034</v>
      </c>
      <c r="B111" t="s">
        <v>29</v>
      </c>
      <c r="C111" s="95">
        <v>8</v>
      </c>
      <c r="D111">
        <v>0</v>
      </c>
      <c r="E111">
        <v>4</v>
      </c>
      <c r="F111">
        <v>1</v>
      </c>
      <c r="G111">
        <v>15</v>
      </c>
      <c r="H111">
        <v>6</v>
      </c>
      <c r="I111">
        <v>0.25</v>
      </c>
      <c r="J111">
        <v>0.4</v>
      </c>
      <c r="K111">
        <v>0</v>
      </c>
      <c r="L111">
        <v>0</v>
      </c>
      <c r="M111">
        <v>0</v>
      </c>
      <c r="N111">
        <v>0</v>
      </c>
      <c r="O111">
        <v>0</v>
      </c>
      <c r="P111">
        <v>1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f>AVERAGEIFS($C$2:C111, $B$2:B111, B111)</f>
        <v>10.166666666666666</v>
      </c>
      <c r="AA111">
        <f>AVERAGEIFS($I$2:I111, $B$2:B111, B111)</f>
        <v>0.54999999999999993</v>
      </c>
      <c r="AB111">
        <f>AVERAGEIFS($J$2:J111, $B$2:B111, B111)</f>
        <v>0.5149999999999999</v>
      </c>
      <c r="AC111">
        <f>AVERAGEIFS($D$2:D111, $B$2:B111, B111)</f>
        <v>0.5</v>
      </c>
    </row>
    <row r="112" spans="1:29" x14ac:dyDescent="0.25">
      <c r="A112" s="85">
        <v>46034</v>
      </c>
      <c r="B112" t="s">
        <v>35</v>
      </c>
      <c r="C112" s="95">
        <v>6</v>
      </c>
      <c r="D112">
        <v>0</v>
      </c>
      <c r="E112">
        <v>4</v>
      </c>
      <c r="F112">
        <v>1</v>
      </c>
      <c r="G112">
        <v>15</v>
      </c>
      <c r="H112">
        <v>6</v>
      </c>
      <c r="I112">
        <v>0.25</v>
      </c>
      <c r="J112">
        <v>0.4</v>
      </c>
      <c r="K112">
        <v>0</v>
      </c>
      <c r="L112">
        <v>0</v>
      </c>
      <c r="M112">
        <v>0</v>
      </c>
      <c r="N112">
        <v>0</v>
      </c>
      <c r="O112">
        <v>0</v>
      </c>
      <c r="P112">
        <v>1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f>AVERAGEIFS($C$2:C112, $B$2:B112, B112)</f>
        <v>10</v>
      </c>
      <c r="AA112">
        <f>AVERAGEIFS($I$2:I112, $B$2:B112, B112)</f>
        <v>0.46250000000000002</v>
      </c>
      <c r="AB112">
        <f>AVERAGEIFS($J$2:J112, $B$2:B112, B112)</f>
        <v>0.50750000000000006</v>
      </c>
      <c r="AC112">
        <f>AVERAGEIFS($D$2:D112, $B$2:B112, B112)</f>
        <v>0.5</v>
      </c>
    </row>
    <row r="113" spans="1:29" x14ac:dyDescent="0.25">
      <c r="A113" s="85">
        <v>46037</v>
      </c>
      <c r="B113" t="s">
        <v>17</v>
      </c>
      <c r="C113" s="95">
        <v>36</v>
      </c>
      <c r="D113" s="86">
        <v>1</v>
      </c>
      <c r="E113">
        <v>4</v>
      </c>
      <c r="F113">
        <v>3</v>
      </c>
      <c r="G113">
        <v>17</v>
      </c>
      <c r="H113">
        <v>10</v>
      </c>
      <c r="I113">
        <v>0.75</v>
      </c>
      <c r="J113">
        <v>0.59</v>
      </c>
      <c r="K113">
        <v>0</v>
      </c>
      <c r="L113">
        <v>0</v>
      </c>
      <c r="M113">
        <v>0</v>
      </c>
      <c r="N113">
        <v>1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1</v>
      </c>
      <c r="W113">
        <v>0</v>
      </c>
      <c r="X113">
        <v>0</v>
      </c>
      <c r="Y113">
        <v>0</v>
      </c>
      <c r="Z113">
        <f>AVERAGEIFS($C$2:C113, $B$2:B113, B113)</f>
        <v>25.222222222222221</v>
      </c>
      <c r="AA113">
        <f>AVERAGEIFS($I$2:I113, $B$2:B113, B113)</f>
        <v>0.56111111111111112</v>
      </c>
      <c r="AB113">
        <f>AVERAGEIFS($J$2:J113, $B$2:B113, B113)</f>
        <v>0.5477777777777777</v>
      </c>
      <c r="AC113">
        <f>AVERAGEIFS($D$2:D113, $B$2:B113, B113)</f>
        <v>0.55555555555555558</v>
      </c>
    </row>
    <row r="114" spans="1:29" x14ac:dyDescent="0.25">
      <c r="A114" s="85">
        <v>46037</v>
      </c>
      <c r="B114" t="s">
        <v>13</v>
      </c>
      <c r="C114" s="95">
        <v>23</v>
      </c>
      <c r="D114" s="86">
        <v>1</v>
      </c>
      <c r="E114">
        <v>4</v>
      </c>
      <c r="F114">
        <v>3</v>
      </c>
      <c r="G114">
        <v>17</v>
      </c>
      <c r="H114">
        <v>10</v>
      </c>
      <c r="I114">
        <v>0.75</v>
      </c>
      <c r="J114">
        <v>0.59</v>
      </c>
      <c r="K114">
        <v>0</v>
      </c>
      <c r="L114">
        <v>0</v>
      </c>
      <c r="M114">
        <v>0</v>
      </c>
      <c r="N114">
        <v>1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1</v>
      </c>
      <c r="W114">
        <v>0</v>
      </c>
      <c r="X114">
        <v>0</v>
      </c>
      <c r="Y114">
        <v>0</v>
      </c>
      <c r="Z114">
        <f>AVERAGEIFS($C$2:C114, $B$2:B114, B114)</f>
        <v>27.555555555555557</v>
      </c>
      <c r="AA114">
        <f>AVERAGEIFS($I$2:I114, $B$2:B114, B114)</f>
        <v>0.58333333333333337</v>
      </c>
      <c r="AB114">
        <f>AVERAGEIFS($J$2:J114, $B$2:B114, B114)</f>
        <v>0.54666666666666663</v>
      </c>
      <c r="AC114">
        <f>AVERAGEIFS($D$2:D114, $B$2:B114, B114)</f>
        <v>0.66666666666666663</v>
      </c>
    </row>
    <row r="115" spans="1:29" x14ac:dyDescent="0.25">
      <c r="A115" s="85">
        <v>46037</v>
      </c>
      <c r="B115" t="s">
        <v>27</v>
      </c>
      <c r="C115" s="95">
        <v>20</v>
      </c>
      <c r="D115" s="86">
        <v>1</v>
      </c>
      <c r="E115">
        <v>4</v>
      </c>
      <c r="F115">
        <v>3</v>
      </c>
      <c r="G115">
        <v>17</v>
      </c>
      <c r="H115">
        <v>10</v>
      </c>
      <c r="I115">
        <v>0.75</v>
      </c>
      <c r="J115">
        <v>0.59</v>
      </c>
      <c r="K115">
        <v>0</v>
      </c>
      <c r="L115">
        <v>0</v>
      </c>
      <c r="M115">
        <v>0</v>
      </c>
      <c r="N115">
        <v>1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1</v>
      </c>
      <c r="W115">
        <v>0</v>
      </c>
      <c r="X115">
        <v>0</v>
      </c>
      <c r="Y115">
        <v>0</v>
      </c>
      <c r="Z115">
        <f>AVERAGEIFS($C$2:C115, $B$2:B115, B115)</f>
        <v>13</v>
      </c>
      <c r="AA115">
        <f>AVERAGEIFS($I$2:I115, $B$2:B115, B115)</f>
        <v>0.41249999999999998</v>
      </c>
      <c r="AB115">
        <f>AVERAGEIFS($J$2:J115, $B$2:B115, B115)</f>
        <v>0.44999999999999996</v>
      </c>
      <c r="AC115">
        <f>AVERAGEIFS($D$2:D115, $B$2:B115, B115)</f>
        <v>0.25</v>
      </c>
    </row>
    <row r="116" spans="1:29" x14ac:dyDescent="0.25">
      <c r="A116" s="85">
        <v>46037</v>
      </c>
      <c r="B116" t="s">
        <v>55</v>
      </c>
      <c r="C116" s="95">
        <v>18</v>
      </c>
      <c r="D116" s="86">
        <v>1</v>
      </c>
      <c r="E116">
        <v>4</v>
      </c>
      <c r="F116">
        <v>3</v>
      </c>
      <c r="G116">
        <v>17</v>
      </c>
      <c r="H116">
        <v>10</v>
      </c>
      <c r="I116">
        <v>0.75</v>
      </c>
      <c r="J116">
        <v>0.59</v>
      </c>
      <c r="K116">
        <v>0</v>
      </c>
      <c r="L116">
        <v>0</v>
      </c>
      <c r="M116">
        <v>0</v>
      </c>
      <c r="N116">
        <v>1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1</v>
      </c>
      <c r="W116">
        <v>0</v>
      </c>
      <c r="X116">
        <v>0</v>
      </c>
      <c r="Y116">
        <v>0</v>
      </c>
      <c r="Z116">
        <f>AVERAGEIFS($C$2:C116, $B$2:B116, B116)</f>
        <v>11.8</v>
      </c>
      <c r="AA116">
        <f>AVERAGEIFS($I$2:I116, $B$2:B116, B116)</f>
        <v>0.62</v>
      </c>
      <c r="AB116">
        <f>AVERAGEIFS($J$2:J116, $B$2:B116, B116)</f>
        <v>0.52600000000000002</v>
      </c>
      <c r="AC116">
        <f>AVERAGEIFS($D$2:D116, $B$2:B116, B116)</f>
        <v>0.8</v>
      </c>
    </row>
    <row r="117" spans="1:29" x14ac:dyDescent="0.25">
      <c r="A117" s="85">
        <v>46037</v>
      </c>
      <c r="B117" t="s">
        <v>2</v>
      </c>
      <c r="C117" s="95">
        <v>17</v>
      </c>
      <c r="D117" s="86">
        <v>1</v>
      </c>
      <c r="E117">
        <v>4</v>
      </c>
      <c r="F117">
        <v>3</v>
      </c>
      <c r="G117">
        <v>17</v>
      </c>
      <c r="H117">
        <v>10</v>
      </c>
      <c r="I117">
        <v>0.75</v>
      </c>
      <c r="J117">
        <v>0.59</v>
      </c>
      <c r="K117">
        <v>0</v>
      </c>
      <c r="L117">
        <v>0</v>
      </c>
      <c r="M117">
        <v>0</v>
      </c>
      <c r="N117">
        <v>1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1</v>
      </c>
      <c r="W117">
        <v>0</v>
      </c>
      <c r="X117">
        <v>0</v>
      </c>
      <c r="Y117">
        <v>0</v>
      </c>
      <c r="Z117">
        <f>AVERAGEIFS($C$2:C117, $B$2:B117, B117)</f>
        <v>21.833333333333332</v>
      </c>
      <c r="AA117">
        <f>AVERAGEIFS($I$2:I117, $B$2:B117, B117)</f>
        <v>0.52500000000000002</v>
      </c>
      <c r="AB117">
        <f>AVERAGEIFS($J$2:J117, $B$2:B117, B117)</f>
        <v>0.51666666666666672</v>
      </c>
      <c r="AC117">
        <f>AVERAGEIFS($D$2:D117, $B$2:B117, B117)</f>
        <v>0.5</v>
      </c>
    </row>
    <row r="118" spans="1:29" x14ac:dyDescent="0.25">
      <c r="A118" s="85">
        <v>46037</v>
      </c>
      <c r="B118" t="s">
        <v>26</v>
      </c>
      <c r="C118" s="95">
        <v>10</v>
      </c>
      <c r="D118" s="86">
        <v>1</v>
      </c>
      <c r="E118">
        <v>4</v>
      </c>
      <c r="F118">
        <v>3</v>
      </c>
      <c r="G118">
        <v>17</v>
      </c>
      <c r="H118">
        <v>10</v>
      </c>
      <c r="I118">
        <v>0.75</v>
      </c>
      <c r="J118">
        <v>0.59</v>
      </c>
      <c r="K118">
        <v>0</v>
      </c>
      <c r="L118">
        <v>0</v>
      </c>
      <c r="M118">
        <v>0</v>
      </c>
      <c r="N118">
        <v>1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1</v>
      </c>
      <c r="W118">
        <v>0</v>
      </c>
      <c r="X118">
        <v>0</v>
      </c>
      <c r="Y118">
        <v>0</v>
      </c>
      <c r="Z118">
        <f>AVERAGEIFS($C$2:C118, $B$2:B118, B118)</f>
        <v>10.4</v>
      </c>
      <c r="AA118">
        <f>AVERAGEIFS($I$2:I118, $B$2:B118, B118)</f>
        <v>0.65</v>
      </c>
      <c r="AB118">
        <f>AVERAGEIFS($J$2:J118, $B$2:B118, B118)</f>
        <v>0.56999999999999995</v>
      </c>
      <c r="AC118">
        <f>AVERAGEIFS($D$2:D118, $B$2:B118, B118)</f>
        <v>0.8</v>
      </c>
    </row>
    <row r="119" spans="1:29" x14ac:dyDescent="0.25">
      <c r="A119" s="85">
        <v>46037</v>
      </c>
      <c r="B119" t="s">
        <v>19</v>
      </c>
      <c r="C119" s="95">
        <v>10</v>
      </c>
      <c r="D119" s="86">
        <v>1</v>
      </c>
      <c r="E119">
        <v>4</v>
      </c>
      <c r="F119">
        <v>3</v>
      </c>
      <c r="G119">
        <v>17</v>
      </c>
      <c r="H119">
        <v>10</v>
      </c>
      <c r="I119">
        <v>0.75</v>
      </c>
      <c r="J119">
        <v>0.59</v>
      </c>
      <c r="K119">
        <v>0</v>
      </c>
      <c r="L119">
        <v>0</v>
      </c>
      <c r="M119">
        <v>0</v>
      </c>
      <c r="N119">
        <v>1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1</v>
      </c>
      <c r="W119">
        <v>0</v>
      </c>
      <c r="X119">
        <v>0</v>
      </c>
      <c r="Y119">
        <v>0</v>
      </c>
      <c r="Z119">
        <f>AVERAGEIFS($C$2:C119, $B$2:B119, B119)</f>
        <v>10.111111111111111</v>
      </c>
      <c r="AA119">
        <f>AVERAGEIFS($I$2:I119, $B$2:B119, B119)</f>
        <v>0.48888888888888893</v>
      </c>
      <c r="AB119">
        <f>AVERAGEIFS($J$2:J119, $B$2:B119, B119)</f>
        <v>0.50111111111111117</v>
      </c>
      <c r="AC119">
        <f>AVERAGEIFS($D$2:D119, $B$2:B119, B119)</f>
        <v>0.44444444444444442</v>
      </c>
    </row>
    <row r="120" spans="1:29" x14ac:dyDescent="0.25">
      <c r="A120" s="85">
        <v>46037</v>
      </c>
      <c r="B120" t="s">
        <v>137</v>
      </c>
      <c r="C120" s="95">
        <v>3</v>
      </c>
      <c r="D120" s="86">
        <v>1</v>
      </c>
      <c r="E120">
        <v>4</v>
      </c>
      <c r="F120">
        <v>3</v>
      </c>
      <c r="G120">
        <v>17</v>
      </c>
      <c r="H120">
        <v>10</v>
      </c>
      <c r="I120">
        <v>0.75</v>
      </c>
      <c r="J120">
        <v>0.59</v>
      </c>
      <c r="K120">
        <v>0</v>
      </c>
      <c r="L120">
        <v>0</v>
      </c>
      <c r="M120">
        <v>0</v>
      </c>
      <c r="N120">
        <v>1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1</v>
      </c>
      <c r="W120">
        <v>0</v>
      </c>
      <c r="X120">
        <v>0</v>
      </c>
      <c r="Y120">
        <v>0</v>
      </c>
      <c r="Z120">
        <f>AVERAGEIFS($C$2:C120, $B$2:B120, B120)</f>
        <v>3</v>
      </c>
      <c r="AA120">
        <f>AVERAGEIFS($I$2:I120, $B$2:B120, B120)</f>
        <v>0.75</v>
      </c>
      <c r="AB120">
        <f>AVERAGEIFS($J$2:J120, $B$2:B120, B120)</f>
        <v>0.59</v>
      </c>
      <c r="AC120">
        <f>AVERAGEIFS($D$2:D120, $B$2:B120, B120)</f>
        <v>1</v>
      </c>
    </row>
    <row r="121" spans="1:29" x14ac:dyDescent="0.25">
      <c r="A121" s="85">
        <v>46037</v>
      </c>
      <c r="B121" t="s">
        <v>15</v>
      </c>
      <c r="C121" s="95">
        <v>24</v>
      </c>
      <c r="D121" s="86">
        <v>0</v>
      </c>
      <c r="E121">
        <v>4</v>
      </c>
      <c r="F121">
        <v>1</v>
      </c>
      <c r="G121">
        <v>17</v>
      </c>
      <c r="H121">
        <v>7</v>
      </c>
      <c r="I121">
        <v>0.25</v>
      </c>
      <c r="J121">
        <v>0.41</v>
      </c>
      <c r="K121">
        <v>0</v>
      </c>
      <c r="L121">
        <v>0</v>
      </c>
      <c r="M121">
        <v>0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1</v>
      </c>
      <c r="Y121">
        <v>0</v>
      </c>
      <c r="Z121">
        <f>AVERAGEIFS($C$2:C121, $B$2:B121, B121)</f>
        <v>22.571428571428573</v>
      </c>
      <c r="AA121">
        <f>AVERAGEIFS($I$2:I121, $B$2:B121, B121)</f>
        <v>0.39285714285714285</v>
      </c>
      <c r="AB121">
        <f>AVERAGEIFS($J$2:J121, $B$2:B121, B121)</f>
        <v>0.43</v>
      </c>
      <c r="AC121">
        <f>AVERAGEIFS($D$2:D121, $B$2:B121, B121)</f>
        <v>0.2857142857142857</v>
      </c>
    </row>
    <row r="122" spans="1:29" x14ac:dyDescent="0.25">
      <c r="A122" s="85">
        <v>46037</v>
      </c>
      <c r="B122" t="s">
        <v>5</v>
      </c>
      <c r="C122" s="95">
        <v>21</v>
      </c>
      <c r="D122" s="86">
        <v>0</v>
      </c>
      <c r="E122">
        <v>4</v>
      </c>
      <c r="F122">
        <v>1</v>
      </c>
      <c r="G122">
        <v>17</v>
      </c>
      <c r="H122">
        <v>7</v>
      </c>
      <c r="I122">
        <v>0.25</v>
      </c>
      <c r="J122">
        <v>0.41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1</v>
      </c>
      <c r="Y122">
        <v>0</v>
      </c>
      <c r="Z122">
        <f>AVERAGEIFS($C$2:C122, $B$2:B122, B122)</f>
        <v>24.25</v>
      </c>
      <c r="AA122">
        <f>AVERAGEIFS($I$2:I122, $B$2:B122, B122)</f>
        <v>0.33750000000000002</v>
      </c>
      <c r="AB122">
        <f>AVERAGEIFS($J$2:J122, $B$2:B122, B122)</f>
        <v>0.43</v>
      </c>
      <c r="AC122">
        <f>AVERAGEIFS($D$2:D122, $B$2:B122, B122)</f>
        <v>0.25</v>
      </c>
    </row>
    <row r="123" spans="1:29" x14ac:dyDescent="0.25">
      <c r="A123" s="85">
        <v>46037</v>
      </c>
      <c r="B123" t="s">
        <v>14</v>
      </c>
      <c r="C123" s="95">
        <v>17</v>
      </c>
      <c r="D123" s="86">
        <v>0</v>
      </c>
      <c r="E123">
        <v>4</v>
      </c>
      <c r="F123">
        <v>1</v>
      </c>
      <c r="G123">
        <v>17</v>
      </c>
      <c r="H123">
        <v>7</v>
      </c>
      <c r="I123">
        <v>0.25</v>
      </c>
      <c r="J123">
        <v>0.41</v>
      </c>
      <c r="K123">
        <v>0</v>
      </c>
      <c r="L123">
        <v>0</v>
      </c>
      <c r="M123">
        <v>0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1</v>
      </c>
      <c r="Y123">
        <v>0</v>
      </c>
      <c r="Z123">
        <f>AVERAGEIFS($C$2:C123, $B$2:B123, B123)</f>
        <v>20.375</v>
      </c>
      <c r="AA123">
        <f>AVERAGEIFS($I$2:I123, $B$2:B123, B123)</f>
        <v>0.48125000000000001</v>
      </c>
      <c r="AB123">
        <f>AVERAGEIFS($J$2:J123, $B$2:B123, B123)</f>
        <v>0.48125000000000001</v>
      </c>
      <c r="AC123">
        <f>AVERAGEIFS($D$2:D123, $B$2:B123, B123)</f>
        <v>0.5</v>
      </c>
    </row>
    <row r="124" spans="1:29" x14ac:dyDescent="0.25">
      <c r="A124" s="85">
        <v>46037</v>
      </c>
      <c r="B124" t="s">
        <v>6</v>
      </c>
      <c r="C124" s="95">
        <v>17</v>
      </c>
      <c r="D124" s="86">
        <v>0</v>
      </c>
      <c r="E124">
        <v>4</v>
      </c>
      <c r="F124">
        <v>1</v>
      </c>
      <c r="G124">
        <v>17</v>
      </c>
      <c r="H124">
        <v>7</v>
      </c>
      <c r="I124">
        <v>0.25</v>
      </c>
      <c r="J124">
        <v>0.41</v>
      </c>
      <c r="K124">
        <v>0</v>
      </c>
      <c r="L124">
        <v>0</v>
      </c>
      <c r="M124">
        <v>0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1</v>
      </c>
      <c r="Y124">
        <v>0</v>
      </c>
      <c r="Z124">
        <f>AVERAGEIFS($C$2:C124, $B$2:B124, B124)</f>
        <v>13.666666666666666</v>
      </c>
      <c r="AA124">
        <f>AVERAGEIFS($I$2:I124, $B$2:B124, B124)</f>
        <v>0.53333333333333333</v>
      </c>
      <c r="AB124">
        <f>AVERAGEIFS($J$2:J124, $B$2:B124, B124)</f>
        <v>0.55666666666666664</v>
      </c>
      <c r="AC124">
        <f>AVERAGEIFS($D$2:D124, $B$2:B124, B124)</f>
        <v>0.66666666666666663</v>
      </c>
    </row>
    <row r="125" spans="1:29" x14ac:dyDescent="0.25">
      <c r="A125" s="85">
        <v>46037</v>
      </c>
      <c r="B125" t="s">
        <v>51</v>
      </c>
      <c r="C125" s="95">
        <v>12</v>
      </c>
      <c r="D125" s="86">
        <v>0</v>
      </c>
      <c r="E125">
        <v>4</v>
      </c>
      <c r="F125">
        <v>1</v>
      </c>
      <c r="G125">
        <v>17</v>
      </c>
      <c r="H125">
        <v>7</v>
      </c>
      <c r="I125">
        <v>0.25</v>
      </c>
      <c r="J125">
        <v>0.41</v>
      </c>
      <c r="K125">
        <v>0</v>
      </c>
      <c r="L125">
        <v>0</v>
      </c>
      <c r="M125">
        <v>0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1</v>
      </c>
      <c r="Y125">
        <v>0</v>
      </c>
      <c r="Z125">
        <f>AVERAGEIFS($C$2:C125, $B$2:B125, B125)</f>
        <v>12.625</v>
      </c>
      <c r="AA125">
        <f>AVERAGEIFS($I$2:I125, $B$2:B125, B125)</f>
        <v>0.52500000000000002</v>
      </c>
      <c r="AB125">
        <f>AVERAGEIFS($J$2:J125, $B$2:B125, B125)</f>
        <v>0.52625</v>
      </c>
      <c r="AC125">
        <f>AVERAGEIFS($D$2:D125, $B$2:B125, B125)</f>
        <v>0.625</v>
      </c>
    </row>
    <row r="126" spans="1:29" x14ac:dyDescent="0.25">
      <c r="A126" s="85">
        <v>46037</v>
      </c>
      <c r="B126" t="s">
        <v>45</v>
      </c>
      <c r="C126" s="95">
        <v>11</v>
      </c>
      <c r="D126" s="86">
        <v>0</v>
      </c>
      <c r="E126">
        <v>4</v>
      </c>
      <c r="F126">
        <v>1</v>
      </c>
      <c r="G126">
        <v>17</v>
      </c>
      <c r="H126">
        <v>7</v>
      </c>
      <c r="I126">
        <v>0.25</v>
      </c>
      <c r="J126">
        <v>0.41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1</v>
      </c>
      <c r="Y126">
        <v>0</v>
      </c>
      <c r="Z126">
        <f>AVERAGEIFS($C$2:C126, $B$2:B126, B126)</f>
        <v>9.5</v>
      </c>
      <c r="AA126">
        <f>AVERAGEIFS($I$2:I126, $B$2:B126, B126)</f>
        <v>0.28749999999999998</v>
      </c>
      <c r="AB126">
        <f>AVERAGEIFS($J$2:J126, $B$2:B126, B126)</f>
        <v>0.38750000000000001</v>
      </c>
      <c r="AC126">
        <f>AVERAGEIFS($D$2:D126, $B$2:B126, B126)</f>
        <v>0</v>
      </c>
    </row>
    <row r="127" spans="1:29" x14ac:dyDescent="0.25">
      <c r="A127" s="85">
        <v>46037</v>
      </c>
      <c r="B127" t="s">
        <v>28</v>
      </c>
      <c r="C127" s="95">
        <v>9</v>
      </c>
      <c r="D127" s="86">
        <v>0</v>
      </c>
      <c r="E127">
        <v>4</v>
      </c>
      <c r="F127">
        <v>1</v>
      </c>
      <c r="G127">
        <v>17</v>
      </c>
      <c r="H127">
        <v>7</v>
      </c>
      <c r="I127">
        <v>0.25</v>
      </c>
      <c r="J127">
        <v>0.41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1</v>
      </c>
      <c r="Y127">
        <v>0</v>
      </c>
      <c r="Z127">
        <f>AVERAGEIFS($C$2:C127, $B$2:B127, B127)</f>
        <v>12.5</v>
      </c>
      <c r="AA127">
        <f>AVERAGEIFS($I$2:I127, $B$2:B127, B127)</f>
        <v>0.46666666666666662</v>
      </c>
      <c r="AB127">
        <f>AVERAGEIFS($J$2:J127, $B$2:B127, B127)</f>
        <v>0.50833333333333341</v>
      </c>
      <c r="AC127">
        <f>AVERAGEIFS($D$2:D127, $B$2:B127, B127)</f>
        <v>0.33333333333333331</v>
      </c>
    </row>
    <row r="128" spans="1:29" x14ac:dyDescent="0.25">
      <c r="A128" s="85">
        <v>46037</v>
      </c>
      <c r="B128" t="s">
        <v>29</v>
      </c>
      <c r="C128" s="95">
        <v>7</v>
      </c>
      <c r="D128" s="86">
        <v>0</v>
      </c>
      <c r="E128">
        <v>4</v>
      </c>
      <c r="F128">
        <v>1</v>
      </c>
      <c r="G128">
        <v>17</v>
      </c>
      <c r="H128">
        <v>7</v>
      </c>
      <c r="I128">
        <v>0.25</v>
      </c>
      <c r="J128">
        <v>0.41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1</v>
      </c>
      <c r="Y128">
        <v>0</v>
      </c>
      <c r="Z128">
        <f>AVERAGEIFS($C$2:C128, $B$2:B128, B128)</f>
        <v>9.7142857142857135</v>
      </c>
      <c r="AA128">
        <f>AVERAGEIFS($I$2:I128, $B$2:B128, B128)</f>
        <v>0.50714285714285712</v>
      </c>
      <c r="AB128">
        <f>AVERAGEIFS($J$2:J128, $B$2:B128, B128)</f>
        <v>0.49999999999999994</v>
      </c>
      <c r="AC128">
        <f>AVERAGEIFS($D$2:D128, $B$2:B128, B128)</f>
        <v>0.42857142857142855</v>
      </c>
    </row>
    <row r="129" spans="1:29" x14ac:dyDescent="0.25">
      <c r="A129" s="85">
        <v>46040</v>
      </c>
      <c r="B129" t="s">
        <v>3</v>
      </c>
      <c r="C129" s="95">
        <v>44</v>
      </c>
      <c r="D129" s="86">
        <v>1</v>
      </c>
      <c r="E129">
        <v>5</v>
      </c>
      <c r="F129">
        <v>3</v>
      </c>
      <c r="G129">
        <v>19</v>
      </c>
      <c r="H129">
        <v>11</v>
      </c>
      <c r="I129">
        <v>0.6</v>
      </c>
      <c r="J129">
        <v>0.57999999999999996</v>
      </c>
      <c r="K129">
        <v>0</v>
      </c>
      <c r="L129">
        <v>0</v>
      </c>
      <c r="M129">
        <v>0</v>
      </c>
      <c r="N129">
        <v>0</v>
      </c>
      <c r="O129">
        <v>1</v>
      </c>
      <c r="P129">
        <v>1</v>
      </c>
      <c r="Q129">
        <v>1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0</v>
      </c>
      <c r="Z129">
        <f>AVERAGEIFS($C$2:C129, $B$2:B129, B129)</f>
        <v>24.833333333333332</v>
      </c>
      <c r="AA129">
        <f>AVERAGEIFS($I$2:I129, $B$2:B129, B129)</f>
        <v>0.55833333333333335</v>
      </c>
      <c r="AB129">
        <f>AVERAGEIFS($J$2:J129, $B$2:B129, B129)</f>
        <v>0.53833333333333322</v>
      </c>
      <c r="AC129">
        <f>AVERAGEIFS($D$2:D129, $B$2:B129, B129)</f>
        <v>0.66666666666666663</v>
      </c>
    </row>
    <row r="130" spans="1:29" x14ac:dyDescent="0.25">
      <c r="A130" s="85">
        <v>46040</v>
      </c>
      <c r="B130" t="s">
        <v>13</v>
      </c>
      <c r="C130" s="95">
        <v>29</v>
      </c>
      <c r="D130" s="86">
        <v>1</v>
      </c>
      <c r="E130">
        <v>5</v>
      </c>
      <c r="F130">
        <v>3</v>
      </c>
      <c r="G130">
        <v>19</v>
      </c>
      <c r="H130">
        <v>11</v>
      </c>
      <c r="I130">
        <v>0.6</v>
      </c>
      <c r="J130">
        <v>0.57999999999999996</v>
      </c>
      <c r="K130">
        <v>0</v>
      </c>
      <c r="L130">
        <v>0</v>
      </c>
      <c r="M130">
        <v>0</v>
      </c>
      <c r="N130">
        <v>0</v>
      </c>
      <c r="O130">
        <v>1</v>
      </c>
      <c r="P130">
        <v>1</v>
      </c>
      <c r="Q130">
        <v>1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0</v>
      </c>
      <c r="Z130">
        <f>AVERAGEIFS($C$2:C130, $B$2:B130, B130)</f>
        <v>27.7</v>
      </c>
      <c r="AA130">
        <f>AVERAGEIFS($I$2:I130, $B$2:B130, B130)</f>
        <v>0.58499999999999996</v>
      </c>
      <c r="AB130">
        <f>AVERAGEIFS($J$2:J130, $B$2:B130, B130)</f>
        <v>0.55000000000000004</v>
      </c>
      <c r="AC130">
        <f>AVERAGEIFS($D$2:D130, $B$2:B130, B130)</f>
        <v>0.7</v>
      </c>
    </row>
    <row r="131" spans="1:29" x14ac:dyDescent="0.25">
      <c r="A131" s="85">
        <v>46040</v>
      </c>
      <c r="B131" t="s">
        <v>54</v>
      </c>
      <c r="C131" s="95">
        <v>24</v>
      </c>
      <c r="D131" s="86">
        <v>1</v>
      </c>
      <c r="E131">
        <v>5</v>
      </c>
      <c r="F131">
        <v>3</v>
      </c>
      <c r="G131">
        <v>19</v>
      </c>
      <c r="H131">
        <v>11</v>
      </c>
      <c r="I131">
        <v>0.6</v>
      </c>
      <c r="J131">
        <v>0.57999999999999996</v>
      </c>
      <c r="K131">
        <v>0</v>
      </c>
      <c r="L131">
        <v>0</v>
      </c>
      <c r="M131">
        <v>0</v>
      </c>
      <c r="N131">
        <v>0</v>
      </c>
      <c r="O131">
        <v>1</v>
      </c>
      <c r="P131">
        <v>1</v>
      </c>
      <c r="Q131">
        <v>1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f>AVERAGEIFS($C$2:C131, $B$2:B131, B131)</f>
        <v>21.666666666666668</v>
      </c>
      <c r="AA131">
        <f>AVERAGEIFS($I$2:I131, $B$2:B131, B131)</f>
        <v>0.6</v>
      </c>
      <c r="AB131">
        <f>AVERAGEIFS($J$2:J131, $B$2:B131, B131)</f>
        <v>0.57999999999999996</v>
      </c>
      <c r="AC131">
        <f>AVERAGEIFS($D$2:D131, $B$2:B131, B131)</f>
        <v>1</v>
      </c>
    </row>
    <row r="132" spans="1:29" x14ac:dyDescent="0.25">
      <c r="A132" s="85">
        <v>46040</v>
      </c>
      <c r="B132" t="s">
        <v>26</v>
      </c>
      <c r="C132" s="95">
        <v>19</v>
      </c>
      <c r="D132" s="86">
        <v>1</v>
      </c>
      <c r="E132">
        <v>5</v>
      </c>
      <c r="F132">
        <v>3</v>
      </c>
      <c r="G132">
        <v>19</v>
      </c>
      <c r="H132">
        <v>11</v>
      </c>
      <c r="I132">
        <v>0.6</v>
      </c>
      <c r="J132">
        <v>0.57999999999999996</v>
      </c>
      <c r="K132">
        <v>0</v>
      </c>
      <c r="L132">
        <v>0</v>
      </c>
      <c r="M132">
        <v>0</v>
      </c>
      <c r="N132">
        <v>0</v>
      </c>
      <c r="O132">
        <v>1</v>
      </c>
      <c r="P132">
        <v>1</v>
      </c>
      <c r="Q132">
        <v>1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f>AVERAGEIFS($C$2:C132, $B$2:B132, B132)</f>
        <v>11.833333333333334</v>
      </c>
      <c r="AA132">
        <f>AVERAGEIFS($I$2:I132, $B$2:B132, B132)</f>
        <v>0.64166666666666672</v>
      </c>
      <c r="AB132">
        <f>AVERAGEIFS($J$2:J132, $B$2:B132, B132)</f>
        <v>0.57166666666666666</v>
      </c>
      <c r="AC132">
        <f>AVERAGEIFS($D$2:D132, $B$2:B132, B132)</f>
        <v>0.83333333333333337</v>
      </c>
    </row>
    <row r="133" spans="1:29" x14ac:dyDescent="0.25">
      <c r="A133" s="85">
        <v>46040</v>
      </c>
      <c r="B133" t="s">
        <v>27</v>
      </c>
      <c r="C133" s="95">
        <v>17</v>
      </c>
      <c r="D133" s="86">
        <v>1</v>
      </c>
      <c r="E133">
        <v>5</v>
      </c>
      <c r="F133">
        <v>3</v>
      </c>
      <c r="G133">
        <v>19</v>
      </c>
      <c r="H133">
        <v>11</v>
      </c>
      <c r="I133">
        <v>0.6</v>
      </c>
      <c r="J133">
        <v>0.57999999999999996</v>
      </c>
      <c r="K133">
        <v>0</v>
      </c>
      <c r="L133">
        <v>0</v>
      </c>
      <c r="M133">
        <v>0</v>
      </c>
      <c r="N133">
        <v>0</v>
      </c>
      <c r="O133">
        <v>1</v>
      </c>
      <c r="P133">
        <v>1</v>
      </c>
      <c r="Q133">
        <v>1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f>AVERAGEIFS($C$2:C133, $B$2:B133, B133)</f>
        <v>13.8</v>
      </c>
      <c r="AA133">
        <f>AVERAGEIFS($I$2:I133, $B$2:B133, B133)</f>
        <v>0.45</v>
      </c>
      <c r="AB133">
        <f>AVERAGEIFS($J$2:J133, $B$2:B133, B133)</f>
        <v>0.47599999999999998</v>
      </c>
      <c r="AC133">
        <f>AVERAGEIFS($D$2:D133, $B$2:B133, B133)</f>
        <v>0.4</v>
      </c>
    </row>
    <row r="134" spans="1:29" x14ac:dyDescent="0.25">
      <c r="A134" s="85">
        <v>46040</v>
      </c>
      <c r="B134" t="s">
        <v>53</v>
      </c>
      <c r="C134" s="95">
        <v>11</v>
      </c>
      <c r="D134" s="86">
        <v>1</v>
      </c>
      <c r="E134">
        <v>5</v>
      </c>
      <c r="F134">
        <v>3</v>
      </c>
      <c r="G134">
        <v>19</v>
      </c>
      <c r="H134">
        <v>11</v>
      </c>
      <c r="I134">
        <v>0.6</v>
      </c>
      <c r="J134">
        <v>0.57999999999999996</v>
      </c>
      <c r="K134">
        <v>0</v>
      </c>
      <c r="L134">
        <v>0</v>
      </c>
      <c r="M134">
        <v>0</v>
      </c>
      <c r="N134">
        <v>0</v>
      </c>
      <c r="O134">
        <v>1</v>
      </c>
      <c r="P134">
        <v>1</v>
      </c>
      <c r="Q134">
        <v>1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f>AVERAGEIFS($C$2:C134, $B$2:B134, B134)</f>
        <v>18</v>
      </c>
      <c r="AA134">
        <f>AVERAGEIFS($I$2:I134, $B$2:B134, B134)</f>
        <v>0.6</v>
      </c>
      <c r="AB134">
        <f>AVERAGEIFS($J$2:J134, $B$2:B134, B134)</f>
        <v>0.57499999999999996</v>
      </c>
      <c r="AC134">
        <f>AVERAGEIFS($D$2:D134, $B$2:B134, B134)</f>
        <v>1</v>
      </c>
    </row>
    <row r="135" spans="1:29" x14ac:dyDescent="0.25">
      <c r="A135" s="85">
        <v>46040</v>
      </c>
      <c r="B135" t="s">
        <v>18</v>
      </c>
      <c r="C135" s="95">
        <v>35</v>
      </c>
      <c r="D135" s="86">
        <v>0</v>
      </c>
      <c r="E135">
        <v>5</v>
      </c>
      <c r="F135">
        <v>2</v>
      </c>
      <c r="G135">
        <v>19</v>
      </c>
      <c r="H135">
        <v>8</v>
      </c>
      <c r="I135">
        <v>0.4</v>
      </c>
      <c r="J135">
        <v>0.42</v>
      </c>
      <c r="K135">
        <v>0</v>
      </c>
      <c r="L135">
        <v>0</v>
      </c>
      <c r="M135">
        <v>0</v>
      </c>
      <c r="N135">
        <v>0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1</v>
      </c>
      <c r="X135">
        <v>0</v>
      </c>
      <c r="Y135">
        <v>1</v>
      </c>
      <c r="Z135">
        <f>AVERAGEIFS($C$2:C135, $B$2:B135, B135)</f>
        <v>23.6</v>
      </c>
      <c r="AA135">
        <f>AVERAGEIFS($I$2:I135, $B$2:B135, B135)</f>
        <v>0.55000000000000004</v>
      </c>
      <c r="AB135">
        <f>AVERAGEIFS($J$2:J135, $B$2:B135, B135)</f>
        <v>0.48599999999999993</v>
      </c>
      <c r="AC135">
        <f>AVERAGEIFS($D$2:D135, $B$2:B135, B135)</f>
        <v>0.6</v>
      </c>
    </row>
    <row r="136" spans="1:29" x14ac:dyDescent="0.25">
      <c r="A136" s="85">
        <v>46040</v>
      </c>
      <c r="B136" t="s">
        <v>15</v>
      </c>
      <c r="C136" s="95">
        <v>33</v>
      </c>
      <c r="D136" s="86">
        <v>0</v>
      </c>
      <c r="E136">
        <v>5</v>
      </c>
      <c r="F136">
        <v>2</v>
      </c>
      <c r="G136">
        <v>19</v>
      </c>
      <c r="H136">
        <v>8</v>
      </c>
      <c r="I136">
        <v>0.4</v>
      </c>
      <c r="J136">
        <v>0.42</v>
      </c>
      <c r="K136">
        <v>0</v>
      </c>
      <c r="L136">
        <v>0</v>
      </c>
      <c r="M136">
        <v>0</v>
      </c>
      <c r="N136">
        <v>0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1</v>
      </c>
      <c r="X136">
        <v>0</v>
      </c>
      <c r="Y136">
        <v>1</v>
      </c>
      <c r="Z136">
        <f>AVERAGEIFS($C$2:C136, $B$2:B136, B136)</f>
        <v>23.875</v>
      </c>
      <c r="AA136">
        <f>AVERAGEIFS($I$2:I136, $B$2:B136, B136)</f>
        <v>0.39374999999999999</v>
      </c>
      <c r="AB136">
        <f>AVERAGEIFS($J$2:J136, $B$2:B136, B136)</f>
        <v>0.42874999999999996</v>
      </c>
      <c r="AC136">
        <f>AVERAGEIFS($D$2:D136, $B$2:B136, B136)</f>
        <v>0.25</v>
      </c>
    </row>
    <row r="137" spans="1:29" x14ac:dyDescent="0.25">
      <c r="A137" s="85">
        <v>46040</v>
      </c>
      <c r="B137" t="s">
        <v>51</v>
      </c>
      <c r="C137" s="95">
        <v>19</v>
      </c>
      <c r="D137" s="86">
        <v>0</v>
      </c>
      <c r="E137">
        <v>5</v>
      </c>
      <c r="F137">
        <v>2</v>
      </c>
      <c r="G137">
        <v>19</v>
      </c>
      <c r="H137">
        <v>8</v>
      </c>
      <c r="I137">
        <v>0.4</v>
      </c>
      <c r="J137">
        <v>0.42</v>
      </c>
      <c r="K137">
        <v>0</v>
      </c>
      <c r="L137">
        <v>0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1</v>
      </c>
      <c r="X137">
        <v>0</v>
      </c>
      <c r="Y137">
        <v>1</v>
      </c>
      <c r="Z137">
        <f>AVERAGEIFS($C$2:C137, $B$2:B137, B137)</f>
        <v>13.333333333333334</v>
      </c>
      <c r="AA137">
        <f>AVERAGEIFS($I$2:I137, $B$2:B137, B137)</f>
        <v>0.51111111111111118</v>
      </c>
      <c r="AB137">
        <f>AVERAGEIFS($J$2:J137, $B$2:B137, B137)</f>
        <v>0.51444444444444448</v>
      </c>
      <c r="AC137">
        <f>AVERAGEIFS($D$2:D137, $B$2:B137, B137)</f>
        <v>0.55555555555555558</v>
      </c>
    </row>
    <row r="138" spans="1:29" x14ac:dyDescent="0.25">
      <c r="A138" s="85">
        <v>46040</v>
      </c>
      <c r="B138" t="s">
        <v>37</v>
      </c>
      <c r="C138" s="95">
        <v>17</v>
      </c>
      <c r="D138" s="86">
        <v>0</v>
      </c>
      <c r="E138">
        <v>5</v>
      </c>
      <c r="F138">
        <v>2</v>
      </c>
      <c r="G138">
        <v>19</v>
      </c>
      <c r="H138">
        <v>8</v>
      </c>
      <c r="I138">
        <v>0.4</v>
      </c>
      <c r="J138">
        <v>0.42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1</v>
      </c>
      <c r="X138">
        <v>0</v>
      </c>
      <c r="Y138">
        <v>1</v>
      </c>
      <c r="Z138">
        <f>AVERAGEIFS($C$2:C138, $B$2:B138, B138)</f>
        <v>17</v>
      </c>
      <c r="AA138">
        <f>AVERAGEIFS($I$2:I138, $B$2:B138, B138)</f>
        <v>0.5</v>
      </c>
      <c r="AB138">
        <f>AVERAGEIFS($J$2:J138, $B$2:B138, B138)</f>
        <v>0.48249999999999998</v>
      </c>
      <c r="AC138">
        <f>AVERAGEIFS($D$2:D138, $B$2:B138, B138)</f>
        <v>0.5</v>
      </c>
    </row>
    <row r="139" spans="1:29" x14ac:dyDescent="0.25">
      <c r="A139" s="85">
        <v>46040</v>
      </c>
      <c r="B139" t="s">
        <v>20</v>
      </c>
      <c r="C139" s="95">
        <v>17</v>
      </c>
      <c r="D139" s="86">
        <v>0</v>
      </c>
      <c r="E139">
        <v>5</v>
      </c>
      <c r="F139">
        <v>2</v>
      </c>
      <c r="G139">
        <v>19</v>
      </c>
      <c r="H139">
        <v>8</v>
      </c>
      <c r="I139">
        <v>0.4</v>
      </c>
      <c r="J139">
        <v>0.42</v>
      </c>
      <c r="K139">
        <v>0</v>
      </c>
      <c r="L139">
        <v>0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1</v>
      </c>
      <c r="X139">
        <v>0</v>
      </c>
      <c r="Y139">
        <v>1</v>
      </c>
      <c r="Z139">
        <f>AVERAGEIFS($C$2:C139, $B$2:B139, B139)</f>
        <v>11.333333333333334</v>
      </c>
      <c r="AA139">
        <f>AVERAGEIFS($I$2:I139, $B$2:B139, B139)</f>
        <v>0.44166666666666665</v>
      </c>
      <c r="AB139">
        <f>AVERAGEIFS($J$2:J139, $B$2:B139, B139)</f>
        <v>0.44666666666666671</v>
      </c>
      <c r="AC139">
        <f>AVERAGEIFS($D$2:D139, $B$2:B139, B139)</f>
        <v>0.33333333333333331</v>
      </c>
    </row>
    <row r="140" spans="1:29" x14ac:dyDescent="0.25">
      <c r="A140" s="85">
        <v>46040</v>
      </c>
      <c r="B140" t="s">
        <v>19</v>
      </c>
      <c r="C140" s="95">
        <v>16</v>
      </c>
      <c r="D140" s="86">
        <v>0</v>
      </c>
      <c r="E140">
        <v>5</v>
      </c>
      <c r="F140">
        <v>2</v>
      </c>
      <c r="G140">
        <v>19</v>
      </c>
      <c r="H140">
        <v>8</v>
      </c>
      <c r="I140">
        <v>0.4</v>
      </c>
      <c r="J140">
        <v>0.42</v>
      </c>
      <c r="K140">
        <v>0</v>
      </c>
      <c r="L140">
        <v>0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1</v>
      </c>
      <c r="X140">
        <v>0</v>
      </c>
      <c r="Y140">
        <v>1</v>
      </c>
      <c r="Z140">
        <f>AVERAGEIFS($C$2:C140, $B$2:B140, B140)</f>
        <v>10.7</v>
      </c>
      <c r="AA140">
        <f>AVERAGEIFS($I$2:I140, $B$2:B140, B140)</f>
        <v>0.48000000000000009</v>
      </c>
      <c r="AB140">
        <f>AVERAGEIFS($J$2:J140, $B$2:B140, B140)</f>
        <v>0.49300000000000005</v>
      </c>
      <c r="AC140">
        <f>AVERAGEIFS($D$2:D140, $B$2:B140, B140)</f>
        <v>0.4</v>
      </c>
    </row>
    <row r="141" spans="1:29" x14ac:dyDescent="0.25">
      <c r="A141" s="85">
        <v>46044</v>
      </c>
      <c r="B141" t="s">
        <v>13</v>
      </c>
      <c r="C141" s="95">
        <v>57</v>
      </c>
      <c r="D141" s="86">
        <v>1</v>
      </c>
      <c r="E141">
        <v>5</v>
      </c>
      <c r="F141">
        <v>3</v>
      </c>
      <c r="G141">
        <v>22</v>
      </c>
      <c r="H141">
        <v>11</v>
      </c>
      <c r="I141">
        <v>0.6</v>
      </c>
      <c r="J141">
        <v>0.5</v>
      </c>
      <c r="K141">
        <v>0</v>
      </c>
      <c r="L141">
        <v>0</v>
      </c>
      <c r="M141">
        <v>0</v>
      </c>
      <c r="N141">
        <v>0</v>
      </c>
      <c r="O141">
        <v>0</v>
      </c>
      <c r="P141">
        <v>1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1</v>
      </c>
      <c r="X141">
        <v>0</v>
      </c>
      <c r="Y141">
        <v>1</v>
      </c>
      <c r="Z141">
        <f>AVERAGEIFS($C$2:C141, $B$2:B141, B141)</f>
        <v>30.363636363636363</v>
      </c>
      <c r="AA141">
        <f>AVERAGEIFS($I$2:I141, $B$2:B141, B141)</f>
        <v>0.58636363636363631</v>
      </c>
      <c r="AB141">
        <f>AVERAGEIFS($J$2:J141, $B$2:B141, B141)</f>
        <v>0.54545454545454541</v>
      </c>
      <c r="AC141">
        <f>AVERAGEIFS($D$2:D141, $B$2:B141, B141)</f>
        <v>0.72727272727272729</v>
      </c>
    </row>
    <row r="142" spans="1:29" x14ac:dyDescent="0.25">
      <c r="A142" s="85">
        <v>46044</v>
      </c>
      <c r="B142" t="s">
        <v>6</v>
      </c>
      <c r="C142" s="95">
        <v>43</v>
      </c>
      <c r="D142" s="86">
        <v>1</v>
      </c>
      <c r="E142">
        <v>5</v>
      </c>
      <c r="F142">
        <v>3</v>
      </c>
      <c r="G142">
        <v>22</v>
      </c>
      <c r="H142">
        <v>11</v>
      </c>
      <c r="I142">
        <v>0.6</v>
      </c>
      <c r="J142">
        <v>0.5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1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1</v>
      </c>
      <c r="X142">
        <v>0</v>
      </c>
      <c r="Y142">
        <v>1</v>
      </c>
      <c r="Z142">
        <f>AVERAGEIFS($C$2:C142, $B$2:B142, B142)</f>
        <v>21</v>
      </c>
      <c r="AA142">
        <f>AVERAGEIFS($I$2:I142, $B$2:B142, B142)</f>
        <v>0.55000000000000004</v>
      </c>
      <c r="AB142">
        <f>AVERAGEIFS($J$2:J142, $B$2:B142, B142)</f>
        <v>0.54249999999999998</v>
      </c>
      <c r="AC142">
        <f>AVERAGEIFS($D$2:D142, $B$2:B142, B142)</f>
        <v>0.75</v>
      </c>
    </row>
    <row r="143" spans="1:29" x14ac:dyDescent="0.25">
      <c r="A143" s="85">
        <v>46044</v>
      </c>
      <c r="B143" t="s">
        <v>14</v>
      </c>
      <c r="C143" s="95">
        <v>41</v>
      </c>
      <c r="D143" s="86">
        <v>1</v>
      </c>
      <c r="E143">
        <v>5</v>
      </c>
      <c r="F143">
        <v>3</v>
      </c>
      <c r="G143">
        <v>22</v>
      </c>
      <c r="H143">
        <v>11</v>
      </c>
      <c r="I143">
        <v>0.6</v>
      </c>
      <c r="J143">
        <v>0.5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1</v>
      </c>
      <c r="Q143">
        <v>0</v>
      </c>
      <c r="R143">
        <v>0</v>
      </c>
      <c r="S143">
        <v>0</v>
      </c>
      <c r="T143">
        <v>0</v>
      </c>
      <c r="U143">
        <v>0</v>
      </c>
      <c r="V143">
        <v>0</v>
      </c>
      <c r="W143">
        <v>1</v>
      </c>
      <c r="X143">
        <v>0</v>
      </c>
      <c r="Y143">
        <v>1</v>
      </c>
      <c r="Z143">
        <f>AVERAGEIFS($C$2:C143, $B$2:B143, B143)</f>
        <v>22.666666666666668</v>
      </c>
      <c r="AA143">
        <f>AVERAGEIFS($I$2:I143, $B$2:B143, B143)</f>
        <v>0.49444444444444446</v>
      </c>
      <c r="AB143">
        <f>AVERAGEIFS($J$2:J143, $B$2:B143, B143)</f>
        <v>0.48333333333333328</v>
      </c>
      <c r="AC143">
        <f>AVERAGEIFS($D$2:D143, $B$2:B143, B143)</f>
        <v>0.55555555555555558</v>
      </c>
    </row>
    <row r="144" spans="1:29" x14ac:dyDescent="0.25">
      <c r="A144" s="85">
        <v>46044</v>
      </c>
      <c r="B144" t="s">
        <v>1</v>
      </c>
      <c r="C144" s="95">
        <v>37</v>
      </c>
      <c r="D144" s="86">
        <v>1</v>
      </c>
      <c r="E144">
        <v>5</v>
      </c>
      <c r="F144">
        <v>3</v>
      </c>
      <c r="G144">
        <v>22</v>
      </c>
      <c r="H144">
        <v>11</v>
      </c>
      <c r="I144">
        <v>0.6</v>
      </c>
      <c r="J144">
        <v>0.5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1</v>
      </c>
      <c r="Q144">
        <v>0</v>
      </c>
      <c r="R144">
        <v>0</v>
      </c>
      <c r="S144">
        <v>0</v>
      </c>
      <c r="T144">
        <v>0</v>
      </c>
      <c r="U144">
        <v>0</v>
      </c>
      <c r="V144">
        <v>0</v>
      </c>
      <c r="W144">
        <v>1</v>
      </c>
      <c r="X144">
        <v>0</v>
      </c>
      <c r="Y144">
        <v>1</v>
      </c>
      <c r="Z144">
        <f>AVERAGEIFS($C$2:C144, $B$2:B144, B144)</f>
        <v>26.666666666666668</v>
      </c>
      <c r="AA144">
        <f>AVERAGEIFS($I$2:I144, $B$2:B144, B144)</f>
        <v>0.41666666666666669</v>
      </c>
      <c r="AB144">
        <f>AVERAGEIFS($J$2:J144, $B$2:B144, B144)</f>
        <v>0.4366666666666667</v>
      </c>
      <c r="AC144">
        <f>AVERAGEIFS($D$2:D144, $B$2:B144, B144)</f>
        <v>0.33333333333333331</v>
      </c>
    </row>
    <row r="145" spans="1:29" x14ac:dyDescent="0.25">
      <c r="A145" s="85">
        <v>46044</v>
      </c>
      <c r="B145" t="s">
        <v>28</v>
      </c>
      <c r="C145" s="95">
        <v>20</v>
      </c>
      <c r="D145" s="86">
        <v>1</v>
      </c>
      <c r="E145">
        <v>5</v>
      </c>
      <c r="F145">
        <v>3</v>
      </c>
      <c r="G145">
        <v>22</v>
      </c>
      <c r="H145">
        <v>11</v>
      </c>
      <c r="I145">
        <v>0.6</v>
      </c>
      <c r="J145">
        <v>0.5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1</v>
      </c>
      <c r="Q145">
        <v>0</v>
      </c>
      <c r="R145">
        <v>0</v>
      </c>
      <c r="S145">
        <v>0</v>
      </c>
      <c r="T145">
        <v>0</v>
      </c>
      <c r="U145">
        <v>0</v>
      </c>
      <c r="V145">
        <v>0</v>
      </c>
      <c r="W145">
        <v>1</v>
      </c>
      <c r="X145">
        <v>0</v>
      </c>
      <c r="Y145">
        <v>1</v>
      </c>
      <c r="Z145">
        <f>AVERAGEIFS($C$2:C145, $B$2:B145, B145)</f>
        <v>13.571428571428571</v>
      </c>
      <c r="AA145">
        <f>AVERAGEIFS($I$2:I145, $B$2:B145, B145)</f>
        <v>0.48571428571428571</v>
      </c>
      <c r="AB145">
        <f>AVERAGEIFS($J$2:J145, $B$2:B145, B145)</f>
        <v>0.50714285714285723</v>
      </c>
      <c r="AC145">
        <f>AVERAGEIFS($D$2:D145, $B$2:B145, B145)</f>
        <v>0.42857142857142855</v>
      </c>
    </row>
    <row r="146" spans="1:29" x14ac:dyDescent="0.25">
      <c r="A146" s="85">
        <v>46044</v>
      </c>
      <c r="B146" t="s">
        <v>46</v>
      </c>
      <c r="C146" s="95">
        <v>20</v>
      </c>
      <c r="D146" s="86">
        <v>1</v>
      </c>
      <c r="E146">
        <v>5</v>
      </c>
      <c r="F146">
        <v>3</v>
      </c>
      <c r="G146">
        <v>22</v>
      </c>
      <c r="H146">
        <v>11</v>
      </c>
      <c r="I146">
        <v>0.6</v>
      </c>
      <c r="J146">
        <v>0.5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1</v>
      </c>
      <c r="Q146">
        <v>0</v>
      </c>
      <c r="R146">
        <v>0</v>
      </c>
      <c r="S146">
        <v>0</v>
      </c>
      <c r="T146">
        <v>0</v>
      </c>
      <c r="U146">
        <v>0</v>
      </c>
      <c r="V146">
        <v>0</v>
      </c>
      <c r="W146">
        <v>1</v>
      </c>
      <c r="X146">
        <v>0</v>
      </c>
      <c r="Y146">
        <v>1</v>
      </c>
      <c r="Z146">
        <f>AVERAGEIFS($C$2:C146, $B$2:B146, B146)</f>
        <v>22</v>
      </c>
      <c r="AA146">
        <f>AVERAGEIFS($I$2:I146, $B$2:B146, B146)</f>
        <v>0.41666666666666669</v>
      </c>
      <c r="AB146">
        <f>AVERAGEIFS($J$2:J146, $B$2:B146, B146)</f>
        <v>0.4366666666666667</v>
      </c>
      <c r="AC146">
        <f>AVERAGEIFS($D$2:D146, $B$2:B146, B146)</f>
        <v>0.33333333333333331</v>
      </c>
    </row>
    <row r="147" spans="1:29" x14ac:dyDescent="0.25">
      <c r="A147" s="85">
        <v>46044</v>
      </c>
      <c r="B147" t="s">
        <v>19</v>
      </c>
      <c r="C147" s="95">
        <v>14</v>
      </c>
      <c r="D147" s="86">
        <v>1</v>
      </c>
      <c r="E147">
        <v>5</v>
      </c>
      <c r="F147">
        <v>3</v>
      </c>
      <c r="G147">
        <v>22</v>
      </c>
      <c r="H147">
        <v>11</v>
      </c>
      <c r="I147">
        <v>0.6</v>
      </c>
      <c r="J147">
        <v>0.5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1</v>
      </c>
      <c r="Q147">
        <v>0</v>
      </c>
      <c r="R147">
        <v>0</v>
      </c>
      <c r="S147">
        <v>0</v>
      </c>
      <c r="T147">
        <v>0</v>
      </c>
      <c r="U147">
        <v>0</v>
      </c>
      <c r="V147">
        <v>0</v>
      </c>
      <c r="W147">
        <v>1</v>
      </c>
      <c r="X147">
        <v>0</v>
      </c>
      <c r="Y147">
        <v>1</v>
      </c>
      <c r="Z147">
        <f>AVERAGEIFS($C$2:C147, $B$2:B147, B147)</f>
        <v>11</v>
      </c>
      <c r="AA147">
        <f>AVERAGEIFS($I$2:I147, $B$2:B147, B147)</f>
        <v>0.49090909090909096</v>
      </c>
      <c r="AB147">
        <f>AVERAGEIFS($J$2:J147, $B$2:B147, B147)</f>
        <v>0.49363636363636371</v>
      </c>
      <c r="AC147">
        <f>AVERAGEIFS($D$2:D147, $B$2:B147, B147)</f>
        <v>0.45454545454545453</v>
      </c>
    </row>
    <row r="148" spans="1:29" x14ac:dyDescent="0.25">
      <c r="A148" s="85">
        <v>46044</v>
      </c>
      <c r="B148" t="s">
        <v>17</v>
      </c>
      <c r="C148" s="95">
        <v>49</v>
      </c>
      <c r="D148" s="86">
        <v>0</v>
      </c>
      <c r="E148">
        <v>5</v>
      </c>
      <c r="F148">
        <v>2</v>
      </c>
      <c r="G148">
        <v>22</v>
      </c>
      <c r="H148">
        <v>11</v>
      </c>
      <c r="I148">
        <v>0.4</v>
      </c>
      <c r="J148">
        <v>0.5</v>
      </c>
      <c r="K148">
        <v>0</v>
      </c>
      <c r="L148">
        <v>0</v>
      </c>
      <c r="M148">
        <v>0</v>
      </c>
      <c r="N148">
        <v>1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0</v>
      </c>
      <c r="V148">
        <v>0</v>
      </c>
      <c r="W148">
        <v>0</v>
      </c>
      <c r="X148">
        <v>1</v>
      </c>
      <c r="Y148">
        <v>0</v>
      </c>
      <c r="Z148">
        <f>AVERAGEIFS($C$2:C148, $B$2:B148, B148)</f>
        <v>27.6</v>
      </c>
      <c r="AA148">
        <f>AVERAGEIFS($I$2:I148, $B$2:B148, B148)</f>
        <v>0.54500000000000004</v>
      </c>
      <c r="AB148">
        <f>AVERAGEIFS($J$2:J148, $B$2:B148, B148)</f>
        <v>0.54299999999999993</v>
      </c>
      <c r="AC148">
        <f>AVERAGEIFS($D$2:D148, $B$2:B148, B148)</f>
        <v>0.5</v>
      </c>
    </row>
    <row r="149" spans="1:29" x14ac:dyDescent="0.25">
      <c r="A149" s="85">
        <v>46044</v>
      </c>
      <c r="B149" t="s">
        <v>2</v>
      </c>
      <c r="C149" s="95">
        <v>42</v>
      </c>
      <c r="D149" s="86">
        <v>0</v>
      </c>
      <c r="E149">
        <v>5</v>
      </c>
      <c r="F149">
        <v>2</v>
      </c>
      <c r="G149">
        <v>22</v>
      </c>
      <c r="H149">
        <v>11</v>
      </c>
      <c r="I149">
        <v>0.4</v>
      </c>
      <c r="J149">
        <v>0.5</v>
      </c>
      <c r="K149">
        <v>0</v>
      </c>
      <c r="L149">
        <v>0</v>
      </c>
      <c r="M149">
        <v>0</v>
      </c>
      <c r="N149">
        <v>1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0</v>
      </c>
      <c r="U149">
        <v>0</v>
      </c>
      <c r="V149">
        <v>0</v>
      </c>
      <c r="W149">
        <v>0</v>
      </c>
      <c r="X149">
        <v>1</v>
      </c>
      <c r="Y149">
        <v>0</v>
      </c>
      <c r="Z149">
        <f>AVERAGEIFS($C$2:C149, $B$2:B149, B149)</f>
        <v>24.714285714285715</v>
      </c>
      <c r="AA149">
        <f>AVERAGEIFS($I$2:I149, $B$2:B149, B149)</f>
        <v>0.50714285714285712</v>
      </c>
      <c r="AB149">
        <f>AVERAGEIFS($J$2:J149, $B$2:B149, B149)</f>
        <v>0.51428571428571435</v>
      </c>
      <c r="AC149">
        <f>AVERAGEIFS($D$2:D149, $B$2:B149, B149)</f>
        <v>0.42857142857142855</v>
      </c>
    </row>
    <row r="150" spans="1:29" x14ac:dyDescent="0.25">
      <c r="A150" s="85">
        <v>46044</v>
      </c>
      <c r="B150" t="s">
        <v>5</v>
      </c>
      <c r="C150" s="95">
        <v>36</v>
      </c>
      <c r="D150" s="86">
        <v>0</v>
      </c>
      <c r="E150">
        <v>5</v>
      </c>
      <c r="F150">
        <v>2</v>
      </c>
      <c r="G150">
        <v>22</v>
      </c>
      <c r="H150">
        <v>11</v>
      </c>
      <c r="I150">
        <v>0.4</v>
      </c>
      <c r="J150">
        <v>0.5</v>
      </c>
      <c r="K150">
        <v>0</v>
      </c>
      <c r="L150">
        <v>0</v>
      </c>
      <c r="M150">
        <v>0</v>
      </c>
      <c r="N150">
        <v>1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0</v>
      </c>
      <c r="U150">
        <v>0</v>
      </c>
      <c r="V150">
        <v>0</v>
      </c>
      <c r="W150">
        <v>0</v>
      </c>
      <c r="X150">
        <v>1</v>
      </c>
      <c r="Y150">
        <v>0</v>
      </c>
      <c r="Z150">
        <f>AVERAGEIFS($C$2:C150, $B$2:B150, B150)</f>
        <v>26.6</v>
      </c>
      <c r="AA150">
        <f>AVERAGEIFS($I$2:I150, $B$2:B150, B150)</f>
        <v>0.35</v>
      </c>
      <c r="AB150">
        <f>AVERAGEIFS($J$2:J150, $B$2:B150, B150)</f>
        <v>0.44399999999999995</v>
      </c>
      <c r="AC150">
        <f>AVERAGEIFS($D$2:D150, $B$2:B150, B150)</f>
        <v>0.2</v>
      </c>
    </row>
    <row r="151" spans="1:29" x14ac:dyDescent="0.25">
      <c r="A151" s="85">
        <v>46044</v>
      </c>
      <c r="B151" t="s">
        <v>15</v>
      </c>
      <c r="C151" s="95">
        <v>31</v>
      </c>
      <c r="D151" s="86">
        <v>0</v>
      </c>
      <c r="E151">
        <v>5</v>
      </c>
      <c r="F151">
        <v>2</v>
      </c>
      <c r="G151">
        <v>22</v>
      </c>
      <c r="H151">
        <v>11</v>
      </c>
      <c r="I151">
        <v>0.4</v>
      </c>
      <c r="J151">
        <v>0.5</v>
      </c>
      <c r="K151">
        <v>0</v>
      </c>
      <c r="L151">
        <v>0</v>
      </c>
      <c r="M151">
        <v>0</v>
      </c>
      <c r="N151">
        <v>1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0</v>
      </c>
      <c r="U151">
        <v>0</v>
      </c>
      <c r="V151">
        <v>0</v>
      </c>
      <c r="W151">
        <v>0</v>
      </c>
      <c r="X151">
        <v>1</v>
      </c>
      <c r="Y151">
        <v>0</v>
      </c>
      <c r="Z151">
        <f>AVERAGEIFS($C$2:C151, $B$2:B151, B151)</f>
        <v>24.666666666666668</v>
      </c>
      <c r="AA151">
        <f>AVERAGEIFS($I$2:I151, $B$2:B151, B151)</f>
        <v>0.39444444444444443</v>
      </c>
      <c r="AB151">
        <f>AVERAGEIFS($J$2:J151, $B$2:B151, B151)</f>
        <v>0.43666666666666665</v>
      </c>
      <c r="AC151">
        <f>AVERAGEIFS($D$2:D151, $B$2:B151, B151)</f>
        <v>0.22222222222222221</v>
      </c>
    </row>
    <row r="152" spans="1:29" x14ac:dyDescent="0.25">
      <c r="A152" s="85">
        <v>46044</v>
      </c>
      <c r="B152" t="s">
        <v>37</v>
      </c>
      <c r="C152" s="95">
        <v>25</v>
      </c>
      <c r="D152" s="86">
        <v>0</v>
      </c>
      <c r="E152">
        <v>5</v>
      </c>
      <c r="F152">
        <v>2</v>
      </c>
      <c r="G152">
        <v>22</v>
      </c>
      <c r="H152">
        <v>11</v>
      </c>
      <c r="I152">
        <v>0.4</v>
      </c>
      <c r="J152">
        <v>0.5</v>
      </c>
      <c r="K152">
        <v>0</v>
      </c>
      <c r="L152">
        <v>0</v>
      </c>
      <c r="M152">
        <v>0</v>
      </c>
      <c r="N152">
        <v>1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0</v>
      </c>
      <c r="U152">
        <v>0</v>
      </c>
      <c r="V152">
        <v>0</v>
      </c>
      <c r="W152">
        <v>0</v>
      </c>
      <c r="X152">
        <v>1</v>
      </c>
      <c r="Y152">
        <v>0</v>
      </c>
      <c r="Z152">
        <f>AVERAGEIFS($C$2:C152, $B$2:B152, B152)</f>
        <v>18.600000000000001</v>
      </c>
      <c r="AA152">
        <f>AVERAGEIFS($I$2:I152, $B$2:B152, B152)</f>
        <v>0.48</v>
      </c>
      <c r="AB152">
        <f>AVERAGEIFS($J$2:J152, $B$2:B152, B152)</f>
        <v>0.48599999999999993</v>
      </c>
      <c r="AC152">
        <f>AVERAGEIFS($D$2:D152, $B$2:B152, B152)</f>
        <v>0.4</v>
      </c>
    </row>
    <row r="153" spans="1:29" x14ac:dyDescent="0.25">
      <c r="A153" s="85">
        <v>46044</v>
      </c>
      <c r="B153" t="s">
        <v>20</v>
      </c>
      <c r="C153" s="95">
        <v>20</v>
      </c>
      <c r="D153" s="86">
        <v>0</v>
      </c>
      <c r="E153">
        <v>5</v>
      </c>
      <c r="F153">
        <v>2</v>
      </c>
      <c r="G153">
        <v>22</v>
      </c>
      <c r="H153">
        <v>11</v>
      </c>
      <c r="I153">
        <v>0.4</v>
      </c>
      <c r="J153">
        <v>0.5</v>
      </c>
      <c r="K153">
        <v>0</v>
      </c>
      <c r="L153">
        <v>0</v>
      </c>
      <c r="M153">
        <v>0</v>
      </c>
      <c r="N153">
        <v>1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0</v>
      </c>
      <c r="U153">
        <v>0</v>
      </c>
      <c r="V153">
        <v>0</v>
      </c>
      <c r="W153">
        <v>0</v>
      </c>
      <c r="X153">
        <v>1</v>
      </c>
      <c r="Y153">
        <v>0</v>
      </c>
      <c r="Z153">
        <f>AVERAGEIFS($C$2:C153, $B$2:B153, B153)</f>
        <v>12.571428571428571</v>
      </c>
      <c r="AA153">
        <f>AVERAGEIFS($I$2:I153, $B$2:B153, B153)</f>
        <v>0.43571428571428567</v>
      </c>
      <c r="AB153">
        <f>AVERAGEIFS($J$2:J153, $B$2:B153, B153)</f>
        <v>0.45428571428571429</v>
      </c>
      <c r="AC153">
        <f>AVERAGEIFS($D$2:D153, $B$2:B153, B153)</f>
        <v>0.2857142857142857</v>
      </c>
    </row>
    <row r="154" spans="1:29" x14ac:dyDescent="0.25">
      <c r="A154" s="85">
        <v>46044</v>
      </c>
      <c r="B154" t="s">
        <v>26</v>
      </c>
      <c r="C154" s="95">
        <v>19</v>
      </c>
      <c r="D154" s="86">
        <v>0</v>
      </c>
      <c r="E154">
        <v>5</v>
      </c>
      <c r="F154">
        <v>2</v>
      </c>
      <c r="G154">
        <v>22</v>
      </c>
      <c r="H154">
        <v>11</v>
      </c>
      <c r="I154">
        <v>0.4</v>
      </c>
      <c r="J154">
        <v>0.5</v>
      </c>
      <c r="K154">
        <v>0</v>
      </c>
      <c r="L154">
        <v>0</v>
      </c>
      <c r="M154">
        <v>0</v>
      </c>
      <c r="N154">
        <v>1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0</v>
      </c>
      <c r="U154">
        <v>0</v>
      </c>
      <c r="V154">
        <v>0</v>
      </c>
      <c r="W154">
        <v>0</v>
      </c>
      <c r="X154">
        <v>1</v>
      </c>
      <c r="Y154">
        <v>0</v>
      </c>
      <c r="Z154">
        <f>AVERAGEIFS($C$2:C154, $B$2:B154, B154)</f>
        <v>12.857142857142858</v>
      </c>
      <c r="AA154">
        <f>AVERAGEIFS($I$2:I154, $B$2:B154, B154)</f>
        <v>0.6071428571428571</v>
      </c>
      <c r="AB154">
        <f>AVERAGEIFS($J$2:J154, $B$2:B154, B154)</f>
        <v>0.56142857142857139</v>
      </c>
      <c r="AC154">
        <f>AVERAGEIFS($D$2:D154, $B$2:B154, B154)</f>
        <v>0.7142857142857143</v>
      </c>
    </row>
    <row r="155" spans="1:29" x14ac:dyDescent="0.25">
      <c r="A155" s="85">
        <v>46047</v>
      </c>
      <c r="B155" t="s">
        <v>15</v>
      </c>
      <c r="C155" s="95">
        <v>24</v>
      </c>
      <c r="D155" s="86">
        <v>1</v>
      </c>
      <c r="E155">
        <v>3</v>
      </c>
      <c r="F155">
        <v>3</v>
      </c>
      <c r="G155">
        <v>13</v>
      </c>
      <c r="H155">
        <v>9</v>
      </c>
      <c r="I155">
        <v>1</v>
      </c>
      <c r="J155">
        <v>0.69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1</v>
      </c>
      <c r="W155">
        <v>1</v>
      </c>
      <c r="X155">
        <v>0</v>
      </c>
      <c r="Y155">
        <v>1</v>
      </c>
      <c r="Z155">
        <f>AVERAGEIFS($C$2:C155, $B$2:B155, B155)</f>
        <v>24.6</v>
      </c>
      <c r="AA155">
        <f>AVERAGEIFS($I$2:I155, $B$2:B155, B155)</f>
        <v>0.45499999999999996</v>
      </c>
      <c r="AB155">
        <f>AVERAGEIFS($J$2:J155, $B$2:B155, B155)</f>
        <v>0.46199999999999991</v>
      </c>
      <c r="AC155">
        <f>AVERAGEIFS($D$2:D155, $B$2:B155, B155)</f>
        <v>0.3</v>
      </c>
    </row>
    <row r="156" spans="1:29" x14ac:dyDescent="0.25">
      <c r="A156" s="85">
        <v>46047</v>
      </c>
      <c r="B156" t="s">
        <v>17</v>
      </c>
      <c r="C156" s="95">
        <v>22</v>
      </c>
      <c r="D156" s="86">
        <v>1</v>
      </c>
      <c r="E156">
        <v>3</v>
      </c>
      <c r="F156">
        <v>3</v>
      </c>
      <c r="G156">
        <v>13</v>
      </c>
      <c r="H156">
        <v>9</v>
      </c>
      <c r="I156">
        <v>1</v>
      </c>
      <c r="J156">
        <v>0.69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1</v>
      </c>
      <c r="W156">
        <v>1</v>
      </c>
      <c r="X156">
        <v>0</v>
      </c>
      <c r="Y156">
        <v>1</v>
      </c>
      <c r="Z156">
        <f>AVERAGEIFS($C$2:C156, $B$2:B156, B156)</f>
        <v>27.09090909090909</v>
      </c>
      <c r="AA156">
        <f>AVERAGEIFS($I$2:I156, $B$2:B156, B156)</f>
        <v>0.58636363636363642</v>
      </c>
      <c r="AB156">
        <f>AVERAGEIFS($J$2:J156, $B$2:B156, B156)</f>
        <v>0.55636363636363628</v>
      </c>
      <c r="AC156">
        <f>AVERAGEIFS($D$2:D156, $B$2:B156, B156)</f>
        <v>0.54545454545454541</v>
      </c>
    </row>
    <row r="157" spans="1:29" x14ac:dyDescent="0.25">
      <c r="A157" s="85">
        <v>46047</v>
      </c>
      <c r="B157" t="s">
        <v>6</v>
      </c>
      <c r="C157" s="95">
        <v>17</v>
      </c>
      <c r="D157" s="86">
        <v>1</v>
      </c>
      <c r="E157">
        <v>3</v>
      </c>
      <c r="F157">
        <v>3</v>
      </c>
      <c r="G157">
        <v>13</v>
      </c>
      <c r="H157">
        <v>9</v>
      </c>
      <c r="I157">
        <v>1</v>
      </c>
      <c r="J157">
        <v>0.69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1</v>
      </c>
      <c r="W157">
        <v>1</v>
      </c>
      <c r="X157">
        <v>0</v>
      </c>
      <c r="Y157">
        <v>1</v>
      </c>
      <c r="Z157">
        <f>AVERAGEIFS($C$2:C157, $B$2:B157, B157)</f>
        <v>20.2</v>
      </c>
      <c r="AA157">
        <f>AVERAGEIFS($I$2:I157, $B$2:B157, B157)</f>
        <v>0.64</v>
      </c>
      <c r="AB157">
        <f>AVERAGEIFS($J$2:J157, $B$2:B157, B157)</f>
        <v>0.57199999999999995</v>
      </c>
      <c r="AC157">
        <f>AVERAGEIFS($D$2:D157, $B$2:B157, B157)</f>
        <v>0.8</v>
      </c>
    </row>
    <row r="158" spans="1:29" x14ac:dyDescent="0.25">
      <c r="A158" s="85">
        <v>46047</v>
      </c>
      <c r="B158" t="s">
        <v>19</v>
      </c>
      <c r="C158" s="95">
        <v>11</v>
      </c>
      <c r="D158" s="86">
        <v>1</v>
      </c>
      <c r="E158">
        <v>3</v>
      </c>
      <c r="F158">
        <v>3</v>
      </c>
      <c r="G158">
        <v>13</v>
      </c>
      <c r="H158">
        <v>9</v>
      </c>
      <c r="I158">
        <v>1</v>
      </c>
      <c r="J158">
        <v>0.69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1</v>
      </c>
      <c r="W158">
        <v>1</v>
      </c>
      <c r="X158">
        <v>0</v>
      </c>
      <c r="Y158">
        <v>1</v>
      </c>
      <c r="Z158">
        <f>AVERAGEIFS($C$2:C158, $B$2:B158, B158)</f>
        <v>11</v>
      </c>
      <c r="AA158">
        <f>AVERAGEIFS($I$2:I158, $B$2:B158, B158)</f>
        <v>0.53333333333333333</v>
      </c>
      <c r="AB158">
        <f>AVERAGEIFS($J$2:J158, $B$2:B158, B158)</f>
        <v>0.51000000000000012</v>
      </c>
      <c r="AC158">
        <f>AVERAGEIFS($D$2:D158, $B$2:B158, B158)</f>
        <v>0.5</v>
      </c>
    </row>
    <row r="159" spans="1:29" x14ac:dyDescent="0.25">
      <c r="A159" s="85">
        <v>46047</v>
      </c>
      <c r="B159" t="s">
        <v>51</v>
      </c>
      <c r="C159" s="95">
        <v>8</v>
      </c>
      <c r="D159" s="86">
        <v>1</v>
      </c>
      <c r="E159">
        <v>3</v>
      </c>
      <c r="F159">
        <v>3</v>
      </c>
      <c r="G159">
        <v>13</v>
      </c>
      <c r="H159">
        <v>9</v>
      </c>
      <c r="I159">
        <v>1</v>
      </c>
      <c r="J159">
        <v>0.69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1</v>
      </c>
      <c r="W159">
        <v>1</v>
      </c>
      <c r="X159">
        <v>0</v>
      </c>
      <c r="Y159">
        <v>1</v>
      </c>
      <c r="Z159">
        <f>AVERAGEIFS($C$2:C159, $B$2:B159, B159)</f>
        <v>12.8</v>
      </c>
      <c r="AA159">
        <f>AVERAGEIFS($I$2:I159, $B$2:B159, B159)</f>
        <v>0.56000000000000005</v>
      </c>
      <c r="AB159">
        <f>AVERAGEIFS($J$2:J159, $B$2:B159, B159)</f>
        <v>0.53200000000000003</v>
      </c>
      <c r="AC159">
        <f>AVERAGEIFS($D$2:D159, $B$2:B159, B159)</f>
        <v>0.6</v>
      </c>
    </row>
    <row r="160" spans="1:29" x14ac:dyDescent="0.25">
      <c r="A160" s="85">
        <v>46047</v>
      </c>
      <c r="B160" t="s">
        <v>137</v>
      </c>
      <c r="C160" s="95">
        <v>7</v>
      </c>
      <c r="D160" s="86">
        <v>1</v>
      </c>
      <c r="E160">
        <v>3</v>
      </c>
      <c r="F160">
        <v>3</v>
      </c>
      <c r="G160">
        <v>13</v>
      </c>
      <c r="H160">
        <v>9</v>
      </c>
      <c r="I160">
        <v>1</v>
      </c>
      <c r="J160">
        <v>0.69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1</v>
      </c>
      <c r="W160">
        <v>1</v>
      </c>
      <c r="X160">
        <v>0</v>
      </c>
      <c r="Y160">
        <v>1</v>
      </c>
      <c r="Z160">
        <f>AVERAGEIFS($C$2:C160, $B$2:B160, B160)</f>
        <v>5</v>
      </c>
      <c r="AA160">
        <f>AVERAGEIFS($I$2:I160, $B$2:B160, B160)</f>
        <v>0.875</v>
      </c>
      <c r="AB160">
        <f>AVERAGEIFS($J$2:J160, $B$2:B160, B160)</f>
        <v>0.6399999999999999</v>
      </c>
      <c r="AC160">
        <f>AVERAGEIFS($D$2:D160, $B$2:B160, B160)</f>
        <v>1</v>
      </c>
    </row>
    <row r="161" spans="1:29" x14ac:dyDescent="0.25">
      <c r="A161" s="85">
        <v>46047</v>
      </c>
      <c r="B161" t="s">
        <v>13</v>
      </c>
      <c r="C161" s="95">
        <v>26</v>
      </c>
      <c r="D161" s="86">
        <v>0</v>
      </c>
      <c r="E161">
        <v>3</v>
      </c>
      <c r="F161">
        <v>0</v>
      </c>
      <c r="G161">
        <v>13</v>
      </c>
      <c r="H161">
        <v>4</v>
      </c>
      <c r="I161">
        <v>0</v>
      </c>
      <c r="J161">
        <v>0.31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f>AVERAGEIFS($C$2:C161, $B$2:B161, B161)</f>
        <v>30</v>
      </c>
      <c r="AA161">
        <f>AVERAGEIFS($I$2:I161, $B$2:B161, B161)</f>
        <v>0.53749999999999998</v>
      </c>
      <c r="AB161">
        <f>AVERAGEIFS($J$2:J161, $B$2:B161, B161)</f>
        <v>0.52583333333333326</v>
      </c>
      <c r="AC161">
        <f>AVERAGEIFS($D$2:D161, $B$2:B161, B161)</f>
        <v>0.66666666666666663</v>
      </c>
    </row>
    <row r="162" spans="1:29" x14ac:dyDescent="0.25">
      <c r="A162" s="85">
        <v>46047</v>
      </c>
      <c r="B162" t="s">
        <v>46</v>
      </c>
      <c r="C162" s="95">
        <v>17</v>
      </c>
      <c r="D162" s="86">
        <v>0</v>
      </c>
      <c r="E162">
        <v>3</v>
      </c>
      <c r="F162">
        <v>0</v>
      </c>
      <c r="G162">
        <v>13</v>
      </c>
      <c r="H162">
        <v>4</v>
      </c>
      <c r="I162">
        <v>0</v>
      </c>
      <c r="J162">
        <v>0.31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f>AVERAGEIFS($C$2:C162, $B$2:B162, B162)</f>
        <v>20.75</v>
      </c>
      <c r="AA162">
        <f>AVERAGEIFS($I$2:I162, $B$2:B162, B162)</f>
        <v>0.3125</v>
      </c>
      <c r="AB162">
        <f>AVERAGEIFS($J$2:J162, $B$2:B162, B162)</f>
        <v>0.40500000000000003</v>
      </c>
      <c r="AC162">
        <f>AVERAGEIFS($D$2:D162, $B$2:B162, B162)</f>
        <v>0.25</v>
      </c>
    </row>
    <row r="163" spans="1:29" x14ac:dyDescent="0.25">
      <c r="A163" s="85">
        <v>46047</v>
      </c>
      <c r="B163" t="s">
        <v>45</v>
      </c>
      <c r="C163" s="95">
        <v>10</v>
      </c>
      <c r="D163" s="86">
        <v>0</v>
      </c>
      <c r="E163">
        <v>3</v>
      </c>
      <c r="F163">
        <v>0</v>
      </c>
      <c r="G163">
        <v>13</v>
      </c>
      <c r="H163">
        <v>4</v>
      </c>
      <c r="I163">
        <v>0</v>
      </c>
      <c r="J163">
        <v>0.31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f>AVERAGEIFS($C$2:C163, $B$2:B163, B163)</f>
        <v>9.6</v>
      </c>
      <c r="AA163">
        <f>AVERAGEIFS($I$2:I163, $B$2:B163, B163)</f>
        <v>0.22999999999999998</v>
      </c>
      <c r="AB163">
        <f>AVERAGEIFS($J$2:J163, $B$2:B163, B163)</f>
        <v>0.372</v>
      </c>
      <c r="AC163">
        <f>AVERAGEIFS($D$2:D163, $B$2:B163, B163)</f>
        <v>0</v>
      </c>
    </row>
    <row r="164" spans="1:29" x14ac:dyDescent="0.25">
      <c r="A164" s="85">
        <v>46047</v>
      </c>
      <c r="B164" t="s">
        <v>53</v>
      </c>
      <c r="C164" s="95">
        <v>7</v>
      </c>
      <c r="D164" s="86">
        <v>0</v>
      </c>
      <c r="E164">
        <v>3</v>
      </c>
      <c r="F164">
        <v>0</v>
      </c>
      <c r="G164">
        <v>13</v>
      </c>
      <c r="H164">
        <v>4</v>
      </c>
      <c r="I164">
        <v>0</v>
      </c>
      <c r="J164">
        <v>0.31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f>AVERAGEIFS($C$2:C164, $B$2:B164, B164)</f>
        <v>14.333333333333334</v>
      </c>
      <c r="AA164">
        <f>AVERAGEIFS($I$2:I164, $B$2:B164, B164)</f>
        <v>0.39999999999999997</v>
      </c>
      <c r="AB164">
        <f>AVERAGEIFS($J$2:J164, $B$2:B164, B164)</f>
        <v>0.48666666666666664</v>
      </c>
      <c r="AC164">
        <f>AVERAGEIFS($D$2:D164, $B$2:B164, B164)</f>
        <v>0.66666666666666663</v>
      </c>
    </row>
    <row r="165" spans="1:29" x14ac:dyDescent="0.25">
      <c r="A165" s="85">
        <v>46047</v>
      </c>
      <c r="B165" t="s">
        <v>35</v>
      </c>
      <c r="C165" s="95">
        <v>5</v>
      </c>
      <c r="D165" s="86">
        <v>0</v>
      </c>
      <c r="E165">
        <v>3</v>
      </c>
      <c r="F165">
        <v>0</v>
      </c>
      <c r="G165">
        <v>13</v>
      </c>
      <c r="H165">
        <v>4</v>
      </c>
      <c r="I165">
        <v>0</v>
      </c>
      <c r="J165">
        <v>0.31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f>AVERAGEIFS($C$2:C165, $B$2:B165, B165)</f>
        <v>9</v>
      </c>
      <c r="AA165">
        <f>AVERAGEIFS($I$2:I165, $B$2:B165, B165)</f>
        <v>0.37</v>
      </c>
      <c r="AB165">
        <f>AVERAGEIFS($J$2:J165, $B$2:B165, B165)</f>
        <v>0.46800000000000008</v>
      </c>
      <c r="AC165">
        <f>AVERAGEIFS($D$2:D165, $B$2:B165, B165)</f>
        <v>0.4</v>
      </c>
    </row>
    <row r="166" spans="1:29" x14ac:dyDescent="0.25">
      <c r="A166" s="85">
        <v>46047</v>
      </c>
      <c r="B166" t="s">
        <v>52</v>
      </c>
      <c r="C166" s="95">
        <v>5</v>
      </c>
      <c r="D166" s="86">
        <v>0</v>
      </c>
      <c r="E166">
        <v>3</v>
      </c>
      <c r="F166">
        <v>0</v>
      </c>
      <c r="G166">
        <v>13</v>
      </c>
      <c r="H166">
        <v>4</v>
      </c>
      <c r="I166">
        <v>0</v>
      </c>
      <c r="J166">
        <v>0.31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f>AVERAGEIFS($C$2:C166, $B$2:B166, B166)</f>
        <v>5</v>
      </c>
      <c r="AA166">
        <f>AVERAGEIFS($I$2:I166, $B$2:B166, B166)</f>
        <v>0</v>
      </c>
      <c r="AB166">
        <f>AVERAGEIFS($J$2:J166, $B$2:B166, B166)</f>
        <v>0.31</v>
      </c>
      <c r="AC166">
        <f>AVERAGEIFS($D$2:D166, $B$2:B166, B166)</f>
        <v>0</v>
      </c>
    </row>
    <row r="167" spans="1:29" x14ac:dyDescent="0.25">
      <c r="A167" s="85">
        <v>46047</v>
      </c>
      <c r="B167" t="s">
        <v>14</v>
      </c>
      <c r="C167" s="95">
        <v>47</v>
      </c>
      <c r="D167" s="86">
        <v>1</v>
      </c>
      <c r="E167">
        <v>4</v>
      </c>
      <c r="F167">
        <v>3</v>
      </c>
      <c r="G167">
        <v>19</v>
      </c>
      <c r="H167">
        <v>11</v>
      </c>
      <c r="I167">
        <v>0.75</v>
      </c>
      <c r="J167">
        <v>0.57999999999999996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1</v>
      </c>
      <c r="X167">
        <v>0</v>
      </c>
      <c r="Y167">
        <v>1</v>
      </c>
      <c r="Z167">
        <f>AVERAGEIFS($C$2:C167, $B$2:B167, B167)</f>
        <v>25.1</v>
      </c>
      <c r="AA167">
        <f>AVERAGEIFS($I$2:I167, $B$2:B167, B167)</f>
        <v>0.52</v>
      </c>
      <c r="AB167">
        <f>AVERAGEIFS($J$2:J167, $B$2:B167, B167)</f>
        <v>0.49299999999999999</v>
      </c>
      <c r="AC167">
        <f>AVERAGEIFS($D$2:D167, $B$2:B167, B167)</f>
        <v>0.6</v>
      </c>
    </row>
    <row r="168" spans="1:29" x14ac:dyDescent="0.25">
      <c r="A168" s="85">
        <v>46047</v>
      </c>
      <c r="B168" t="s">
        <v>1</v>
      </c>
      <c r="C168" s="95">
        <v>22</v>
      </c>
      <c r="D168" s="86">
        <v>1</v>
      </c>
      <c r="E168">
        <v>4</v>
      </c>
      <c r="F168">
        <v>3</v>
      </c>
      <c r="G168">
        <v>19</v>
      </c>
      <c r="H168">
        <v>11</v>
      </c>
      <c r="I168">
        <v>0.75</v>
      </c>
      <c r="J168">
        <v>0.57999999999999996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1</v>
      </c>
      <c r="X168">
        <v>0</v>
      </c>
      <c r="Y168">
        <v>1</v>
      </c>
      <c r="Z168">
        <f>AVERAGEIFS($C$2:C168, $B$2:B168, B168)</f>
        <v>25.5</v>
      </c>
      <c r="AA168">
        <f>AVERAGEIFS($I$2:I168, $B$2:B168, B168)</f>
        <v>0.5</v>
      </c>
      <c r="AB168">
        <f>AVERAGEIFS($J$2:J168, $B$2:B168, B168)</f>
        <v>0.47250000000000003</v>
      </c>
      <c r="AC168">
        <f>AVERAGEIFS($D$2:D168, $B$2:B168, B168)</f>
        <v>0.5</v>
      </c>
    </row>
    <row r="169" spans="1:29" x14ac:dyDescent="0.25">
      <c r="A169" s="85">
        <v>46047</v>
      </c>
      <c r="B169" t="s">
        <v>5</v>
      </c>
      <c r="C169" s="95">
        <v>21</v>
      </c>
      <c r="D169" s="86">
        <v>1</v>
      </c>
      <c r="E169">
        <v>4</v>
      </c>
      <c r="F169">
        <v>3</v>
      </c>
      <c r="G169">
        <v>19</v>
      </c>
      <c r="H169">
        <v>11</v>
      </c>
      <c r="I169">
        <v>0.75</v>
      </c>
      <c r="J169">
        <v>0.57999999999999996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1</v>
      </c>
      <c r="X169">
        <v>0</v>
      </c>
      <c r="Y169">
        <v>1</v>
      </c>
      <c r="Z169">
        <f>AVERAGEIFS($C$2:C169, $B$2:B169, B169)</f>
        <v>25.666666666666668</v>
      </c>
      <c r="AA169">
        <f>AVERAGEIFS($I$2:I169, $B$2:B169, B169)</f>
        <v>0.41666666666666669</v>
      </c>
      <c r="AB169">
        <f>AVERAGEIFS($J$2:J169, $B$2:B169, B169)</f>
        <v>0.46666666666666662</v>
      </c>
      <c r="AC169">
        <f>AVERAGEIFS($D$2:D169, $B$2:B169, B169)</f>
        <v>0.33333333333333331</v>
      </c>
    </row>
    <row r="170" spans="1:29" x14ac:dyDescent="0.25">
      <c r="A170" s="85">
        <v>46047</v>
      </c>
      <c r="B170" t="s">
        <v>28</v>
      </c>
      <c r="C170" s="95">
        <v>18</v>
      </c>
      <c r="D170" s="86">
        <v>1</v>
      </c>
      <c r="E170">
        <v>4</v>
      </c>
      <c r="F170">
        <v>3</v>
      </c>
      <c r="G170">
        <v>19</v>
      </c>
      <c r="H170">
        <v>11</v>
      </c>
      <c r="I170">
        <v>0.75</v>
      </c>
      <c r="J170">
        <v>0.57999999999999996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1</v>
      </c>
      <c r="X170">
        <v>0</v>
      </c>
      <c r="Y170">
        <v>1</v>
      </c>
      <c r="Z170">
        <f>AVERAGEIFS($C$2:C170, $B$2:B170, B170)</f>
        <v>14.125</v>
      </c>
      <c r="AA170">
        <f>AVERAGEIFS($I$2:I170, $B$2:B170, B170)</f>
        <v>0.51875000000000004</v>
      </c>
      <c r="AB170">
        <f>AVERAGEIFS($J$2:J170, $B$2:B170, B170)</f>
        <v>0.51624999999999999</v>
      </c>
      <c r="AC170">
        <f>AVERAGEIFS($D$2:D170, $B$2:B170, B170)</f>
        <v>0.5</v>
      </c>
    </row>
    <row r="171" spans="1:29" x14ac:dyDescent="0.25">
      <c r="A171" s="85">
        <v>46047</v>
      </c>
      <c r="B171" t="s">
        <v>29</v>
      </c>
      <c r="C171" s="95">
        <v>13</v>
      </c>
      <c r="D171" s="86">
        <v>1</v>
      </c>
      <c r="E171">
        <v>4</v>
      </c>
      <c r="F171">
        <v>3</v>
      </c>
      <c r="G171">
        <v>19</v>
      </c>
      <c r="H171">
        <v>11</v>
      </c>
      <c r="I171">
        <v>0.75</v>
      </c>
      <c r="J171">
        <v>0.57999999999999996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1</v>
      </c>
      <c r="X171">
        <v>0</v>
      </c>
      <c r="Y171">
        <v>1</v>
      </c>
      <c r="Z171">
        <f>AVERAGEIFS($C$2:C171, $B$2:B171, B171)</f>
        <v>10.125</v>
      </c>
      <c r="AA171">
        <f>AVERAGEIFS($I$2:I171, $B$2:B171, B171)</f>
        <v>0.53749999999999998</v>
      </c>
      <c r="AB171">
        <f>AVERAGEIFS($J$2:J171, $B$2:B171, B171)</f>
        <v>0.5099999999999999</v>
      </c>
      <c r="AC171">
        <f>AVERAGEIFS($D$2:D171, $B$2:B171, B171)</f>
        <v>0.5</v>
      </c>
    </row>
    <row r="172" spans="1:29" x14ac:dyDescent="0.25">
      <c r="A172" s="85">
        <v>46047</v>
      </c>
      <c r="B172" t="s">
        <v>27</v>
      </c>
      <c r="C172" s="95">
        <v>12</v>
      </c>
      <c r="D172" s="86">
        <v>1</v>
      </c>
      <c r="E172">
        <v>4</v>
      </c>
      <c r="F172">
        <v>3</v>
      </c>
      <c r="G172">
        <v>19</v>
      </c>
      <c r="H172">
        <v>11</v>
      </c>
      <c r="I172">
        <v>0.75</v>
      </c>
      <c r="J172">
        <v>0.57999999999999996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1</v>
      </c>
      <c r="X172">
        <v>0</v>
      </c>
      <c r="Y172">
        <v>1</v>
      </c>
      <c r="Z172">
        <f>AVERAGEIFS($C$2:C172, $B$2:B172, B172)</f>
        <v>13.5</v>
      </c>
      <c r="AA172">
        <f>AVERAGEIFS($I$2:I172, $B$2:B172, B172)</f>
        <v>0.5</v>
      </c>
      <c r="AB172">
        <f>AVERAGEIFS($J$2:J172, $B$2:B172, B172)</f>
        <v>0.49333333333333335</v>
      </c>
      <c r="AC172">
        <f>AVERAGEIFS($D$2:D172, $B$2:B172, B172)</f>
        <v>0.5</v>
      </c>
    </row>
    <row r="173" spans="1:29" x14ac:dyDescent="0.25">
      <c r="A173" s="85">
        <v>46047</v>
      </c>
      <c r="B173" t="s">
        <v>18</v>
      </c>
      <c r="C173" s="95">
        <v>41</v>
      </c>
      <c r="D173" s="86">
        <v>0</v>
      </c>
      <c r="E173">
        <v>4</v>
      </c>
      <c r="F173">
        <v>1</v>
      </c>
      <c r="G173">
        <v>19</v>
      </c>
      <c r="H173">
        <v>8</v>
      </c>
      <c r="I173">
        <v>0.25</v>
      </c>
      <c r="J173">
        <v>0.42</v>
      </c>
      <c r="K173">
        <v>0</v>
      </c>
      <c r="L173">
        <v>0</v>
      </c>
      <c r="M173">
        <v>0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f>AVERAGEIFS($C$2:C173, $B$2:B173, B173)</f>
        <v>26.5</v>
      </c>
      <c r="AA173">
        <f>AVERAGEIFS($I$2:I173, $B$2:B173, B173)</f>
        <v>0.5</v>
      </c>
      <c r="AB173">
        <f>AVERAGEIFS($J$2:J173, $B$2:B173, B173)</f>
        <v>0.47499999999999992</v>
      </c>
      <c r="AC173">
        <f>AVERAGEIFS($D$2:D173, $B$2:B173, B173)</f>
        <v>0.5</v>
      </c>
    </row>
    <row r="174" spans="1:29" x14ac:dyDescent="0.25">
      <c r="A174" s="85">
        <v>46047</v>
      </c>
      <c r="B174" t="s">
        <v>2</v>
      </c>
      <c r="C174" s="95">
        <v>26</v>
      </c>
      <c r="D174" s="86">
        <v>0</v>
      </c>
      <c r="E174">
        <v>4</v>
      </c>
      <c r="F174">
        <v>1</v>
      </c>
      <c r="G174">
        <v>19</v>
      </c>
      <c r="H174">
        <v>8</v>
      </c>
      <c r="I174">
        <v>0.25</v>
      </c>
      <c r="J174">
        <v>0.42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1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f>AVERAGEIFS($C$2:C174, $B$2:B174, B174)</f>
        <v>24.875</v>
      </c>
      <c r="AA174">
        <f>AVERAGEIFS($I$2:I174, $B$2:B174, B174)</f>
        <v>0.47499999999999998</v>
      </c>
      <c r="AB174">
        <f>AVERAGEIFS($J$2:J174, $B$2:B174, B174)</f>
        <v>0.50250000000000006</v>
      </c>
      <c r="AC174">
        <f>AVERAGEIFS($D$2:D174, $B$2:B174, B174)</f>
        <v>0.375</v>
      </c>
    </row>
    <row r="175" spans="1:29" x14ac:dyDescent="0.25">
      <c r="A175" s="85">
        <v>46047</v>
      </c>
      <c r="B175" t="s">
        <v>37</v>
      </c>
      <c r="C175" s="95">
        <v>25</v>
      </c>
      <c r="D175" s="86">
        <v>0</v>
      </c>
      <c r="E175">
        <v>4</v>
      </c>
      <c r="F175">
        <v>1</v>
      </c>
      <c r="G175">
        <v>19</v>
      </c>
      <c r="H175">
        <v>8</v>
      </c>
      <c r="I175">
        <v>0.25</v>
      </c>
      <c r="J175">
        <v>0.42</v>
      </c>
      <c r="K175">
        <v>0</v>
      </c>
      <c r="L175">
        <v>0</v>
      </c>
      <c r="M175">
        <v>0</v>
      </c>
      <c r="N175">
        <v>0</v>
      </c>
      <c r="O175">
        <v>0</v>
      </c>
      <c r="P175">
        <v>1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f>AVERAGEIFS($C$2:C175, $B$2:B175, B175)</f>
        <v>19.666666666666668</v>
      </c>
      <c r="AA175">
        <f>AVERAGEIFS($I$2:I175, $B$2:B175, B175)</f>
        <v>0.44166666666666665</v>
      </c>
      <c r="AB175">
        <f>AVERAGEIFS($J$2:J175, $B$2:B175, B175)</f>
        <v>0.47499999999999992</v>
      </c>
      <c r="AC175">
        <f>AVERAGEIFS($D$2:D175, $B$2:B175, B175)</f>
        <v>0.33333333333333331</v>
      </c>
    </row>
    <row r="176" spans="1:29" x14ac:dyDescent="0.25">
      <c r="A176" s="85">
        <v>46047</v>
      </c>
      <c r="B176" t="s">
        <v>26</v>
      </c>
      <c r="C176" s="95">
        <v>16</v>
      </c>
      <c r="D176" s="86">
        <v>0</v>
      </c>
      <c r="E176">
        <v>4</v>
      </c>
      <c r="F176">
        <v>1</v>
      </c>
      <c r="G176">
        <v>19</v>
      </c>
      <c r="H176">
        <v>8</v>
      </c>
      <c r="I176">
        <v>0.25</v>
      </c>
      <c r="J176">
        <v>0.42</v>
      </c>
      <c r="K176">
        <v>0</v>
      </c>
      <c r="L176">
        <v>0</v>
      </c>
      <c r="M176">
        <v>0</v>
      </c>
      <c r="N176">
        <v>0</v>
      </c>
      <c r="O176">
        <v>0</v>
      </c>
      <c r="P176">
        <v>1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f>AVERAGEIFS($C$2:C176, $B$2:B176, B176)</f>
        <v>13.25</v>
      </c>
      <c r="AA176">
        <f>AVERAGEIFS($I$2:I176, $B$2:B176, B176)</f>
        <v>0.5625</v>
      </c>
      <c r="AB176">
        <f>AVERAGEIFS($J$2:J176, $B$2:B176, B176)</f>
        <v>0.54374999999999996</v>
      </c>
      <c r="AC176">
        <f>AVERAGEIFS($D$2:D176, $B$2:B176, B176)</f>
        <v>0.625</v>
      </c>
    </row>
    <row r="177" spans="1:29" x14ac:dyDescent="0.25">
      <c r="A177" s="85">
        <v>46047</v>
      </c>
      <c r="B177" t="s">
        <v>20</v>
      </c>
      <c r="C177" s="95">
        <v>14</v>
      </c>
      <c r="D177" s="86">
        <v>0</v>
      </c>
      <c r="E177">
        <v>4</v>
      </c>
      <c r="F177">
        <v>1</v>
      </c>
      <c r="G177">
        <v>19</v>
      </c>
      <c r="H177">
        <v>8</v>
      </c>
      <c r="I177">
        <v>0.25</v>
      </c>
      <c r="J177">
        <v>0.42</v>
      </c>
      <c r="K177">
        <v>0</v>
      </c>
      <c r="L177">
        <v>0</v>
      </c>
      <c r="M177">
        <v>0</v>
      </c>
      <c r="N177">
        <v>0</v>
      </c>
      <c r="O177">
        <v>0</v>
      </c>
      <c r="P177">
        <v>1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f>AVERAGEIFS($C$2:C177, $B$2:B177, B177)</f>
        <v>12.75</v>
      </c>
      <c r="AA177">
        <f>AVERAGEIFS($I$2:I177, $B$2:B177, B177)</f>
        <v>0.41249999999999998</v>
      </c>
      <c r="AB177">
        <f>AVERAGEIFS($J$2:J177, $B$2:B177, B177)</f>
        <v>0.45</v>
      </c>
      <c r="AC177">
        <f>AVERAGEIFS($D$2:D177, $B$2:B177, B177)</f>
        <v>0.25</v>
      </c>
    </row>
    <row r="178" spans="1:29" x14ac:dyDescent="0.25">
      <c r="A178" s="85">
        <v>46047</v>
      </c>
      <c r="B178" t="s">
        <v>50</v>
      </c>
      <c r="C178" s="95">
        <v>14</v>
      </c>
      <c r="D178" s="86">
        <v>0</v>
      </c>
      <c r="E178">
        <v>4</v>
      </c>
      <c r="F178">
        <v>1</v>
      </c>
      <c r="G178">
        <v>19</v>
      </c>
      <c r="H178">
        <v>8</v>
      </c>
      <c r="I178">
        <v>0.25</v>
      </c>
      <c r="J178">
        <v>0.42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1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f>AVERAGEIFS($C$2:C178, $B$2:B178, B178)</f>
        <v>13</v>
      </c>
      <c r="AA178">
        <f>AVERAGEIFS($I$2:I178, $B$2:B178, B178)</f>
        <v>0.25</v>
      </c>
      <c r="AB178">
        <f>AVERAGEIFS($J$2:J178, $B$2:B178, B178)</f>
        <v>0.36499999999999999</v>
      </c>
      <c r="AC178">
        <f>AVERAGEIFS($D$2:D178, $B$2:B178, B178)</f>
        <v>0</v>
      </c>
    </row>
    <row r="179" spans="1:29" x14ac:dyDescent="0.25">
      <c r="A179" s="85">
        <v>46055</v>
      </c>
      <c r="B179" t="s">
        <v>14</v>
      </c>
      <c r="C179" s="95">
        <v>56</v>
      </c>
      <c r="D179" s="86">
        <v>1</v>
      </c>
      <c r="E179">
        <v>5</v>
      </c>
      <c r="F179">
        <v>3</v>
      </c>
      <c r="G179">
        <v>24</v>
      </c>
      <c r="H179">
        <v>13</v>
      </c>
      <c r="I179">
        <v>0.6</v>
      </c>
      <c r="J179">
        <v>0.54</v>
      </c>
      <c r="K179">
        <v>0</v>
      </c>
      <c r="L179">
        <v>0</v>
      </c>
      <c r="M179">
        <v>0</v>
      </c>
      <c r="N179">
        <v>0</v>
      </c>
      <c r="O179">
        <v>1</v>
      </c>
      <c r="P179">
        <v>0</v>
      </c>
      <c r="Q179">
        <v>0</v>
      </c>
      <c r="R179">
        <v>0</v>
      </c>
      <c r="S179">
        <v>0</v>
      </c>
      <c r="T179">
        <v>0</v>
      </c>
      <c r="U179">
        <v>0</v>
      </c>
      <c r="V179">
        <v>0</v>
      </c>
      <c r="W179">
        <v>1</v>
      </c>
      <c r="X179">
        <v>0</v>
      </c>
      <c r="Y179">
        <v>0</v>
      </c>
      <c r="Z179">
        <f>AVERAGEIFS($C$2:C179, $B$2:B179, B179)</f>
        <v>27.90909090909091</v>
      </c>
      <c r="AA179">
        <f>AVERAGEIFS($I$2:I179, $B$2:B179, B179)</f>
        <v>0.52727272727272723</v>
      </c>
      <c r="AB179">
        <f>AVERAGEIFS($J$2:J179, $B$2:B179, B179)</f>
        <v>0.49727272727272726</v>
      </c>
      <c r="AC179">
        <f>AVERAGEIFS($D$2:D179, $B$2:B179, B179)</f>
        <v>0.63636363636363635</v>
      </c>
    </row>
    <row r="180" spans="1:29" x14ac:dyDescent="0.25">
      <c r="A180" s="85">
        <v>46055</v>
      </c>
      <c r="B180" t="s">
        <v>1</v>
      </c>
      <c r="C180" s="95">
        <v>33</v>
      </c>
      <c r="D180" s="86">
        <v>1</v>
      </c>
      <c r="E180">
        <v>5</v>
      </c>
      <c r="F180">
        <v>3</v>
      </c>
      <c r="G180">
        <v>24</v>
      </c>
      <c r="H180">
        <v>13</v>
      </c>
      <c r="I180">
        <v>0.6</v>
      </c>
      <c r="J180">
        <v>0.54</v>
      </c>
      <c r="K180">
        <v>0</v>
      </c>
      <c r="L180">
        <v>0</v>
      </c>
      <c r="M180">
        <v>0</v>
      </c>
      <c r="N180">
        <v>0</v>
      </c>
      <c r="O180">
        <v>1</v>
      </c>
      <c r="P180">
        <v>0</v>
      </c>
      <c r="Q180">
        <v>0</v>
      </c>
      <c r="R180">
        <v>0</v>
      </c>
      <c r="S180">
        <v>0</v>
      </c>
      <c r="T180">
        <v>0</v>
      </c>
      <c r="U180">
        <v>0</v>
      </c>
      <c r="V180">
        <v>0</v>
      </c>
      <c r="W180">
        <v>1</v>
      </c>
      <c r="X180">
        <v>0</v>
      </c>
      <c r="Y180">
        <v>0</v>
      </c>
      <c r="Z180">
        <f>AVERAGEIFS($C$2:C180, $B$2:B180, B180)</f>
        <v>27</v>
      </c>
      <c r="AA180">
        <f>AVERAGEIFS($I$2:I180, $B$2:B180, B180)</f>
        <v>0.52</v>
      </c>
      <c r="AB180">
        <f>AVERAGEIFS($J$2:J180, $B$2:B180, B180)</f>
        <v>0.48600000000000004</v>
      </c>
      <c r="AC180">
        <f>AVERAGEIFS($D$2:D180, $B$2:B180, B180)</f>
        <v>0.6</v>
      </c>
    </row>
    <row r="181" spans="1:29" x14ac:dyDescent="0.25">
      <c r="A181" s="85">
        <v>46055</v>
      </c>
      <c r="B181" t="s">
        <v>5</v>
      </c>
      <c r="C181" s="95">
        <v>33</v>
      </c>
      <c r="D181" s="86">
        <v>1</v>
      </c>
      <c r="E181">
        <v>5</v>
      </c>
      <c r="F181">
        <v>3</v>
      </c>
      <c r="G181">
        <v>24</v>
      </c>
      <c r="H181">
        <v>13</v>
      </c>
      <c r="I181">
        <v>0.6</v>
      </c>
      <c r="J181">
        <v>0.54</v>
      </c>
      <c r="K181">
        <v>0</v>
      </c>
      <c r="L181">
        <v>0</v>
      </c>
      <c r="M181">
        <v>0</v>
      </c>
      <c r="N181">
        <v>0</v>
      </c>
      <c r="O181">
        <v>1</v>
      </c>
      <c r="P181">
        <v>0</v>
      </c>
      <c r="Q181">
        <v>0</v>
      </c>
      <c r="R181">
        <v>0</v>
      </c>
      <c r="S181">
        <v>0</v>
      </c>
      <c r="T181">
        <v>0</v>
      </c>
      <c r="U181">
        <v>0</v>
      </c>
      <c r="V181">
        <v>0</v>
      </c>
      <c r="W181">
        <v>1</v>
      </c>
      <c r="X181">
        <v>0</v>
      </c>
      <c r="Y181">
        <v>0</v>
      </c>
      <c r="Z181">
        <f>AVERAGEIFS($C$2:C181, $B$2:B181, B181)</f>
        <v>26.714285714285715</v>
      </c>
      <c r="AA181">
        <f>AVERAGEIFS($I$2:I181, $B$2:B181, B181)</f>
        <v>0.44285714285714289</v>
      </c>
      <c r="AB181">
        <f>AVERAGEIFS($J$2:J181, $B$2:B181, B181)</f>
        <v>0.47714285714285715</v>
      </c>
      <c r="AC181">
        <f>AVERAGEIFS($D$2:D181, $B$2:B181, B181)</f>
        <v>0.42857142857142855</v>
      </c>
    </row>
    <row r="182" spans="1:29" x14ac:dyDescent="0.25">
      <c r="A182" s="85">
        <v>46055</v>
      </c>
      <c r="B182" t="s">
        <v>27</v>
      </c>
      <c r="C182" s="95">
        <v>24</v>
      </c>
      <c r="D182" s="86">
        <v>1</v>
      </c>
      <c r="E182">
        <v>5</v>
      </c>
      <c r="F182">
        <v>3</v>
      </c>
      <c r="G182">
        <v>24</v>
      </c>
      <c r="H182">
        <v>13</v>
      </c>
      <c r="I182">
        <v>0.6</v>
      </c>
      <c r="J182">
        <v>0.54</v>
      </c>
      <c r="K182">
        <v>0</v>
      </c>
      <c r="L182">
        <v>0</v>
      </c>
      <c r="M182">
        <v>0</v>
      </c>
      <c r="N182">
        <v>0</v>
      </c>
      <c r="O182">
        <v>1</v>
      </c>
      <c r="P182">
        <v>0</v>
      </c>
      <c r="Q182">
        <v>0</v>
      </c>
      <c r="R182">
        <v>0</v>
      </c>
      <c r="S182">
        <v>0</v>
      </c>
      <c r="T182">
        <v>0</v>
      </c>
      <c r="U182">
        <v>0</v>
      </c>
      <c r="V182">
        <v>0</v>
      </c>
      <c r="W182">
        <v>1</v>
      </c>
      <c r="X182">
        <v>0</v>
      </c>
      <c r="Y182">
        <v>0</v>
      </c>
      <c r="Z182">
        <f>AVERAGEIFS($C$2:C182, $B$2:B182, B182)</f>
        <v>15</v>
      </c>
      <c r="AA182">
        <f>AVERAGEIFS($I$2:I182, $B$2:B182, B182)</f>
        <v>0.51428571428571435</v>
      </c>
      <c r="AB182">
        <f>AVERAGEIFS($J$2:J182, $B$2:B182, B182)</f>
        <v>0.5</v>
      </c>
      <c r="AC182">
        <f>AVERAGEIFS($D$2:D182, $B$2:B182, B182)</f>
        <v>0.5714285714285714</v>
      </c>
    </row>
    <row r="183" spans="1:29" x14ac:dyDescent="0.25">
      <c r="A183" s="85">
        <v>46055</v>
      </c>
      <c r="B183" t="s">
        <v>28</v>
      </c>
      <c r="C183" s="95">
        <v>23</v>
      </c>
      <c r="D183" s="86">
        <v>1</v>
      </c>
      <c r="E183">
        <v>5</v>
      </c>
      <c r="F183">
        <v>3</v>
      </c>
      <c r="G183">
        <v>24</v>
      </c>
      <c r="H183">
        <v>13</v>
      </c>
      <c r="I183">
        <v>0.6</v>
      </c>
      <c r="J183">
        <v>0.54</v>
      </c>
      <c r="K183">
        <v>0</v>
      </c>
      <c r="L183">
        <v>0</v>
      </c>
      <c r="M183">
        <v>0</v>
      </c>
      <c r="N183">
        <v>0</v>
      </c>
      <c r="O183">
        <v>1</v>
      </c>
      <c r="P183">
        <v>0</v>
      </c>
      <c r="Q183">
        <v>0</v>
      </c>
      <c r="R183">
        <v>0</v>
      </c>
      <c r="S183">
        <v>0</v>
      </c>
      <c r="T183">
        <v>0</v>
      </c>
      <c r="U183">
        <v>0</v>
      </c>
      <c r="V183">
        <v>0</v>
      </c>
      <c r="W183">
        <v>1</v>
      </c>
      <c r="X183">
        <v>0</v>
      </c>
      <c r="Y183">
        <v>0</v>
      </c>
      <c r="Z183">
        <f>AVERAGEIFS($C$2:C183, $B$2:B183, B183)</f>
        <v>15.111111111111111</v>
      </c>
      <c r="AA183">
        <f>AVERAGEIFS($I$2:I183, $B$2:B183, B183)</f>
        <v>0.52777777777777779</v>
      </c>
      <c r="AB183">
        <f>AVERAGEIFS($J$2:J183, $B$2:B183, B183)</f>
        <v>0.51888888888888884</v>
      </c>
      <c r="AC183">
        <f>AVERAGEIFS($D$2:D183, $B$2:B183, B183)</f>
        <v>0.55555555555555558</v>
      </c>
    </row>
    <row r="184" spans="1:29" x14ac:dyDescent="0.25">
      <c r="A184" s="85">
        <v>46055</v>
      </c>
      <c r="B184" t="s">
        <v>29</v>
      </c>
      <c r="C184" s="95">
        <v>21</v>
      </c>
      <c r="D184" s="86">
        <v>1</v>
      </c>
      <c r="E184">
        <v>5</v>
      </c>
      <c r="F184">
        <v>3</v>
      </c>
      <c r="G184">
        <v>24</v>
      </c>
      <c r="H184">
        <v>13</v>
      </c>
      <c r="I184">
        <v>0.6</v>
      </c>
      <c r="J184">
        <v>0.54</v>
      </c>
      <c r="K184">
        <v>0</v>
      </c>
      <c r="L184">
        <v>0</v>
      </c>
      <c r="M184">
        <v>0</v>
      </c>
      <c r="N184">
        <v>0</v>
      </c>
      <c r="O184">
        <v>1</v>
      </c>
      <c r="P184">
        <v>0</v>
      </c>
      <c r="Q184">
        <v>0</v>
      </c>
      <c r="R184">
        <v>0</v>
      </c>
      <c r="S184">
        <v>0</v>
      </c>
      <c r="T184">
        <v>0</v>
      </c>
      <c r="U184">
        <v>0</v>
      </c>
      <c r="V184">
        <v>0</v>
      </c>
      <c r="W184">
        <v>1</v>
      </c>
      <c r="X184">
        <v>0</v>
      </c>
      <c r="Y184">
        <v>0</v>
      </c>
      <c r="Z184">
        <f>AVERAGEIFS($C$2:C184, $B$2:B184, B184)</f>
        <v>11.333333333333334</v>
      </c>
      <c r="AA184">
        <f>AVERAGEIFS($I$2:I184, $B$2:B184, B184)</f>
        <v>0.5444444444444444</v>
      </c>
      <c r="AB184">
        <f>AVERAGEIFS($J$2:J184, $B$2:B184, B184)</f>
        <v>0.5133333333333332</v>
      </c>
      <c r="AC184">
        <f>AVERAGEIFS($D$2:D184, $B$2:B184, B184)</f>
        <v>0.55555555555555558</v>
      </c>
    </row>
    <row r="185" spans="1:29" x14ac:dyDescent="0.25">
      <c r="A185" s="85">
        <v>46055</v>
      </c>
      <c r="B185" t="s">
        <v>15</v>
      </c>
      <c r="C185" s="95">
        <v>55</v>
      </c>
      <c r="D185" s="86">
        <v>0</v>
      </c>
      <c r="E185">
        <v>5</v>
      </c>
      <c r="F185">
        <v>2</v>
      </c>
      <c r="G185">
        <v>24</v>
      </c>
      <c r="H185">
        <v>11</v>
      </c>
      <c r="I185">
        <v>0.4</v>
      </c>
      <c r="J185">
        <v>0.46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1</v>
      </c>
      <c r="Q185">
        <v>0</v>
      </c>
      <c r="R185">
        <v>0</v>
      </c>
      <c r="S185">
        <v>0</v>
      </c>
      <c r="T185">
        <v>0</v>
      </c>
      <c r="U185">
        <v>0</v>
      </c>
      <c r="V185">
        <v>1</v>
      </c>
      <c r="W185">
        <v>0</v>
      </c>
      <c r="X185">
        <v>0</v>
      </c>
      <c r="Y185">
        <v>0</v>
      </c>
      <c r="Z185">
        <f>AVERAGEIFS($C$2:C185, $B$2:B185, B185)</f>
        <v>27.363636363636363</v>
      </c>
      <c r="AA185">
        <f>AVERAGEIFS($I$2:I185, $B$2:B185, B185)</f>
        <v>0.45</v>
      </c>
      <c r="AB185">
        <f>AVERAGEIFS($J$2:J185, $B$2:B185, B185)</f>
        <v>0.46181818181818174</v>
      </c>
      <c r="AC185">
        <f>AVERAGEIFS($D$2:D185, $B$2:B185, B185)</f>
        <v>0.27272727272727271</v>
      </c>
    </row>
    <row r="186" spans="1:29" x14ac:dyDescent="0.25">
      <c r="A186" s="85">
        <v>46055</v>
      </c>
      <c r="B186" t="s">
        <v>17</v>
      </c>
      <c r="C186" s="95">
        <v>36</v>
      </c>
      <c r="D186" s="86">
        <v>0</v>
      </c>
      <c r="E186">
        <v>5</v>
      </c>
      <c r="F186">
        <v>2</v>
      </c>
      <c r="G186">
        <v>24</v>
      </c>
      <c r="H186">
        <v>11</v>
      </c>
      <c r="I186">
        <v>0.4</v>
      </c>
      <c r="J186">
        <v>0.46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1</v>
      </c>
      <c r="Q186">
        <v>0</v>
      </c>
      <c r="R186">
        <v>0</v>
      </c>
      <c r="S186">
        <v>0</v>
      </c>
      <c r="T186">
        <v>0</v>
      </c>
      <c r="U186">
        <v>0</v>
      </c>
      <c r="V186">
        <v>1</v>
      </c>
      <c r="W186">
        <v>0</v>
      </c>
      <c r="X186">
        <v>0</v>
      </c>
      <c r="Y186">
        <v>0</v>
      </c>
      <c r="Z186">
        <f>AVERAGEIFS($C$2:C186, $B$2:B186, B186)</f>
        <v>27.833333333333332</v>
      </c>
      <c r="AA186">
        <f>AVERAGEIFS($I$2:I186, $B$2:B186, B186)</f>
        <v>0.57083333333333341</v>
      </c>
      <c r="AB186">
        <f>AVERAGEIFS($J$2:J186, $B$2:B186, B186)</f>
        <v>0.54833333333333323</v>
      </c>
      <c r="AC186">
        <f>AVERAGEIFS($D$2:D186, $B$2:B186, B186)</f>
        <v>0.5</v>
      </c>
    </row>
    <row r="187" spans="1:29" x14ac:dyDescent="0.25">
      <c r="A187" s="85">
        <v>46055</v>
      </c>
      <c r="B187" t="s">
        <v>6</v>
      </c>
      <c r="C187" s="95">
        <v>33</v>
      </c>
      <c r="D187" s="86">
        <v>0</v>
      </c>
      <c r="E187">
        <v>5</v>
      </c>
      <c r="F187">
        <v>2</v>
      </c>
      <c r="G187">
        <v>24</v>
      </c>
      <c r="H187">
        <v>11</v>
      </c>
      <c r="I187">
        <v>0.4</v>
      </c>
      <c r="J187">
        <v>0.46</v>
      </c>
      <c r="K187">
        <v>0</v>
      </c>
      <c r="L187">
        <v>0</v>
      </c>
      <c r="M187">
        <v>0</v>
      </c>
      <c r="N187">
        <v>0</v>
      </c>
      <c r="O187">
        <v>0</v>
      </c>
      <c r="P187">
        <v>1</v>
      </c>
      <c r="Q187">
        <v>0</v>
      </c>
      <c r="R187">
        <v>0</v>
      </c>
      <c r="S187">
        <v>0</v>
      </c>
      <c r="T187">
        <v>0</v>
      </c>
      <c r="U187">
        <v>0</v>
      </c>
      <c r="V187">
        <v>1</v>
      </c>
      <c r="W187">
        <v>0</v>
      </c>
      <c r="X187">
        <v>0</v>
      </c>
      <c r="Y187">
        <v>0</v>
      </c>
      <c r="Z187">
        <f>AVERAGEIFS($C$2:C187, $B$2:B187, B187)</f>
        <v>22.333333333333332</v>
      </c>
      <c r="AA187">
        <f>AVERAGEIFS($I$2:I187, $B$2:B187, B187)</f>
        <v>0.6</v>
      </c>
      <c r="AB187">
        <f>AVERAGEIFS($J$2:J187, $B$2:B187, B187)</f>
        <v>0.55333333333333334</v>
      </c>
      <c r="AC187">
        <f>AVERAGEIFS($D$2:D187, $B$2:B187, B187)</f>
        <v>0.66666666666666663</v>
      </c>
    </row>
    <row r="188" spans="1:29" x14ac:dyDescent="0.25">
      <c r="A188" s="85">
        <v>46055</v>
      </c>
      <c r="B188" t="s">
        <v>20</v>
      </c>
      <c r="C188" s="95">
        <v>28</v>
      </c>
      <c r="D188" s="86">
        <v>0</v>
      </c>
      <c r="E188">
        <v>5</v>
      </c>
      <c r="F188">
        <v>2</v>
      </c>
      <c r="G188">
        <v>24</v>
      </c>
      <c r="H188">
        <v>11</v>
      </c>
      <c r="I188">
        <v>0.4</v>
      </c>
      <c r="J188">
        <v>0.46</v>
      </c>
      <c r="K188">
        <v>0</v>
      </c>
      <c r="L188">
        <v>0</v>
      </c>
      <c r="M188">
        <v>0</v>
      </c>
      <c r="N188">
        <v>0</v>
      </c>
      <c r="O188">
        <v>0</v>
      </c>
      <c r="P188">
        <v>1</v>
      </c>
      <c r="Q188">
        <v>0</v>
      </c>
      <c r="R188">
        <v>0</v>
      </c>
      <c r="S188">
        <v>0</v>
      </c>
      <c r="T188">
        <v>0</v>
      </c>
      <c r="U188">
        <v>0</v>
      </c>
      <c r="V188">
        <v>1</v>
      </c>
      <c r="W188">
        <v>0</v>
      </c>
      <c r="X188">
        <v>0</v>
      </c>
      <c r="Y188">
        <v>0</v>
      </c>
      <c r="Z188">
        <f>AVERAGEIFS($C$2:C188, $B$2:B188, B188)</f>
        <v>14.444444444444445</v>
      </c>
      <c r="AA188">
        <f>AVERAGEIFS($I$2:I188, $B$2:B188, B188)</f>
        <v>0.41111111111111109</v>
      </c>
      <c r="AB188">
        <f>AVERAGEIFS($J$2:J188, $B$2:B188, B188)</f>
        <v>0.45111111111111118</v>
      </c>
      <c r="AC188">
        <f>AVERAGEIFS($D$2:D188, $B$2:B188, B188)</f>
        <v>0.22222222222222221</v>
      </c>
    </row>
    <row r="189" spans="1:29" x14ac:dyDescent="0.25">
      <c r="A189" s="85">
        <v>46055</v>
      </c>
      <c r="B189" t="s">
        <v>19</v>
      </c>
      <c r="C189" s="95">
        <v>26</v>
      </c>
      <c r="D189" s="86">
        <v>0</v>
      </c>
      <c r="E189">
        <v>5</v>
      </c>
      <c r="F189">
        <v>2</v>
      </c>
      <c r="G189">
        <v>24</v>
      </c>
      <c r="H189">
        <v>11</v>
      </c>
      <c r="I189">
        <v>0.4</v>
      </c>
      <c r="J189">
        <v>0.46</v>
      </c>
      <c r="K189">
        <v>0</v>
      </c>
      <c r="L189">
        <v>0</v>
      </c>
      <c r="M189">
        <v>0</v>
      </c>
      <c r="N189">
        <v>0</v>
      </c>
      <c r="O189">
        <v>0</v>
      </c>
      <c r="P189">
        <v>1</v>
      </c>
      <c r="Q189">
        <v>0</v>
      </c>
      <c r="R189">
        <v>0</v>
      </c>
      <c r="S189">
        <v>0</v>
      </c>
      <c r="T189">
        <v>0</v>
      </c>
      <c r="U189">
        <v>0</v>
      </c>
      <c r="V189">
        <v>1</v>
      </c>
      <c r="W189">
        <v>0</v>
      </c>
      <c r="X189">
        <v>0</v>
      </c>
      <c r="Y189">
        <v>0</v>
      </c>
      <c r="Z189">
        <f>AVERAGEIFS($C$2:C189, $B$2:B189, B189)</f>
        <v>12.153846153846153</v>
      </c>
      <c r="AA189">
        <f>AVERAGEIFS($I$2:I189, $B$2:B189, B189)</f>
        <v>0.52307692307692311</v>
      </c>
      <c r="AB189">
        <f>AVERAGEIFS($J$2:J189, $B$2:B189, B189)</f>
        <v>0.50615384615384618</v>
      </c>
      <c r="AC189">
        <f>AVERAGEIFS($D$2:D189, $B$2:B189, B189)</f>
        <v>0.46153846153846156</v>
      </c>
    </row>
    <row r="190" spans="1:29" x14ac:dyDescent="0.25">
      <c r="A190" s="85">
        <v>46055</v>
      </c>
      <c r="B190" t="s">
        <v>137</v>
      </c>
      <c r="C190" s="95">
        <v>13</v>
      </c>
      <c r="D190" s="86">
        <v>0</v>
      </c>
      <c r="E190">
        <v>5</v>
      </c>
      <c r="F190">
        <v>2</v>
      </c>
      <c r="G190">
        <v>24</v>
      </c>
      <c r="H190">
        <v>11</v>
      </c>
      <c r="I190">
        <v>0.4</v>
      </c>
      <c r="J190">
        <v>0.46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1</v>
      </c>
      <c r="Q190">
        <v>0</v>
      </c>
      <c r="R190">
        <v>0</v>
      </c>
      <c r="S190">
        <v>0</v>
      </c>
      <c r="T190">
        <v>0</v>
      </c>
      <c r="U190">
        <v>0</v>
      </c>
      <c r="V190">
        <v>1</v>
      </c>
      <c r="W190">
        <v>0</v>
      </c>
      <c r="X190">
        <v>0</v>
      </c>
      <c r="Y190">
        <v>0</v>
      </c>
      <c r="Z190">
        <f>AVERAGEIFS($C$2:C190, $B$2:B190, B190)</f>
        <v>7.666666666666667</v>
      </c>
      <c r="AA190">
        <f>AVERAGEIFS($I$2:I190, $B$2:B190, B190)</f>
        <v>0.71666666666666667</v>
      </c>
      <c r="AB190">
        <f>AVERAGEIFS($J$2:J190, $B$2:B190, B190)</f>
        <v>0.57999999999999996</v>
      </c>
      <c r="AC190">
        <f>AVERAGEIFS($D$2:D190, $B$2:B190, B190)</f>
        <v>0.66666666666666663</v>
      </c>
    </row>
    <row r="191" spans="1:29" x14ac:dyDescent="0.25">
      <c r="A191" s="85">
        <v>46061</v>
      </c>
      <c r="B191" t="s">
        <v>17</v>
      </c>
      <c r="C191" s="95">
        <v>25</v>
      </c>
      <c r="D191" s="86">
        <v>1</v>
      </c>
      <c r="E191">
        <v>3</v>
      </c>
      <c r="F191">
        <v>3</v>
      </c>
      <c r="G191">
        <v>13</v>
      </c>
      <c r="H191">
        <v>9</v>
      </c>
      <c r="I191">
        <v>1</v>
      </c>
      <c r="J191">
        <v>0.69</v>
      </c>
      <c r="K191">
        <v>0</v>
      </c>
      <c r="L191">
        <v>0</v>
      </c>
      <c r="M191">
        <v>0</v>
      </c>
      <c r="N191">
        <v>0</v>
      </c>
      <c r="O191">
        <v>0</v>
      </c>
      <c r="P191">
        <v>1</v>
      </c>
      <c r="Q191">
        <v>0</v>
      </c>
      <c r="R191">
        <v>0</v>
      </c>
      <c r="S191">
        <v>0</v>
      </c>
      <c r="T191">
        <v>0</v>
      </c>
      <c r="U191">
        <v>0</v>
      </c>
      <c r="V191">
        <v>0</v>
      </c>
      <c r="W191">
        <v>1</v>
      </c>
      <c r="X191">
        <v>0</v>
      </c>
      <c r="Y191">
        <v>1</v>
      </c>
      <c r="Z191">
        <f>AVERAGEIFS($C$2:C191, $B$2:B191, B191)</f>
        <v>27.615384615384617</v>
      </c>
      <c r="AA191">
        <f>AVERAGEIFS($I$2:I191, $B$2:B191, B191)</f>
        <v>0.60384615384615392</v>
      </c>
      <c r="AB191">
        <f>AVERAGEIFS($J$2:J191, $B$2:B191, B191)</f>
        <v>0.5592307692307692</v>
      </c>
      <c r="AC191">
        <f>AVERAGEIFS($D$2:D191, $B$2:B191, B191)</f>
        <v>0.53846153846153844</v>
      </c>
    </row>
    <row r="192" spans="1:29" x14ac:dyDescent="0.25">
      <c r="A192" s="85">
        <v>46061</v>
      </c>
      <c r="B192" t="s">
        <v>6</v>
      </c>
      <c r="C192" s="95">
        <v>22</v>
      </c>
      <c r="D192" s="86">
        <v>1</v>
      </c>
      <c r="E192">
        <v>3</v>
      </c>
      <c r="F192">
        <v>3</v>
      </c>
      <c r="G192">
        <v>13</v>
      </c>
      <c r="H192">
        <v>9</v>
      </c>
      <c r="I192">
        <v>1</v>
      </c>
      <c r="J192">
        <v>0.69</v>
      </c>
      <c r="K192">
        <v>0</v>
      </c>
      <c r="L192">
        <v>0</v>
      </c>
      <c r="M192">
        <v>0</v>
      </c>
      <c r="N192">
        <v>0</v>
      </c>
      <c r="O192">
        <v>0</v>
      </c>
      <c r="P192">
        <v>1</v>
      </c>
      <c r="Q192">
        <v>0</v>
      </c>
      <c r="R192">
        <v>0</v>
      </c>
      <c r="S192">
        <v>0</v>
      </c>
      <c r="T192">
        <v>0</v>
      </c>
      <c r="U192">
        <v>0</v>
      </c>
      <c r="V192">
        <v>0</v>
      </c>
      <c r="W192">
        <v>1</v>
      </c>
      <c r="X192">
        <v>0</v>
      </c>
      <c r="Y192">
        <v>1</v>
      </c>
      <c r="Z192">
        <f>AVERAGEIFS($C$2:C192, $B$2:B192, B192)</f>
        <v>22.285714285714285</v>
      </c>
      <c r="AA192">
        <f>AVERAGEIFS($I$2:I192, $B$2:B192, B192)</f>
        <v>0.65714285714285714</v>
      </c>
      <c r="AB192">
        <f>AVERAGEIFS($J$2:J192, $B$2:B192, B192)</f>
        <v>0.57285714285714284</v>
      </c>
      <c r="AC192">
        <f>AVERAGEIFS($D$2:D192, $B$2:B192, B192)</f>
        <v>0.7142857142857143</v>
      </c>
    </row>
    <row r="193" spans="1:29" x14ac:dyDescent="0.25">
      <c r="A193" s="85">
        <v>46061</v>
      </c>
      <c r="B193" t="s">
        <v>37</v>
      </c>
      <c r="C193" s="95">
        <v>18</v>
      </c>
      <c r="D193" s="86">
        <v>1</v>
      </c>
      <c r="E193">
        <v>3</v>
      </c>
      <c r="F193">
        <v>3</v>
      </c>
      <c r="G193">
        <v>13</v>
      </c>
      <c r="H193">
        <v>9</v>
      </c>
      <c r="I193">
        <v>1</v>
      </c>
      <c r="J193">
        <v>0.69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1</v>
      </c>
      <c r="Q193">
        <v>0</v>
      </c>
      <c r="R193">
        <v>0</v>
      </c>
      <c r="S193">
        <v>0</v>
      </c>
      <c r="T193">
        <v>0</v>
      </c>
      <c r="U193">
        <v>0</v>
      </c>
      <c r="V193">
        <v>0</v>
      </c>
      <c r="W193">
        <v>1</v>
      </c>
      <c r="X193">
        <v>0</v>
      </c>
      <c r="Y193">
        <v>1</v>
      </c>
      <c r="Z193">
        <f>AVERAGEIFS($C$2:C193, $B$2:B193, B193)</f>
        <v>19.428571428571427</v>
      </c>
      <c r="AA193">
        <f>AVERAGEIFS($I$2:I193, $B$2:B193, B193)</f>
        <v>0.52142857142857146</v>
      </c>
      <c r="AB193">
        <f>AVERAGEIFS($J$2:J193, $B$2:B193, B193)</f>
        <v>0.50571428571428567</v>
      </c>
      <c r="AC193">
        <f>AVERAGEIFS($D$2:D193, $B$2:B193, B193)</f>
        <v>0.42857142857142855</v>
      </c>
    </row>
    <row r="194" spans="1:29" x14ac:dyDescent="0.25">
      <c r="A194" s="85">
        <v>46061</v>
      </c>
      <c r="B194" t="s">
        <v>44</v>
      </c>
      <c r="C194" s="95">
        <v>12</v>
      </c>
      <c r="D194" s="86">
        <v>1</v>
      </c>
      <c r="E194">
        <v>3</v>
      </c>
      <c r="F194">
        <v>3</v>
      </c>
      <c r="G194">
        <v>13</v>
      </c>
      <c r="H194">
        <v>9</v>
      </c>
      <c r="I194">
        <v>1</v>
      </c>
      <c r="J194">
        <v>0.69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1</v>
      </c>
      <c r="Q194">
        <v>0</v>
      </c>
      <c r="R194">
        <v>0</v>
      </c>
      <c r="S194">
        <v>0</v>
      </c>
      <c r="T194">
        <v>0</v>
      </c>
      <c r="U194">
        <v>0</v>
      </c>
      <c r="V194">
        <v>0</v>
      </c>
      <c r="W194">
        <v>1</v>
      </c>
      <c r="X194">
        <v>0</v>
      </c>
      <c r="Y194">
        <v>1</v>
      </c>
      <c r="Z194">
        <f>AVERAGEIFS($C$2:C194, $B$2:B194, B194)</f>
        <v>12</v>
      </c>
      <c r="AA194">
        <f>AVERAGEIFS($I$2:I194, $B$2:B194, B194)</f>
        <v>1</v>
      </c>
      <c r="AB194">
        <f>AVERAGEIFS($J$2:J194, $B$2:B194, B194)</f>
        <v>0.69</v>
      </c>
      <c r="AC194">
        <f>AVERAGEIFS($D$2:D194, $B$2:B194, B194)</f>
        <v>1</v>
      </c>
    </row>
    <row r="195" spans="1:29" x14ac:dyDescent="0.25">
      <c r="A195" s="85">
        <v>46061</v>
      </c>
      <c r="B195" t="s">
        <v>43</v>
      </c>
      <c r="C195" s="95">
        <v>4</v>
      </c>
      <c r="D195" s="86">
        <v>1</v>
      </c>
      <c r="E195">
        <v>3</v>
      </c>
      <c r="F195">
        <v>3</v>
      </c>
      <c r="G195">
        <v>13</v>
      </c>
      <c r="H195">
        <v>9</v>
      </c>
      <c r="I195">
        <v>1</v>
      </c>
      <c r="J195">
        <v>0.69</v>
      </c>
      <c r="K195">
        <v>0</v>
      </c>
      <c r="L195">
        <v>0</v>
      </c>
      <c r="M195">
        <v>0</v>
      </c>
      <c r="N195">
        <v>0</v>
      </c>
      <c r="O195">
        <v>0</v>
      </c>
      <c r="P195">
        <v>1</v>
      </c>
      <c r="Q195">
        <v>0</v>
      </c>
      <c r="R195">
        <v>0</v>
      </c>
      <c r="S195">
        <v>0</v>
      </c>
      <c r="T195">
        <v>0</v>
      </c>
      <c r="U195">
        <v>0</v>
      </c>
      <c r="V195">
        <v>0</v>
      </c>
      <c r="W195">
        <v>1</v>
      </c>
      <c r="X195">
        <v>0</v>
      </c>
      <c r="Y195">
        <v>1</v>
      </c>
      <c r="Z195">
        <f>AVERAGEIFS($C$2:C195, $B$2:B195, B195)</f>
        <v>4</v>
      </c>
      <c r="AA195">
        <f>AVERAGEIFS($I$2:I195, $B$2:B195, B195)</f>
        <v>1</v>
      </c>
      <c r="AB195">
        <f>AVERAGEIFS($J$2:J195, $B$2:B195, B195)</f>
        <v>0.69</v>
      </c>
      <c r="AC195">
        <f>AVERAGEIFS($D$2:D195, $B$2:B195, B195)</f>
        <v>1</v>
      </c>
    </row>
    <row r="196" spans="1:29" x14ac:dyDescent="0.25">
      <c r="A196" s="85">
        <v>46061</v>
      </c>
      <c r="B196" t="s">
        <v>45</v>
      </c>
      <c r="C196" s="95">
        <v>2</v>
      </c>
      <c r="D196" s="86">
        <v>1</v>
      </c>
      <c r="E196">
        <v>3</v>
      </c>
      <c r="F196">
        <v>3</v>
      </c>
      <c r="G196">
        <v>13</v>
      </c>
      <c r="H196">
        <v>9</v>
      </c>
      <c r="I196">
        <v>1</v>
      </c>
      <c r="J196">
        <v>0.69</v>
      </c>
      <c r="K196">
        <v>0</v>
      </c>
      <c r="L196">
        <v>0</v>
      </c>
      <c r="M196">
        <v>0</v>
      </c>
      <c r="N196">
        <v>0</v>
      </c>
      <c r="O196">
        <v>0</v>
      </c>
      <c r="P196">
        <v>1</v>
      </c>
      <c r="Q196">
        <v>0</v>
      </c>
      <c r="R196">
        <v>0</v>
      </c>
      <c r="S196">
        <v>0</v>
      </c>
      <c r="T196">
        <v>0</v>
      </c>
      <c r="U196">
        <v>0</v>
      </c>
      <c r="V196">
        <v>0</v>
      </c>
      <c r="W196">
        <v>1</v>
      </c>
      <c r="X196">
        <v>0</v>
      </c>
      <c r="Y196">
        <v>1</v>
      </c>
      <c r="Z196">
        <f>AVERAGEIFS($C$2:C196, $B$2:B196, B196)</f>
        <v>8.3333333333333339</v>
      </c>
      <c r="AA196">
        <f>AVERAGEIFS($I$2:I196, $B$2:B196, B196)</f>
        <v>0.35833333333333334</v>
      </c>
      <c r="AB196">
        <f>AVERAGEIFS($J$2:J196, $B$2:B196, B196)</f>
        <v>0.42499999999999999</v>
      </c>
      <c r="AC196">
        <f>AVERAGEIFS($D$2:D196, $B$2:B196, B196)</f>
        <v>0.16666666666666666</v>
      </c>
    </row>
    <row r="197" spans="1:29" x14ac:dyDescent="0.25">
      <c r="A197" s="85">
        <v>46061</v>
      </c>
      <c r="B197" t="s">
        <v>13</v>
      </c>
      <c r="C197" s="95">
        <v>29</v>
      </c>
      <c r="D197" s="86">
        <v>0</v>
      </c>
      <c r="E197">
        <v>3</v>
      </c>
      <c r="F197">
        <v>0</v>
      </c>
      <c r="G197">
        <v>13</v>
      </c>
      <c r="H197">
        <v>4</v>
      </c>
      <c r="I197">
        <v>0</v>
      </c>
      <c r="J197">
        <v>0.31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0</v>
      </c>
      <c r="V197">
        <v>0</v>
      </c>
      <c r="W197">
        <v>0</v>
      </c>
      <c r="X197">
        <v>0</v>
      </c>
      <c r="Y197">
        <v>0</v>
      </c>
      <c r="Z197">
        <f>AVERAGEIFS($C$2:C197, $B$2:B197, B197)</f>
        <v>29.923076923076923</v>
      </c>
      <c r="AA197">
        <f>AVERAGEIFS($I$2:I197, $B$2:B197, B197)</f>
        <v>0.49615384615384611</v>
      </c>
      <c r="AB197">
        <f>AVERAGEIFS($J$2:J197, $B$2:B197, B197)</f>
        <v>0.50923076923076915</v>
      </c>
      <c r="AC197">
        <f>AVERAGEIFS($D$2:D197, $B$2:B197, B197)</f>
        <v>0.61538461538461542</v>
      </c>
    </row>
    <row r="198" spans="1:29" x14ac:dyDescent="0.25">
      <c r="A198" s="85">
        <v>46061</v>
      </c>
      <c r="B198" t="s">
        <v>46</v>
      </c>
      <c r="C198" s="95">
        <v>16</v>
      </c>
      <c r="D198" s="86">
        <v>0</v>
      </c>
      <c r="E198">
        <v>3</v>
      </c>
      <c r="F198">
        <v>0</v>
      </c>
      <c r="G198">
        <v>13</v>
      </c>
      <c r="H198">
        <v>4</v>
      </c>
      <c r="I198">
        <v>0</v>
      </c>
      <c r="J198">
        <v>0.31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0</v>
      </c>
      <c r="Y198">
        <v>0</v>
      </c>
      <c r="Z198">
        <f>AVERAGEIFS($C$2:C198, $B$2:B198, B198)</f>
        <v>19.8</v>
      </c>
      <c r="AA198">
        <f>AVERAGEIFS($I$2:I198, $B$2:B198, B198)</f>
        <v>0.25</v>
      </c>
      <c r="AB198">
        <f>AVERAGEIFS($J$2:J198, $B$2:B198, B198)</f>
        <v>0.38600000000000001</v>
      </c>
      <c r="AC198">
        <f>AVERAGEIFS($D$2:D198, $B$2:B198, B198)</f>
        <v>0.2</v>
      </c>
    </row>
    <row r="199" spans="1:29" x14ac:dyDescent="0.25">
      <c r="A199" s="85">
        <v>46061</v>
      </c>
      <c r="B199" t="s">
        <v>35</v>
      </c>
      <c r="C199" s="95">
        <v>11</v>
      </c>
      <c r="D199" s="86">
        <v>0</v>
      </c>
      <c r="E199">
        <v>3</v>
      </c>
      <c r="F199">
        <v>0</v>
      </c>
      <c r="G199">
        <v>13</v>
      </c>
      <c r="H199">
        <v>4</v>
      </c>
      <c r="I199">
        <v>0</v>
      </c>
      <c r="J199">
        <v>0.31</v>
      </c>
      <c r="K199">
        <v>0</v>
      </c>
      <c r="L199">
        <v>0</v>
      </c>
      <c r="M199">
        <v>0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0</v>
      </c>
      <c r="Y199">
        <v>0</v>
      </c>
      <c r="Z199">
        <f>AVERAGEIFS($C$2:C199, $B$2:B199, B199)</f>
        <v>9.3333333333333339</v>
      </c>
      <c r="AA199">
        <f>AVERAGEIFS($I$2:I199, $B$2:B199, B199)</f>
        <v>0.30833333333333335</v>
      </c>
      <c r="AB199">
        <f>AVERAGEIFS($J$2:J199, $B$2:B199, B199)</f>
        <v>0.44166666666666671</v>
      </c>
      <c r="AC199">
        <f>AVERAGEIFS($D$2:D199, $B$2:B199, B199)</f>
        <v>0.33333333333333331</v>
      </c>
    </row>
    <row r="200" spans="1:29" x14ac:dyDescent="0.25">
      <c r="A200" s="85">
        <v>46061</v>
      </c>
      <c r="B200" t="s">
        <v>14</v>
      </c>
      <c r="C200" s="95">
        <v>10</v>
      </c>
      <c r="D200" s="86">
        <v>0</v>
      </c>
      <c r="E200">
        <v>3</v>
      </c>
      <c r="F200">
        <v>0</v>
      </c>
      <c r="G200">
        <v>13</v>
      </c>
      <c r="H200">
        <v>4</v>
      </c>
      <c r="I200">
        <v>0</v>
      </c>
      <c r="J200">
        <v>0.31</v>
      </c>
      <c r="K200">
        <v>0</v>
      </c>
      <c r="L200">
        <v>0</v>
      </c>
      <c r="M200">
        <v>0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0</v>
      </c>
      <c r="Y200">
        <v>0</v>
      </c>
      <c r="Z200">
        <f>AVERAGEIFS($C$2:C200, $B$2:B200, B200)</f>
        <v>26.416666666666668</v>
      </c>
      <c r="AA200">
        <f>AVERAGEIFS($I$2:I200, $B$2:B200, B200)</f>
        <v>0.48333333333333334</v>
      </c>
      <c r="AB200">
        <f>AVERAGEIFS($J$2:J200, $B$2:B200, B200)</f>
        <v>0.48166666666666663</v>
      </c>
      <c r="AC200">
        <f>AVERAGEIFS($D$2:D200, $B$2:B200, B200)</f>
        <v>0.58333333333333337</v>
      </c>
    </row>
    <row r="201" spans="1:29" x14ac:dyDescent="0.25">
      <c r="A201" s="85">
        <v>46061</v>
      </c>
      <c r="B201" t="s">
        <v>29</v>
      </c>
      <c r="C201" s="95">
        <v>5</v>
      </c>
      <c r="D201" s="86">
        <v>0</v>
      </c>
      <c r="E201">
        <v>3</v>
      </c>
      <c r="F201">
        <v>0</v>
      </c>
      <c r="G201">
        <v>13</v>
      </c>
      <c r="H201">
        <v>4</v>
      </c>
      <c r="I201">
        <v>0</v>
      </c>
      <c r="J201">
        <v>0.31</v>
      </c>
      <c r="K201">
        <v>0</v>
      </c>
      <c r="L201">
        <v>0</v>
      </c>
      <c r="M201">
        <v>0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0</v>
      </c>
      <c r="Y201">
        <v>0</v>
      </c>
      <c r="Z201">
        <f>AVERAGEIFS($C$2:C201, $B$2:B201, B201)</f>
        <v>10.7</v>
      </c>
      <c r="AA201">
        <f>AVERAGEIFS($I$2:I201, $B$2:B201, B201)</f>
        <v>0.48999999999999994</v>
      </c>
      <c r="AB201">
        <f>AVERAGEIFS($J$2:J201, $B$2:B201, B201)</f>
        <v>0.49299999999999988</v>
      </c>
      <c r="AC201">
        <f>AVERAGEIFS($D$2:D201, $B$2:B201, B201)</f>
        <v>0.5</v>
      </c>
    </row>
    <row r="202" spans="1:29" x14ac:dyDescent="0.25">
      <c r="A202" s="85">
        <v>46061</v>
      </c>
      <c r="B202" t="s">
        <v>19</v>
      </c>
      <c r="C202" s="95">
        <v>5</v>
      </c>
      <c r="D202" s="86">
        <v>0</v>
      </c>
      <c r="E202">
        <v>3</v>
      </c>
      <c r="F202">
        <v>0</v>
      </c>
      <c r="G202">
        <v>13</v>
      </c>
      <c r="H202">
        <v>4</v>
      </c>
      <c r="I202">
        <v>0</v>
      </c>
      <c r="J202">
        <v>0.31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0</v>
      </c>
      <c r="Y202">
        <v>0</v>
      </c>
      <c r="Z202">
        <f>AVERAGEIFS($C$2:C202, $B$2:B202, B202)</f>
        <v>11.642857142857142</v>
      </c>
      <c r="AA202">
        <f>AVERAGEIFS($I$2:I202, $B$2:B202, B202)</f>
        <v>0.48571428571428577</v>
      </c>
      <c r="AB202">
        <f>AVERAGEIFS($J$2:J202, $B$2:B202, B202)</f>
        <v>0.49214285714285716</v>
      </c>
      <c r="AC202">
        <f>AVERAGEIFS($D$2:D202, $B$2:B202, B202)</f>
        <v>0.42857142857142855</v>
      </c>
    </row>
    <row r="203" spans="1:29" x14ac:dyDescent="0.25">
      <c r="A203" s="85">
        <v>46066</v>
      </c>
      <c r="B203" t="s">
        <v>13</v>
      </c>
      <c r="C203" s="95">
        <v>22</v>
      </c>
      <c r="D203" s="86">
        <v>1</v>
      </c>
      <c r="E203">
        <v>3</v>
      </c>
      <c r="F203">
        <v>3</v>
      </c>
      <c r="G203">
        <v>11</v>
      </c>
      <c r="H203">
        <v>9</v>
      </c>
      <c r="I203">
        <v>1</v>
      </c>
      <c r="J203">
        <v>0.82</v>
      </c>
      <c r="K203">
        <v>0</v>
      </c>
      <c r="L203">
        <v>1</v>
      </c>
      <c r="M203">
        <v>0</v>
      </c>
      <c r="N203">
        <v>0</v>
      </c>
      <c r="O203">
        <v>0</v>
      </c>
      <c r="P203">
        <v>1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0</v>
      </c>
      <c r="Y203">
        <v>0</v>
      </c>
      <c r="Z203">
        <f>AVERAGEIFS($C$2:C203, $B$2:B203, B203)</f>
        <v>29.357142857142858</v>
      </c>
      <c r="AA203">
        <f>AVERAGEIFS($I$2:I203, $B$2:B203, B203)</f>
        <v>0.53214285714285714</v>
      </c>
      <c r="AB203">
        <f>AVERAGEIFS($J$2:J203, $B$2:B203, B203)</f>
        <v>0.53142857142857136</v>
      </c>
      <c r="AC203">
        <f>AVERAGEIFS($D$2:D203, $B$2:B203, B203)</f>
        <v>0.6428571428571429</v>
      </c>
    </row>
    <row r="204" spans="1:29" x14ac:dyDescent="0.25">
      <c r="A204" s="85">
        <v>46066</v>
      </c>
      <c r="B204" t="s">
        <v>14</v>
      </c>
      <c r="C204" s="95">
        <v>16</v>
      </c>
      <c r="D204" s="86">
        <v>1</v>
      </c>
      <c r="E204">
        <v>3</v>
      </c>
      <c r="F204">
        <v>3</v>
      </c>
      <c r="G204">
        <v>11</v>
      </c>
      <c r="H204">
        <v>9</v>
      </c>
      <c r="I204">
        <v>1</v>
      </c>
      <c r="J204">
        <v>0.82</v>
      </c>
      <c r="K204">
        <v>0</v>
      </c>
      <c r="L204">
        <v>1</v>
      </c>
      <c r="M204">
        <v>0</v>
      </c>
      <c r="N204">
        <v>0</v>
      </c>
      <c r="O204">
        <v>0</v>
      </c>
      <c r="P204">
        <v>1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0</v>
      </c>
      <c r="Y204">
        <v>0</v>
      </c>
      <c r="Z204">
        <f>AVERAGEIFS($C$2:C204, $B$2:B204, B204)</f>
        <v>25.615384615384617</v>
      </c>
      <c r="AA204">
        <f>AVERAGEIFS($I$2:I204, $B$2:B204, B204)</f>
        <v>0.52307692307692311</v>
      </c>
      <c r="AB204">
        <f>AVERAGEIFS($J$2:J204, $B$2:B204, B204)</f>
        <v>0.50769230769230766</v>
      </c>
      <c r="AC204">
        <f>AVERAGEIFS($D$2:D204, $B$2:B204, B204)</f>
        <v>0.61538461538461542</v>
      </c>
    </row>
    <row r="205" spans="1:29" x14ac:dyDescent="0.25">
      <c r="A205" s="85">
        <v>46066</v>
      </c>
      <c r="B205" t="s">
        <v>4</v>
      </c>
      <c r="C205" s="95">
        <v>9</v>
      </c>
      <c r="D205" s="86">
        <v>1</v>
      </c>
      <c r="E205">
        <v>3</v>
      </c>
      <c r="F205">
        <v>3</v>
      </c>
      <c r="G205">
        <v>11</v>
      </c>
      <c r="H205">
        <v>9</v>
      </c>
      <c r="I205">
        <v>1</v>
      </c>
      <c r="J205">
        <v>0.82</v>
      </c>
      <c r="K205">
        <v>0</v>
      </c>
      <c r="L205">
        <v>1</v>
      </c>
      <c r="M205">
        <v>0</v>
      </c>
      <c r="N205">
        <v>0</v>
      </c>
      <c r="O205">
        <v>0</v>
      </c>
      <c r="P205">
        <v>1</v>
      </c>
      <c r="Q205">
        <v>0</v>
      </c>
      <c r="R205">
        <v>0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0</v>
      </c>
      <c r="Z205">
        <f>AVERAGEIFS($C$2:C205, $B$2:B205, B205)</f>
        <v>9</v>
      </c>
      <c r="AA205">
        <f>AVERAGEIFS($I$2:I205, $B$2:B205, B205)</f>
        <v>1</v>
      </c>
      <c r="AB205">
        <f>AVERAGEIFS($J$2:J205, $B$2:B205, B205)</f>
        <v>0.82</v>
      </c>
      <c r="AC205">
        <f>AVERAGEIFS($D$2:D205, $B$2:B205, B205)</f>
        <v>1</v>
      </c>
    </row>
    <row r="206" spans="1:29" x14ac:dyDescent="0.25">
      <c r="A206" s="85">
        <v>46066</v>
      </c>
      <c r="B206" t="s">
        <v>17</v>
      </c>
      <c r="C206" s="95">
        <v>9</v>
      </c>
      <c r="D206" s="86">
        <v>1</v>
      </c>
      <c r="E206">
        <v>3</v>
      </c>
      <c r="F206">
        <v>3</v>
      </c>
      <c r="G206">
        <v>11</v>
      </c>
      <c r="H206">
        <v>9</v>
      </c>
      <c r="I206">
        <v>1</v>
      </c>
      <c r="J206">
        <v>0.82</v>
      </c>
      <c r="K206">
        <v>0</v>
      </c>
      <c r="L206">
        <v>1</v>
      </c>
      <c r="M206">
        <v>0</v>
      </c>
      <c r="N206">
        <v>0</v>
      </c>
      <c r="O206">
        <v>0</v>
      </c>
      <c r="P206">
        <v>1</v>
      </c>
      <c r="Q206">
        <v>0</v>
      </c>
      <c r="R206">
        <v>0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0</v>
      </c>
      <c r="Z206">
        <f>AVERAGEIFS($C$2:C206, $B$2:B206, B206)</f>
        <v>26.285714285714285</v>
      </c>
      <c r="AA206">
        <f>AVERAGEIFS($I$2:I206, $B$2:B206, B206)</f>
        <v>0.63214285714285723</v>
      </c>
      <c r="AB206">
        <f>AVERAGEIFS($J$2:J206, $B$2:B206, B206)</f>
        <v>0.57785714285714285</v>
      </c>
      <c r="AC206">
        <f>AVERAGEIFS($D$2:D206, $B$2:B206, B206)</f>
        <v>0.5714285714285714</v>
      </c>
    </row>
    <row r="207" spans="1:29" x14ac:dyDescent="0.25">
      <c r="A207" s="85">
        <v>46066</v>
      </c>
      <c r="B207" t="s">
        <v>26</v>
      </c>
      <c r="C207" s="95">
        <v>7</v>
      </c>
      <c r="D207" s="86">
        <v>1</v>
      </c>
      <c r="E207">
        <v>3</v>
      </c>
      <c r="F207">
        <v>3</v>
      </c>
      <c r="G207">
        <v>11</v>
      </c>
      <c r="H207">
        <v>9</v>
      </c>
      <c r="I207">
        <v>1</v>
      </c>
      <c r="J207">
        <v>0.82</v>
      </c>
      <c r="K207">
        <v>0</v>
      </c>
      <c r="L207">
        <v>1</v>
      </c>
      <c r="M207">
        <v>0</v>
      </c>
      <c r="N207">
        <v>0</v>
      </c>
      <c r="O207">
        <v>0</v>
      </c>
      <c r="P207">
        <v>1</v>
      </c>
      <c r="Q207">
        <v>0</v>
      </c>
      <c r="R207">
        <v>0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0</v>
      </c>
      <c r="Z207">
        <f>AVERAGEIFS($C$2:C207, $B$2:B207, B207)</f>
        <v>12.555555555555555</v>
      </c>
      <c r="AA207">
        <f>AVERAGEIFS($I$2:I207, $B$2:B207, B207)</f>
        <v>0.61111111111111116</v>
      </c>
      <c r="AB207">
        <f>AVERAGEIFS($J$2:J207, $B$2:B207, B207)</f>
        <v>0.57444444444444442</v>
      </c>
      <c r="AC207">
        <f>AVERAGEIFS($D$2:D207, $B$2:B207, B207)</f>
        <v>0.66666666666666663</v>
      </c>
    </row>
    <row r="208" spans="1:29" x14ac:dyDescent="0.25">
      <c r="A208" s="85">
        <v>46066</v>
      </c>
      <c r="B208" t="s">
        <v>38</v>
      </c>
      <c r="C208" s="95">
        <v>5</v>
      </c>
      <c r="D208" s="86">
        <v>1</v>
      </c>
      <c r="E208">
        <v>3</v>
      </c>
      <c r="F208">
        <v>3</v>
      </c>
      <c r="G208">
        <v>11</v>
      </c>
      <c r="H208">
        <v>9</v>
      </c>
      <c r="I208">
        <v>1</v>
      </c>
      <c r="J208">
        <v>0.82</v>
      </c>
      <c r="K208">
        <v>0</v>
      </c>
      <c r="L208">
        <v>1</v>
      </c>
      <c r="M208">
        <v>0</v>
      </c>
      <c r="N208">
        <v>0</v>
      </c>
      <c r="O208">
        <v>0</v>
      </c>
      <c r="P208">
        <v>1</v>
      </c>
      <c r="Q208">
        <v>0</v>
      </c>
      <c r="R208">
        <v>0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0</v>
      </c>
      <c r="Z208">
        <f>AVERAGEIFS($C$2:C208, $B$2:B208, B208)</f>
        <v>5</v>
      </c>
      <c r="AA208">
        <f>AVERAGEIFS($I$2:I208, $B$2:B208, B208)</f>
        <v>1</v>
      </c>
      <c r="AB208">
        <f>AVERAGEIFS($J$2:J208, $B$2:B208, B208)</f>
        <v>0.82</v>
      </c>
      <c r="AC208">
        <f>AVERAGEIFS($D$2:D208, $B$2:B208, B208)</f>
        <v>1</v>
      </c>
    </row>
    <row r="209" spans="1:29" x14ac:dyDescent="0.25">
      <c r="A209" s="85">
        <v>46066</v>
      </c>
      <c r="B209" t="s">
        <v>6</v>
      </c>
      <c r="C209" s="95">
        <v>16</v>
      </c>
      <c r="D209" s="86">
        <v>0</v>
      </c>
      <c r="E209">
        <v>3</v>
      </c>
      <c r="F209">
        <v>0</v>
      </c>
      <c r="G209">
        <v>11</v>
      </c>
      <c r="H209">
        <v>2</v>
      </c>
      <c r="I209">
        <v>0</v>
      </c>
      <c r="J209">
        <v>0.18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0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0</v>
      </c>
      <c r="Z209">
        <f>AVERAGEIFS($C$2:C209, $B$2:B209, B209)</f>
        <v>21.5</v>
      </c>
      <c r="AA209">
        <f>AVERAGEIFS($I$2:I209, $B$2:B209, B209)</f>
        <v>0.57499999999999996</v>
      </c>
      <c r="AB209">
        <f>AVERAGEIFS($J$2:J209, $B$2:B209, B209)</f>
        <v>0.52374999999999994</v>
      </c>
      <c r="AC209">
        <f>AVERAGEIFS($D$2:D209, $B$2:B209, B209)</f>
        <v>0.625</v>
      </c>
    </row>
    <row r="210" spans="1:29" x14ac:dyDescent="0.25">
      <c r="A210" s="85">
        <v>46066</v>
      </c>
      <c r="B210" t="s">
        <v>37</v>
      </c>
      <c r="C210" s="95">
        <v>9</v>
      </c>
      <c r="D210" s="86">
        <v>0</v>
      </c>
      <c r="E210">
        <v>3</v>
      </c>
      <c r="F210">
        <v>0</v>
      </c>
      <c r="G210">
        <v>11</v>
      </c>
      <c r="H210">
        <v>2</v>
      </c>
      <c r="I210">
        <v>0</v>
      </c>
      <c r="J210">
        <v>0.18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f>AVERAGEIFS($C$2:C210, $B$2:B210, B210)</f>
        <v>18.125</v>
      </c>
      <c r="AA210">
        <f>AVERAGEIFS($I$2:I210, $B$2:B210, B210)</f>
        <v>0.45624999999999999</v>
      </c>
      <c r="AB210">
        <f>AVERAGEIFS($J$2:J210, $B$2:B210, B210)</f>
        <v>0.46499999999999997</v>
      </c>
      <c r="AC210">
        <f>AVERAGEIFS($D$2:D210, $B$2:B210, B210)</f>
        <v>0.375</v>
      </c>
    </row>
    <row r="211" spans="1:29" x14ac:dyDescent="0.25">
      <c r="A211" s="85">
        <v>46066</v>
      </c>
      <c r="B211" t="s">
        <v>40</v>
      </c>
      <c r="C211" s="95">
        <v>7</v>
      </c>
      <c r="D211" s="86">
        <v>0</v>
      </c>
      <c r="E211">
        <v>3</v>
      </c>
      <c r="F211">
        <v>0</v>
      </c>
      <c r="G211">
        <v>11</v>
      </c>
      <c r="H211">
        <v>2</v>
      </c>
      <c r="I211">
        <v>0</v>
      </c>
      <c r="J211">
        <v>0.18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0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f>AVERAGEIFS($C$2:C211, $B$2:B211, B211)</f>
        <v>7</v>
      </c>
      <c r="AA211">
        <f>AVERAGEIFS($I$2:I211, $B$2:B211, B211)</f>
        <v>0</v>
      </c>
      <c r="AB211">
        <f>AVERAGEIFS($J$2:J211, $B$2:B211, B211)</f>
        <v>0.18</v>
      </c>
      <c r="AC211">
        <f>AVERAGEIFS($D$2:D211, $B$2:B211, B211)</f>
        <v>0</v>
      </c>
    </row>
    <row r="212" spans="1:29" x14ac:dyDescent="0.25">
      <c r="A212" s="85">
        <v>46066</v>
      </c>
      <c r="B212" t="s">
        <v>19</v>
      </c>
      <c r="C212" s="95">
        <v>6</v>
      </c>
      <c r="D212" s="86">
        <v>0</v>
      </c>
      <c r="E212">
        <v>3</v>
      </c>
      <c r="F212">
        <v>0</v>
      </c>
      <c r="G212">
        <v>11</v>
      </c>
      <c r="H212">
        <v>2</v>
      </c>
      <c r="I212">
        <v>0</v>
      </c>
      <c r="J212">
        <v>0.18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0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f>AVERAGEIFS($C$2:C212, $B$2:B212, B212)</f>
        <v>11.266666666666667</v>
      </c>
      <c r="AA212">
        <f>AVERAGEIFS($I$2:I212, $B$2:B212, B212)</f>
        <v>0.45333333333333337</v>
      </c>
      <c r="AB212">
        <f>AVERAGEIFS($J$2:J212, $B$2:B212, B212)</f>
        <v>0.47133333333333333</v>
      </c>
      <c r="AC212">
        <f>AVERAGEIFS($D$2:D212, $B$2:B212, B212)</f>
        <v>0.4</v>
      </c>
    </row>
    <row r="213" spans="1:29" x14ac:dyDescent="0.25">
      <c r="A213" s="85">
        <v>46066</v>
      </c>
      <c r="B213" t="s">
        <v>42</v>
      </c>
      <c r="C213" s="95">
        <v>5</v>
      </c>
      <c r="D213" s="86">
        <v>0</v>
      </c>
      <c r="E213">
        <v>3</v>
      </c>
      <c r="F213">
        <v>0</v>
      </c>
      <c r="G213">
        <v>11</v>
      </c>
      <c r="H213">
        <v>2</v>
      </c>
      <c r="I213">
        <v>0</v>
      </c>
      <c r="J213">
        <v>0.18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0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f>AVERAGEIFS($C$2:C213, $B$2:B213, B213)</f>
        <v>5</v>
      </c>
      <c r="AA213">
        <f>AVERAGEIFS($I$2:I213, $B$2:B213, B213)</f>
        <v>0</v>
      </c>
      <c r="AB213">
        <f>AVERAGEIFS($J$2:J213, $B$2:B213, B213)</f>
        <v>0.18</v>
      </c>
      <c r="AC213">
        <f>AVERAGEIFS($D$2:D213, $B$2:B213, B213)</f>
        <v>0</v>
      </c>
    </row>
    <row r="214" spans="1:29" x14ac:dyDescent="0.25">
      <c r="A214" s="85">
        <v>46066</v>
      </c>
      <c r="B214" t="s">
        <v>28</v>
      </c>
      <c r="C214" s="95">
        <v>4</v>
      </c>
      <c r="D214" s="86">
        <v>0</v>
      </c>
      <c r="E214">
        <v>3</v>
      </c>
      <c r="F214">
        <v>0</v>
      </c>
      <c r="G214">
        <v>11</v>
      </c>
      <c r="H214">
        <v>2</v>
      </c>
      <c r="I214">
        <v>0</v>
      </c>
      <c r="J214">
        <v>0.18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f>AVERAGEIFS($C$2:C214, $B$2:B214, B214)</f>
        <v>14</v>
      </c>
      <c r="AA214">
        <f>AVERAGEIFS($I$2:I214, $B$2:B214, B214)</f>
        <v>0.47499999999999998</v>
      </c>
      <c r="AB214">
        <f>AVERAGEIFS($J$2:J214, $B$2:B214, B214)</f>
        <v>0.48499999999999999</v>
      </c>
      <c r="AC214">
        <f>AVERAGEIFS($D$2:D214, $B$2:B214, B214)</f>
        <v>0.5</v>
      </c>
    </row>
    <row r="215" spans="1:29" x14ac:dyDescent="0.25">
      <c r="A215" s="85">
        <v>46067</v>
      </c>
      <c r="B215" t="s">
        <v>6</v>
      </c>
      <c r="C215" s="95">
        <v>28</v>
      </c>
      <c r="D215" s="86">
        <v>1</v>
      </c>
      <c r="E215">
        <v>4</v>
      </c>
      <c r="F215">
        <v>3</v>
      </c>
      <c r="G215">
        <v>16</v>
      </c>
      <c r="H215">
        <v>11</v>
      </c>
      <c r="I215">
        <v>0.75</v>
      </c>
      <c r="J215">
        <v>0.69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1</v>
      </c>
      <c r="Q215">
        <v>0</v>
      </c>
      <c r="R215">
        <v>0</v>
      </c>
      <c r="S215">
        <v>0</v>
      </c>
      <c r="T215">
        <v>0</v>
      </c>
      <c r="U215">
        <v>0</v>
      </c>
      <c r="V215">
        <v>0</v>
      </c>
      <c r="W215">
        <v>1</v>
      </c>
      <c r="X215">
        <v>0</v>
      </c>
      <c r="Y215">
        <v>1</v>
      </c>
      <c r="Z215">
        <f>AVERAGEIFS($C$2:C215, $B$2:B215, B215)</f>
        <v>22.222222222222221</v>
      </c>
      <c r="AA215">
        <f>AVERAGEIFS($I$2:I215, $B$2:B215, B215)</f>
        <v>0.59444444444444444</v>
      </c>
      <c r="AB215">
        <f>AVERAGEIFS($J$2:J215, $B$2:B215, B215)</f>
        <v>0.54222222222222216</v>
      </c>
      <c r="AC215">
        <f>AVERAGEIFS($D$2:D215, $B$2:B215, B215)</f>
        <v>0.66666666666666663</v>
      </c>
    </row>
    <row r="216" spans="1:29" x14ac:dyDescent="0.25">
      <c r="A216" s="85">
        <v>46067</v>
      </c>
      <c r="B216" t="s">
        <v>13</v>
      </c>
      <c r="C216" s="95">
        <v>20</v>
      </c>
      <c r="D216" s="86">
        <v>1</v>
      </c>
      <c r="E216">
        <v>4</v>
      </c>
      <c r="F216">
        <v>3</v>
      </c>
      <c r="G216">
        <v>16</v>
      </c>
      <c r="H216">
        <v>11</v>
      </c>
      <c r="I216">
        <v>0.75</v>
      </c>
      <c r="J216">
        <v>0.69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1</v>
      </c>
      <c r="Q216">
        <v>0</v>
      </c>
      <c r="R216">
        <v>0</v>
      </c>
      <c r="S216">
        <v>0</v>
      </c>
      <c r="T216">
        <v>0</v>
      </c>
      <c r="U216">
        <v>0</v>
      </c>
      <c r="V216">
        <v>0</v>
      </c>
      <c r="W216">
        <v>1</v>
      </c>
      <c r="X216">
        <v>0</v>
      </c>
      <c r="Y216">
        <v>1</v>
      </c>
      <c r="Z216">
        <f>AVERAGEIFS($C$2:C216, $B$2:B216, B216)</f>
        <v>28.733333333333334</v>
      </c>
      <c r="AA216">
        <f>AVERAGEIFS($I$2:I216, $B$2:B216, B216)</f>
        <v>0.54666666666666663</v>
      </c>
      <c r="AB216">
        <f>AVERAGEIFS($J$2:J216, $B$2:B216, B216)</f>
        <v>0.54199999999999993</v>
      </c>
      <c r="AC216">
        <f>AVERAGEIFS($D$2:D216, $B$2:B216, B216)</f>
        <v>0.66666666666666663</v>
      </c>
    </row>
    <row r="217" spans="1:29" x14ac:dyDescent="0.25">
      <c r="A217" s="85">
        <v>46067</v>
      </c>
      <c r="B217" t="s">
        <v>46</v>
      </c>
      <c r="C217" s="95">
        <v>11</v>
      </c>
      <c r="D217" s="86">
        <v>1</v>
      </c>
      <c r="E217">
        <v>4</v>
      </c>
      <c r="F217">
        <v>3</v>
      </c>
      <c r="G217">
        <v>16</v>
      </c>
      <c r="H217">
        <v>11</v>
      </c>
      <c r="I217">
        <v>0.75</v>
      </c>
      <c r="J217">
        <v>0.69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1</v>
      </c>
      <c r="Q217">
        <v>0</v>
      </c>
      <c r="R217">
        <v>0</v>
      </c>
      <c r="S217">
        <v>0</v>
      </c>
      <c r="T217">
        <v>0</v>
      </c>
      <c r="U217">
        <v>0</v>
      </c>
      <c r="V217">
        <v>0</v>
      </c>
      <c r="W217">
        <v>1</v>
      </c>
      <c r="X217">
        <v>0</v>
      </c>
      <c r="Y217">
        <v>1</v>
      </c>
      <c r="Z217">
        <f>AVERAGEIFS($C$2:C217, $B$2:B217, B217)</f>
        <v>18.333333333333332</v>
      </c>
      <c r="AA217">
        <f>AVERAGEIFS($I$2:I217, $B$2:B217, B217)</f>
        <v>0.33333333333333331</v>
      </c>
      <c r="AB217">
        <f>AVERAGEIFS($J$2:J217, $B$2:B217, B217)</f>
        <v>0.4366666666666667</v>
      </c>
      <c r="AC217">
        <f>AVERAGEIFS($D$2:D217, $B$2:B217, B217)</f>
        <v>0.33333333333333331</v>
      </c>
    </row>
    <row r="218" spans="1:29" x14ac:dyDescent="0.25">
      <c r="A218" s="85">
        <v>46067</v>
      </c>
      <c r="B218" t="s">
        <v>26</v>
      </c>
      <c r="C218" s="95">
        <v>11</v>
      </c>
      <c r="D218" s="86">
        <v>1</v>
      </c>
      <c r="E218">
        <v>4</v>
      </c>
      <c r="F218">
        <v>3</v>
      </c>
      <c r="G218">
        <v>16</v>
      </c>
      <c r="H218">
        <v>11</v>
      </c>
      <c r="I218">
        <v>0.75</v>
      </c>
      <c r="J218">
        <v>0.69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1</v>
      </c>
      <c r="Q218">
        <v>0</v>
      </c>
      <c r="R218">
        <v>0</v>
      </c>
      <c r="S218">
        <v>0</v>
      </c>
      <c r="T218">
        <v>0</v>
      </c>
      <c r="U218">
        <v>0</v>
      </c>
      <c r="V218">
        <v>0</v>
      </c>
      <c r="W218">
        <v>1</v>
      </c>
      <c r="X218">
        <v>0</v>
      </c>
      <c r="Y218">
        <v>1</v>
      </c>
      <c r="Z218">
        <f>AVERAGEIFS($C$2:C218, $B$2:B218, B218)</f>
        <v>12.4</v>
      </c>
      <c r="AA218">
        <f>AVERAGEIFS($I$2:I218, $B$2:B218, B218)</f>
        <v>0.625</v>
      </c>
      <c r="AB218">
        <f>AVERAGEIFS($J$2:J218, $B$2:B218, B218)</f>
        <v>0.58599999999999997</v>
      </c>
      <c r="AC218">
        <f>AVERAGEIFS($D$2:D218, $B$2:B218, B218)</f>
        <v>0.7</v>
      </c>
    </row>
    <row r="219" spans="1:29" x14ac:dyDescent="0.25">
      <c r="A219" s="85">
        <v>46067</v>
      </c>
      <c r="B219" t="s">
        <v>35</v>
      </c>
      <c r="C219" s="95">
        <v>9</v>
      </c>
      <c r="D219" s="86">
        <v>1</v>
      </c>
      <c r="E219">
        <v>4</v>
      </c>
      <c r="F219">
        <v>3</v>
      </c>
      <c r="G219">
        <v>16</v>
      </c>
      <c r="H219">
        <v>11</v>
      </c>
      <c r="I219">
        <v>0.75</v>
      </c>
      <c r="J219">
        <v>0.69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1</v>
      </c>
      <c r="Q219">
        <v>0</v>
      </c>
      <c r="R219">
        <v>0</v>
      </c>
      <c r="S219">
        <v>0</v>
      </c>
      <c r="T219">
        <v>0</v>
      </c>
      <c r="U219">
        <v>0</v>
      </c>
      <c r="V219">
        <v>0</v>
      </c>
      <c r="W219">
        <v>1</v>
      </c>
      <c r="X219">
        <v>0</v>
      </c>
      <c r="Y219">
        <v>1</v>
      </c>
      <c r="Z219">
        <f>AVERAGEIFS($C$2:C219, $B$2:B219, B219)</f>
        <v>9.2857142857142865</v>
      </c>
      <c r="AA219">
        <f>AVERAGEIFS($I$2:I219, $B$2:B219, B219)</f>
        <v>0.37142857142857144</v>
      </c>
      <c r="AB219">
        <f>AVERAGEIFS($J$2:J219, $B$2:B219, B219)</f>
        <v>0.4771428571428572</v>
      </c>
      <c r="AC219">
        <f>AVERAGEIFS($D$2:D219, $B$2:B219, B219)</f>
        <v>0.42857142857142855</v>
      </c>
    </row>
    <row r="220" spans="1:29" x14ac:dyDescent="0.25">
      <c r="A220" s="85">
        <v>46067</v>
      </c>
      <c r="B220" t="s">
        <v>29</v>
      </c>
      <c r="C220" s="95">
        <v>8</v>
      </c>
      <c r="D220" s="86">
        <v>1</v>
      </c>
      <c r="E220">
        <v>4</v>
      </c>
      <c r="F220">
        <v>3</v>
      </c>
      <c r="G220">
        <v>16</v>
      </c>
      <c r="H220">
        <v>11</v>
      </c>
      <c r="I220">
        <v>0.75</v>
      </c>
      <c r="J220">
        <v>0.69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1</v>
      </c>
      <c r="Q220">
        <v>0</v>
      </c>
      <c r="R220">
        <v>0</v>
      </c>
      <c r="S220">
        <v>0</v>
      </c>
      <c r="T220">
        <v>0</v>
      </c>
      <c r="U220">
        <v>0</v>
      </c>
      <c r="V220">
        <v>0</v>
      </c>
      <c r="W220">
        <v>1</v>
      </c>
      <c r="X220">
        <v>0</v>
      </c>
      <c r="Y220">
        <v>1</v>
      </c>
      <c r="Z220">
        <f>AVERAGEIFS($C$2:C220, $B$2:B220, B220)</f>
        <v>10.454545454545455</v>
      </c>
      <c r="AA220">
        <f>AVERAGEIFS($I$2:I220, $B$2:B220, B220)</f>
        <v>0.51363636363636356</v>
      </c>
      <c r="AB220">
        <f>AVERAGEIFS($J$2:J220, $B$2:B220, B220)</f>
        <v>0.51090909090909087</v>
      </c>
      <c r="AC220">
        <f>AVERAGEIFS($D$2:D220, $B$2:B220, B220)</f>
        <v>0.54545454545454541</v>
      </c>
    </row>
    <row r="221" spans="1:29" x14ac:dyDescent="0.25">
      <c r="A221" s="85">
        <v>46067</v>
      </c>
      <c r="B221" t="s">
        <v>17</v>
      </c>
      <c r="C221" s="95">
        <v>22</v>
      </c>
      <c r="D221" s="86">
        <v>0</v>
      </c>
      <c r="E221">
        <v>4</v>
      </c>
      <c r="F221">
        <v>1</v>
      </c>
      <c r="G221">
        <v>16</v>
      </c>
      <c r="H221">
        <v>5</v>
      </c>
      <c r="I221">
        <v>0.25</v>
      </c>
      <c r="J221">
        <v>0.31</v>
      </c>
      <c r="K221">
        <v>1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0</v>
      </c>
      <c r="V221">
        <v>0</v>
      </c>
      <c r="W221">
        <v>0</v>
      </c>
      <c r="X221">
        <v>0</v>
      </c>
      <c r="Y221">
        <v>0</v>
      </c>
      <c r="Z221">
        <f>AVERAGEIFS($C$2:C221, $B$2:B221, B221)</f>
        <v>26</v>
      </c>
      <c r="AA221">
        <f>AVERAGEIFS($I$2:I221, $B$2:B221, B221)</f>
        <v>0.6066666666666668</v>
      </c>
      <c r="AB221">
        <f>AVERAGEIFS($J$2:J221, $B$2:B221, B221)</f>
        <v>0.56000000000000005</v>
      </c>
      <c r="AC221">
        <f>AVERAGEIFS($D$2:D221, $B$2:B221, B221)</f>
        <v>0.53333333333333333</v>
      </c>
    </row>
    <row r="222" spans="1:29" x14ac:dyDescent="0.25">
      <c r="A222" s="85">
        <v>46067</v>
      </c>
      <c r="B222" t="s">
        <v>14</v>
      </c>
      <c r="C222" s="95">
        <v>18</v>
      </c>
      <c r="D222" s="86">
        <v>0</v>
      </c>
      <c r="E222">
        <v>4</v>
      </c>
      <c r="F222">
        <v>1</v>
      </c>
      <c r="G222">
        <v>16</v>
      </c>
      <c r="H222">
        <v>5</v>
      </c>
      <c r="I222">
        <v>0.25</v>
      </c>
      <c r="J222">
        <v>0.31</v>
      </c>
      <c r="K222">
        <v>1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0</v>
      </c>
      <c r="V222">
        <v>0</v>
      </c>
      <c r="W222">
        <v>0</v>
      </c>
      <c r="X222">
        <v>0</v>
      </c>
      <c r="Y222">
        <v>0</v>
      </c>
      <c r="Z222">
        <f>AVERAGEIFS($C$2:C222, $B$2:B222, B222)</f>
        <v>25.071428571428573</v>
      </c>
      <c r="AA222">
        <f>AVERAGEIFS($I$2:I222, $B$2:B222, B222)</f>
        <v>0.50357142857142856</v>
      </c>
      <c r="AB222">
        <f>AVERAGEIFS($J$2:J222, $B$2:B222, B222)</f>
        <v>0.49357142857142849</v>
      </c>
      <c r="AC222">
        <f>AVERAGEIFS($D$2:D222, $B$2:B222, B222)</f>
        <v>0.5714285714285714</v>
      </c>
    </row>
    <row r="223" spans="1:29" x14ac:dyDescent="0.25">
      <c r="A223" s="85">
        <v>46067</v>
      </c>
      <c r="B223" t="s">
        <v>40</v>
      </c>
      <c r="C223" s="95">
        <v>14</v>
      </c>
      <c r="D223" s="86">
        <v>0</v>
      </c>
      <c r="E223">
        <v>4</v>
      </c>
      <c r="F223">
        <v>1</v>
      </c>
      <c r="G223">
        <v>16</v>
      </c>
      <c r="H223">
        <v>5</v>
      </c>
      <c r="I223">
        <v>0.25</v>
      </c>
      <c r="J223">
        <v>0.31</v>
      </c>
      <c r="K223">
        <v>1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0</v>
      </c>
      <c r="Y223">
        <v>0</v>
      </c>
      <c r="Z223">
        <f>AVERAGEIFS($C$2:C223, $B$2:B223, B223)</f>
        <v>10.5</v>
      </c>
      <c r="AA223">
        <f>AVERAGEIFS($I$2:I223, $B$2:B223, B223)</f>
        <v>0.125</v>
      </c>
      <c r="AB223">
        <f>AVERAGEIFS($J$2:J223, $B$2:B223, B223)</f>
        <v>0.245</v>
      </c>
      <c r="AC223">
        <f>AVERAGEIFS($D$2:D223, $B$2:B223, B223)</f>
        <v>0</v>
      </c>
    </row>
    <row r="224" spans="1:29" x14ac:dyDescent="0.25">
      <c r="A224" s="85">
        <v>46067</v>
      </c>
      <c r="B224" t="s">
        <v>37</v>
      </c>
      <c r="C224" s="95">
        <v>12</v>
      </c>
      <c r="D224" s="86">
        <v>0</v>
      </c>
      <c r="E224">
        <v>4</v>
      </c>
      <c r="F224">
        <v>1</v>
      </c>
      <c r="G224">
        <v>16</v>
      </c>
      <c r="H224">
        <v>5</v>
      </c>
      <c r="I224">
        <v>0.25</v>
      </c>
      <c r="J224">
        <v>0.31</v>
      </c>
      <c r="K224">
        <v>1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0</v>
      </c>
      <c r="Y224">
        <v>0</v>
      </c>
      <c r="Z224">
        <f>AVERAGEIFS($C$2:C224, $B$2:B224, B224)</f>
        <v>17.444444444444443</v>
      </c>
      <c r="AA224">
        <f>AVERAGEIFS($I$2:I224, $B$2:B224, B224)</f>
        <v>0.43333333333333335</v>
      </c>
      <c r="AB224">
        <f>AVERAGEIFS($J$2:J224, $B$2:B224, B224)</f>
        <v>0.44777777777777772</v>
      </c>
      <c r="AC224">
        <f>AVERAGEIFS($D$2:D224, $B$2:B224, B224)</f>
        <v>0.33333333333333331</v>
      </c>
    </row>
    <row r="225" spans="1:29" x14ac:dyDescent="0.25">
      <c r="A225" s="85">
        <v>46067</v>
      </c>
      <c r="B225" t="s">
        <v>28</v>
      </c>
      <c r="C225" s="95">
        <v>11</v>
      </c>
      <c r="D225" s="86">
        <v>0</v>
      </c>
      <c r="E225">
        <v>4</v>
      </c>
      <c r="F225">
        <v>1</v>
      </c>
      <c r="G225">
        <v>16</v>
      </c>
      <c r="H225">
        <v>5</v>
      </c>
      <c r="I225">
        <v>0.25</v>
      </c>
      <c r="J225">
        <v>0.31</v>
      </c>
      <c r="K225">
        <v>1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0</v>
      </c>
      <c r="Y225">
        <v>0</v>
      </c>
      <c r="Z225">
        <f>AVERAGEIFS($C$2:C225, $B$2:B225, B225)</f>
        <v>13.727272727272727</v>
      </c>
      <c r="AA225">
        <f>AVERAGEIFS($I$2:I225, $B$2:B225, B225)</f>
        <v>0.45454545454545453</v>
      </c>
      <c r="AB225">
        <f>AVERAGEIFS($J$2:J225, $B$2:B225, B225)</f>
        <v>0.469090909090909</v>
      </c>
      <c r="AC225">
        <f>AVERAGEIFS($D$2:D225, $B$2:B225, B225)</f>
        <v>0.45454545454545453</v>
      </c>
    </row>
    <row r="226" spans="1:29" x14ac:dyDescent="0.25">
      <c r="A226" s="85">
        <v>46067</v>
      </c>
      <c r="B226" t="s">
        <v>38</v>
      </c>
      <c r="C226" s="95">
        <v>2</v>
      </c>
      <c r="D226" s="86">
        <v>0</v>
      </c>
      <c r="E226">
        <v>4</v>
      </c>
      <c r="F226">
        <v>1</v>
      </c>
      <c r="G226">
        <v>16</v>
      </c>
      <c r="H226">
        <v>5</v>
      </c>
      <c r="I226">
        <v>0.25</v>
      </c>
      <c r="J226">
        <v>0.31</v>
      </c>
      <c r="K226">
        <v>1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0</v>
      </c>
      <c r="Y226">
        <v>0</v>
      </c>
      <c r="Z226">
        <f>AVERAGEIFS($C$2:C226, $B$2:B226, B226)</f>
        <v>3.5</v>
      </c>
      <c r="AA226">
        <f>AVERAGEIFS($I$2:I226, $B$2:B226, B226)</f>
        <v>0.625</v>
      </c>
      <c r="AB226">
        <f>AVERAGEIFS($J$2:J226, $B$2:B226, B226)</f>
        <v>0.56499999999999995</v>
      </c>
      <c r="AC226">
        <f>AVERAGEIFS($D$2:D226, $B$2:B226, B226)</f>
        <v>0.5</v>
      </c>
    </row>
    <row r="227" spans="1:29" x14ac:dyDescent="0.25">
      <c r="A227" s="85">
        <v>46068</v>
      </c>
      <c r="B227" t="s">
        <v>15</v>
      </c>
      <c r="C227" s="95">
        <v>22</v>
      </c>
      <c r="D227" s="86">
        <v>1</v>
      </c>
      <c r="E227">
        <v>3</v>
      </c>
      <c r="F227">
        <v>3</v>
      </c>
      <c r="G227">
        <v>12</v>
      </c>
      <c r="H227">
        <v>9</v>
      </c>
      <c r="I227">
        <v>1</v>
      </c>
      <c r="J227">
        <v>0.75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1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1</v>
      </c>
      <c r="W227">
        <v>0</v>
      </c>
      <c r="X227">
        <v>0</v>
      </c>
      <c r="Y227">
        <v>1</v>
      </c>
      <c r="Z227">
        <f>AVERAGEIFS($C$2:C227, $B$2:B227, B227)</f>
        <v>26.916666666666668</v>
      </c>
      <c r="AA227">
        <f>AVERAGEIFS($I$2:I227, $B$2:B227, B227)</f>
        <v>0.49583333333333335</v>
      </c>
      <c r="AB227">
        <f>AVERAGEIFS($J$2:J227, $B$2:B227, B227)</f>
        <v>0.48583333333333328</v>
      </c>
      <c r="AC227">
        <f>AVERAGEIFS($D$2:D227, $B$2:B227, B227)</f>
        <v>0.33333333333333331</v>
      </c>
    </row>
    <row r="228" spans="1:29" x14ac:dyDescent="0.25">
      <c r="A228" s="85">
        <v>46068</v>
      </c>
      <c r="B228" t="s">
        <v>17</v>
      </c>
      <c r="C228" s="95">
        <v>20</v>
      </c>
      <c r="D228" s="86">
        <v>1</v>
      </c>
      <c r="E228">
        <v>3</v>
      </c>
      <c r="F228">
        <v>3</v>
      </c>
      <c r="G228">
        <v>12</v>
      </c>
      <c r="H228">
        <v>9</v>
      </c>
      <c r="I228">
        <v>1</v>
      </c>
      <c r="J228">
        <v>0.75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1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1</v>
      </c>
      <c r="W228">
        <v>0</v>
      </c>
      <c r="X228">
        <v>0</v>
      </c>
      <c r="Y228">
        <v>1</v>
      </c>
      <c r="Z228">
        <f>AVERAGEIFS($C$2:C228, $B$2:B228, B228)</f>
        <v>25.625</v>
      </c>
      <c r="AA228">
        <f>AVERAGEIFS($I$2:I228, $B$2:B228, B228)</f>
        <v>0.63125000000000009</v>
      </c>
      <c r="AB228">
        <f>AVERAGEIFS($J$2:J228, $B$2:B228, B228)</f>
        <v>0.57187500000000002</v>
      </c>
      <c r="AC228">
        <f>AVERAGEIFS($D$2:D228, $B$2:B228, B228)</f>
        <v>0.5625</v>
      </c>
    </row>
    <row r="229" spans="1:29" x14ac:dyDescent="0.25">
      <c r="A229" s="85">
        <v>46068</v>
      </c>
      <c r="B229" t="s">
        <v>25</v>
      </c>
      <c r="C229" s="95">
        <v>17</v>
      </c>
      <c r="D229" s="86">
        <v>1</v>
      </c>
      <c r="E229">
        <v>3</v>
      </c>
      <c r="F229">
        <v>3</v>
      </c>
      <c r="G229">
        <v>12</v>
      </c>
      <c r="H229">
        <v>9</v>
      </c>
      <c r="I229">
        <v>1</v>
      </c>
      <c r="J229">
        <v>0.75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1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1</v>
      </c>
      <c r="W229">
        <v>0</v>
      </c>
      <c r="X229">
        <v>0</v>
      </c>
      <c r="Y229">
        <v>1</v>
      </c>
      <c r="Z229">
        <f>AVERAGEIFS($C$2:C229, $B$2:B229, B229)</f>
        <v>17.5</v>
      </c>
      <c r="AA229">
        <f>AVERAGEIFS($I$2:I229, $B$2:B229, B229)</f>
        <v>0.6875</v>
      </c>
      <c r="AB229">
        <f>AVERAGEIFS($J$2:J229, $B$2:B229, B229)</f>
        <v>0.60999999999999988</v>
      </c>
      <c r="AC229">
        <f>AVERAGEIFS($D$2:D229, $B$2:B229, B229)</f>
        <v>0.75</v>
      </c>
    </row>
    <row r="230" spans="1:29" x14ac:dyDescent="0.25">
      <c r="A230" s="85">
        <v>46068</v>
      </c>
      <c r="B230" t="s">
        <v>37</v>
      </c>
      <c r="C230" s="95">
        <v>16</v>
      </c>
      <c r="D230" s="86">
        <v>1</v>
      </c>
      <c r="E230">
        <v>3</v>
      </c>
      <c r="F230">
        <v>3</v>
      </c>
      <c r="G230">
        <v>12</v>
      </c>
      <c r="H230">
        <v>9</v>
      </c>
      <c r="I230">
        <v>1</v>
      </c>
      <c r="J230">
        <v>0.75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1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1</v>
      </c>
      <c r="W230">
        <v>0</v>
      </c>
      <c r="X230">
        <v>0</v>
      </c>
      <c r="Y230">
        <v>1</v>
      </c>
      <c r="Z230">
        <f>AVERAGEIFS($C$2:C230, $B$2:B230, B230)</f>
        <v>17.3</v>
      </c>
      <c r="AA230">
        <f>AVERAGEIFS($I$2:I230, $B$2:B230, B230)</f>
        <v>0.49000000000000005</v>
      </c>
      <c r="AB230">
        <f>AVERAGEIFS($J$2:J230, $B$2:B230, B230)</f>
        <v>0.47799999999999992</v>
      </c>
      <c r="AC230">
        <f>AVERAGEIFS($D$2:D230, $B$2:B230, B230)</f>
        <v>0.4</v>
      </c>
    </row>
    <row r="231" spans="1:29" x14ac:dyDescent="0.25">
      <c r="A231" s="85">
        <v>46068</v>
      </c>
      <c r="B231" t="s">
        <v>35</v>
      </c>
      <c r="C231" s="95">
        <v>7</v>
      </c>
      <c r="D231" s="86">
        <v>1</v>
      </c>
      <c r="E231">
        <v>3</v>
      </c>
      <c r="F231">
        <v>3</v>
      </c>
      <c r="G231">
        <v>12</v>
      </c>
      <c r="H231">
        <v>9</v>
      </c>
      <c r="I231">
        <v>1</v>
      </c>
      <c r="J231">
        <v>0.75</v>
      </c>
      <c r="K231">
        <v>0</v>
      </c>
      <c r="L231">
        <v>0</v>
      </c>
      <c r="M231">
        <v>0</v>
      </c>
      <c r="N231">
        <v>0</v>
      </c>
      <c r="O231">
        <v>0</v>
      </c>
      <c r="P231">
        <v>1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1</v>
      </c>
      <c r="W231">
        <v>0</v>
      </c>
      <c r="X231">
        <v>0</v>
      </c>
      <c r="Y231">
        <v>1</v>
      </c>
      <c r="Z231">
        <f>AVERAGEIFS($C$2:C231, $B$2:B231, B231)</f>
        <v>9</v>
      </c>
      <c r="AA231">
        <f>AVERAGEIFS($I$2:I231, $B$2:B231, B231)</f>
        <v>0.45</v>
      </c>
      <c r="AB231">
        <f>AVERAGEIFS($J$2:J231, $B$2:B231, B231)</f>
        <v>0.51124999999999998</v>
      </c>
      <c r="AC231">
        <f>AVERAGEIFS($D$2:D231, $B$2:B231, B231)</f>
        <v>0.5</v>
      </c>
    </row>
    <row r="232" spans="1:29" x14ac:dyDescent="0.25">
      <c r="A232" s="85">
        <v>46068</v>
      </c>
      <c r="B232" t="s">
        <v>27</v>
      </c>
      <c r="C232" s="95">
        <v>6</v>
      </c>
      <c r="D232" s="86">
        <v>1</v>
      </c>
      <c r="E232">
        <v>3</v>
      </c>
      <c r="F232">
        <v>3</v>
      </c>
      <c r="G232">
        <v>12</v>
      </c>
      <c r="H232">
        <v>9</v>
      </c>
      <c r="I232">
        <v>1</v>
      </c>
      <c r="J232">
        <v>0.75</v>
      </c>
      <c r="K232">
        <v>0</v>
      </c>
      <c r="L232">
        <v>0</v>
      </c>
      <c r="M232">
        <v>0</v>
      </c>
      <c r="N232">
        <v>0</v>
      </c>
      <c r="O232">
        <v>0</v>
      </c>
      <c r="P232">
        <v>1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1</v>
      </c>
      <c r="W232">
        <v>0</v>
      </c>
      <c r="X232">
        <v>0</v>
      </c>
      <c r="Y232">
        <v>1</v>
      </c>
      <c r="Z232">
        <f>AVERAGEIFS($C$2:C232, $B$2:B232, B232)</f>
        <v>13.875</v>
      </c>
      <c r="AA232">
        <f>AVERAGEIFS($I$2:I232, $B$2:B232, B232)</f>
        <v>0.57499999999999996</v>
      </c>
      <c r="AB232">
        <f>AVERAGEIFS($J$2:J232, $B$2:B232, B232)</f>
        <v>0.53125</v>
      </c>
      <c r="AC232">
        <f>AVERAGEIFS($D$2:D232, $B$2:B232, B232)</f>
        <v>0.625</v>
      </c>
    </row>
    <row r="233" spans="1:29" x14ac:dyDescent="0.25">
      <c r="A233" s="85">
        <v>46068</v>
      </c>
      <c r="B233" t="s">
        <v>18</v>
      </c>
      <c r="C233" s="95">
        <v>25</v>
      </c>
      <c r="D233" s="86">
        <v>0</v>
      </c>
      <c r="E233">
        <v>3</v>
      </c>
      <c r="F233">
        <v>0</v>
      </c>
      <c r="G233">
        <v>12</v>
      </c>
      <c r="H233">
        <v>3</v>
      </c>
      <c r="I233">
        <v>0</v>
      </c>
      <c r="J233">
        <v>0.25</v>
      </c>
      <c r="K233">
        <v>0</v>
      </c>
      <c r="L233">
        <v>0</v>
      </c>
      <c r="M233">
        <v>0</v>
      </c>
      <c r="N233">
        <v>0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0</v>
      </c>
      <c r="Z233">
        <f>AVERAGEIFS($C$2:C233, $B$2:B233, B233)</f>
        <v>26.285714285714285</v>
      </c>
      <c r="AA233">
        <f>AVERAGEIFS($I$2:I233, $B$2:B233, B233)</f>
        <v>0.42857142857142855</v>
      </c>
      <c r="AB233">
        <f>AVERAGEIFS($J$2:J233, $B$2:B233, B233)</f>
        <v>0.44285714285714278</v>
      </c>
      <c r="AC233">
        <f>AVERAGEIFS($D$2:D233, $B$2:B233, B233)</f>
        <v>0.42857142857142855</v>
      </c>
    </row>
    <row r="234" spans="1:29" x14ac:dyDescent="0.25">
      <c r="A234" s="85">
        <v>46068</v>
      </c>
      <c r="B234" t="s">
        <v>13</v>
      </c>
      <c r="C234" s="95">
        <v>18</v>
      </c>
      <c r="D234" s="86">
        <v>0</v>
      </c>
      <c r="E234">
        <v>3</v>
      </c>
      <c r="F234">
        <v>0</v>
      </c>
      <c r="G234">
        <v>12</v>
      </c>
      <c r="H234">
        <v>3</v>
      </c>
      <c r="I234">
        <v>0</v>
      </c>
      <c r="J234">
        <v>0.25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0</v>
      </c>
      <c r="Z234">
        <f>AVERAGEIFS($C$2:C234, $B$2:B234, B234)</f>
        <v>28.0625</v>
      </c>
      <c r="AA234">
        <f>AVERAGEIFS($I$2:I234, $B$2:B234, B234)</f>
        <v>0.51249999999999996</v>
      </c>
      <c r="AB234">
        <f>AVERAGEIFS($J$2:J234, $B$2:B234, B234)</f>
        <v>0.52374999999999994</v>
      </c>
      <c r="AC234">
        <f>AVERAGEIFS($D$2:D234, $B$2:B234, B234)</f>
        <v>0.625</v>
      </c>
    </row>
    <row r="235" spans="1:29" x14ac:dyDescent="0.25">
      <c r="A235" s="85">
        <v>46068</v>
      </c>
      <c r="B235" t="s">
        <v>3</v>
      </c>
      <c r="C235" s="95">
        <v>15</v>
      </c>
      <c r="D235" s="86">
        <v>0</v>
      </c>
      <c r="E235">
        <v>3</v>
      </c>
      <c r="F235">
        <v>0</v>
      </c>
      <c r="G235">
        <v>12</v>
      </c>
      <c r="H235">
        <v>3</v>
      </c>
      <c r="I235">
        <v>0</v>
      </c>
      <c r="J235">
        <v>0.25</v>
      </c>
      <c r="K235">
        <v>0</v>
      </c>
      <c r="L235">
        <v>0</v>
      </c>
      <c r="M235">
        <v>0</v>
      </c>
      <c r="N235">
        <v>0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0</v>
      </c>
      <c r="Z235">
        <f>AVERAGEIFS($C$2:C235, $B$2:B235, B235)</f>
        <v>23.428571428571427</v>
      </c>
      <c r="AA235">
        <f>AVERAGEIFS($I$2:I235, $B$2:B235, B235)</f>
        <v>0.47857142857142859</v>
      </c>
      <c r="AB235">
        <f>AVERAGEIFS($J$2:J235, $B$2:B235, B235)</f>
        <v>0.49714285714285705</v>
      </c>
      <c r="AC235">
        <f>AVERAGEIFS($D$2:D235, $B$2:B235, B235)</f>
        <v>0.5714285714285714</v>
      </c>
    </row>
    <row r="236" spans="1:29" x14ac:dyDescent="0.25">
      <c r="A236" s="85">
        <v>46068</v>
      </c>
      <c r="B236" t="s">
        <v>19</v>
      </c>
      <c r="C236" s="95">
        <v>9</v>
      </c>
      <c r="D236" s="86">
        <v>0</v>
      </c>
      <c r="E236">
        <v>3</v>
      </c>
      <c r="F236">
        <v>0</v>
      </c>
      <c r="G236">
        <v>12</v>
      </c>
      <c r="H236">
        <v>3</v>
      </c>
      <c r="I236">
        <v>0</v>
      </c>
      <c r="J236">
        <v>0.25</v>
      </c>
      <c r="K236">
        <v>0</v>
      </c>
      <c r="L236">
        <v>0</v>
      </c>
      <c r="M236">
        <v>0</v>
      </c>
      <c r="N236">
        <v>0</v>
      </c>
      <c r="O236">
        <v>0</v>
      </c>
      <c r="P236">
        <v>0</v>
      </c>
      <c r="Q236">
        <v>0</v>
      </c>
      <c r="R236">
        <v>0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f>AVERAGEIFS($C$2:C236, $B$2:B236, B236)</f>
        <v>11.125</v>
      </c>
      <c r="AA236">
        <f>AVERAGEIFS($I$2:I236, $B$2:B236, B236)</f>
        <v>0.42500000000000004</v>
      </c>
      <c r="AB236">
        <f>AVERAGEIFS($J$2:J236, $B$2:B236, B236)</f>
        <v>0.45750000000000002</v>
      </c>
      <c r="AC236">
        <f>AVERAGEIFS($D$2:D236, $B$2:B236, B236)</f>
        <v>0.375</v>
      </c>
    </row>
    <row r="237" spans="1:29" x14ac:dyDescent="0.25">
      <c r="A237" s="85">
        <v>46068</v>
      </c>
      <c r="B237" t="s">
        <v>20</v>
      </c>
      <c r="C237" s="95">
        <v>7</v>
      </c>
      <c r="D237" s="86">
        <v>0</v>
      </c>
      <c r="E237">
        <v>3</v>
      </c>
      <c r="F237">
        <v>0</v>
      </c>
      <c r="G237">
        <v>12</v>
      </c>
      <c r="H237">
        <v>3</v>
      </c>
      <c r="I237">
        <v>0</v>
      </c>
      <c r="J237">
        <v>0.25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f>AVERAGEIFS($C$2:C237, $B$2:B237, B237)</f>
        <v>13.7</v>
      </c>
      <c r="AA237">
        <f>AVERAGEIFS($I$2:I237, $B$2:B237, B237)</f>
        <v>0.37</v>
      </c>
      <c r="AB237">
        <f>AVERAGEIFS($J$2:J237, $B$2:B237, B237)</f>
        <v>0.43100000000000005</v>
      </c>
      <c r="AC237">
        <f>AVERAGEIFS($D$2:D237, $B$2:B237, B237)</f>
        <v>0.2</v>
      </c>
    </row>
    <row r="238" spans="1:29" x14ac:dyDescent="0.25">
      <c r="A238" s="85">
        <v>46068</v>
      </c>
      <c r="B238" t="s">
        <v>38</v>
      </c>
      <c r="C238" s="95">
        <v>0</v>
      </c>
      <c r="D238" s="86">
        <v>0</v>
      </c>
      <c r="E238">
        <v>3</v>
      </c>
      <c r="F238">
        <v>0</v>
      </c>
      <c r="G238">
        <v>12</v>
      </c>
      <c r="H238">
        <v>3</v>
      </c>
      <c r="I238">
        <v>0</v>
      </c>
      <c r="J238">
        <v>0.25</v>
      </c>
      <c r="K238">
        <v>0</v>
      </c>
      <c r="L238">
        <v>0</v>
      </c>
      <c r="M238">
        <v>0</v>
      </c>
      <c r="N238">
        <v>0</v>
      </c>
      <c r="O238">
        <v>0</v>
      </c>
      <c r="P238">
        <v>0</v>
      </c>
      <c r="Q238">
        <v>0</v>
      </c>
      <c r="R238">
        <v>0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f>AVERAGEIFS($C$2:C238, $B$2:B238, B238)</f>
        <v>2.3333333333333335</v>
      </c>
      <c r="AA238">
        <f>AVERAGEIFS($I$2:I238, $B$2:B238, B238)</f>
        <v>0.41666666666666669</v>
      </c>
      <c r="AB238">
        <f>AVERAGEIFS($J$2:J238, $B$2:B238, B238)</f>
        <v>0.45999999999999996</v>
      </c>
      <c r="AC238">
        <f>AVERAGEIFS($D$2:D238, $B$2:B238, B238)</f>
        <v>0.33333333333333331</v>
      </c>
    </row>
    <row r="239" spans="1:29" x14ac:dyDescent="0.25">
      <c r="A239" s="85">
        <v>46069</v>
      </c>
      <c r="B239" t="s">
        <v>6</v>
      </c>
      <c r="C239" s="95">
        <v>30</v>
      </c>
      <c r="D239" s="86">
        <v>1</v>
      </c>
      <c r="E239">
        <v>5</v>
      </c>
      <c r="F239">
        <v>3</v>
      </c>
      <c r="G239">
        <v>21</v>
      </c>
      <c r="H239">
        <v>10</v>
      </c>
      <c r="I239">
        <v>0.6</v>
      </c>
      <c r="J239">
        <v>0.48</v>
      </c>
      <c r="K239">
        <v>0</v>
      </c>
      <c r="L239">
        <v>1</v>
      </c>
      <c r="M239">
        <v>0</v>
      </c>
      <c r="N239">
        <v>0</v>
      </c>
      <c r="O239">
        <v>0</v>
      </c>
      <c r="P239">
        <v>1</v>
      </c>
      <c r="Q239">
        <v>0</v>
      </c>
      <c r="R239">
        <v>0</v>
      </c>
      <c r="S239">
        <v>0</v>
      </c>
      <c r="T239">
        <v>0</v>
      </c>
      <c r="U239">
        <v>0</v>
      </c>
      <c r="V239">
        <v>0</v>
      </c>
      <c r="W239">
        <v>1</v>
      </c>
      <c r="X239">
        <v>0</v>
      </c>
      <c r="Y239">
        <v>0</v>
      </c>
      <c r="Z239">
        <f>AVERAGEIFS($C$2:C239, $B$2:B239, B239)</f>
        <v>23</v>
      </c>
      <c r="AA239">
        <f>AVERAGEIFS($I$2:I239, $B$2:B239, B239)</f>
        <v>0.59499999999999997</v>
      </c>
      <c r="AB239">
        <f>AVERAGEIFS($J$2:J239, $B$2:B239, B239)</f>
        <v>0.53599999999999992</v>
      </c>
      <c r="AC239">
        <f>AVERAGEIFS($D$2:D239, $B$2:B239, B239)</f>
        <v>0.7</v>
      </c>
    </row>
    <row r="240" spans="1:29" x14ac:dyDescent="0.25">
      <c r="A240" s="85">
        <v>46069</v>
      </c>
      <c r="B240" t="s">
        <v>13</v>
      </c>
      <c r="C240" s="95">
        <v>27</v>
      </c>
      <c r="D240" s="86">
        <v>1</v>
      </c>
      <c r="E240">
        <v>5</v>
      </c>
      <c r="F240">
        <v>3</v>
      </c>
      <c r="G240">
        <v>21</v>
      </c>
      <c r="H240">
        <v>10</v>
      </c>
      <c r="I240">
        <v>0.6</v>
      </c>
      <c r="J240">
        <v>0.48</v>
      </c>
      <c r="K240">
        <v>0</v>
      </c>
      <c r="L240">
        <v>1</v>
      </c>
      <c r="M240">
        <v>0</v>
      </c>
      <c r="N240">
        <v>0</v>
      </c>
      <c r="O240">
        <v>0</v>
      </c>
      <c r="P240">
        <v>1</v>
      </c>
      <c r="Q240">
        <v>0</v>
      </c>
      <c r="R240">
        <v>0</v>
      </c>
      <c r="S240">
        <v>0</v>
      </c>
      <c r="T240">
        <v>0</v>
      </c>
      <c r="U240">
        <v>0</v>
      </c>
      <c r="V240">
        <v>0</v>
      </c>
      <c r="W240">
        <v>1</v>
      </c>
      <c r="X240">
        <v>0</v>
      </c>
      <c r="Y240">
        <v>0</v>
      </c>
      <c r="Z240">
        <f>AVERAGEIFS($C$2:C240, $B$2:B240, B240)</f>
        <v>28</v>
      </c>
      <c r="AA240">
        <f>AVERAGEIFS($I$2:I240, $B$2:B240, B240)</f>
        <v>0.51764705882352935</v>
      </c>
      <c r="AB240">
        <f>AVERAGEIFS($J$2:J240, $B$2:B240, B240)</f>
        <v>0.52117647058823524</v>
      </c>
      <c r="AC240">
        <f>AVERAGEIFS($D$2:D240, $B$2:B240, B240)</f>
        <v>0.6470588235294118</v>
      </c>
    </row>
    <row r="241" spans="1:29" x14ac:dyDescent="0.25">
      <c r="A241" s="85">
        <v>46069</v>
      </c>
      <c r="B241" t="s">
        <v>3</v>
      </c>
      <c r="C241" s="95">
        <v>19</v>
      </c>
      <c r="D241" s="86">
        <v>1</v>
      </c>
      <c r="E241">
        <v>5</v>
      </c>
      <c r="F241">
        <v>3</v>
      </c>
      <c r="G241">
        <v>21</v>
      </c>
      <c r="H241">
        <v>10</v>
      </c>
      <c r="I241">
        <v>0.6</v>
      </c>
      <c r="J241">
        <v>0.48</v>
      </c>
      <c r="K241">
        <v>0</v>
      </c>
      <c r="L241">
        <v>1</v>
      </c>
      <c r="M241">
        <v>0</v>
      </c>
      <c r="N241">
        <v>0</v>
      </c>
      <c r="O241">
        <v>0</v>
      </c>
      <c r="P241">
        <v>1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1</v>
      </c>
      <c r="X241">
        <v>0</v>
      </c>
      <c r="Y241">
        <v>0</v>
      </c>
      <c r="Z241">
        <f>AVERAGEIFS($C$2:C241, $B$2:B241, B241)</f>
        <v>22.875</v>
      </c>
      <c r="AA241">
        <f>AVERAGEIFS($I$2:I241, $B$2:B241, B241)</f>
        <v>0.49375000000000002</v>
      </c>
      <c r="AB241">
        <f>AVERAGEIFS($J$2:J241, $B$2:B241, B241)</f>
        <v>0.49499999999999994</v>
      </c>
      <c r="AC241">
        <f>AVERAGEIFS($D$2:D241, $B$2:B241, B241)</f>
        <v>0.625</v>
      </c>
    </row>
    <row r="242" spans="1:29" x14ac:dyDescent="0.25">
      <c r="A242" s="85">
        <v>46069</v>
      </c>
      <c r="B242" t="s">
        <v>27</v>
      </c>
      <c r="C242" s="95">
        <v>19</v>
      </c>
      <c r="D242" s="86">
        <v>1</v>
      </c>
      <c r="E242">
        <v>5</v>
      </c>
      <c r="F242">
        <v>3</v>
      </c>
      <c r="G242">
        <v>21</v>
      </c>
      <c r="H242">
        <v>10</v>
      </c>
      <c r="I242">
        <v>0.6</v>
      </c>
      <c r="J242">
        <v>0.48</v>
      </c>
      <c r="K242">
        <v>0</v>
      </c>
      <c r="L242">
        <v>1</v>
      </c>
      <c r="M242">
        <v>0</v>
      </c>
      <c r="N242">
        <v>0</v>
      </c>
      <c r="O242">
        <v>0</v>
      </c>
      <c r="P242">
        <v>1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1</v>
      </c>
      <c r="X242">
        <v>0</v>
      </c>
      <c r="Y242">
        <v>0</v>
      </c>
      <c r="Z242">
        <f>AVERAGEIFS($C$2:C242, $B$2:B242, B242)</f>
        <v>14.444444444444445</v>
      </c>
      <c r="AA242">
        <f>AVERAGEIFS($I$2:I242, $B$2:B242, B242)</f>
        <v>0.57777777777777772</v>
      </c>
      <c r="AB242">
        <f>AVERAGEIFS($J$2:J242, $B$2:B242, B242)</f>
        <v>0.52555555555555555</v>
      </c>
      <c r="AC242">
        <f>AVERAGEIFS($D$2:D242, $B$2:B242, B242)</f>
        <v>0.66666666666666663</v>
      </c>
    </row>
    <row r="243" spans="1:29" x14ac:dyDescent="0.25">
      <c r="A243" s="85">
        <v>46069</v>
      </c>
      <c r="B243" t="s">
        <v>35</v>
      </c>
      <c r="C243" s="95">
        <v>13</v>
      </c>
      <c r="D243" s="86">
        <v>1</v>
      </c>
      <c r="E243">
        <v>5</v>
      </c>
      <c r="F243">
        <v>3</v>
      </c>
      <c r="G243">
        <v>21</v>
      </c>
      <c r="H243">
        <v>10</v>
      </c>
      <c r="I243">
        <v>0.6</v>
      </c>
      <c r="J243">
        <v>0.48</v>
      </c>
      <c r="K243">
        <v>0</v>
      </c>
      <c r="L243">
        <v>1</v>
      </c>
      <c r="M243">
        <v>0</v>
      </c>
      <c r="N243">
        <v>0</v>
      </c>
      <c r="O243">
        <v>0</v>
      </c>
      <c r="P243">
        <v>1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1</v>
      </c>
      <c r="X243">
        <v>0</v>
      </c>
      <c r="Y243">
        <v>0</v>
      </c>
      <c r="Z243">
        <f>AVERAGEIFS($C$2:C243, $B$2:B243, B243)</f>
        <v>9.4444444444444446</v>
      </c>
      <c r="AA243">
        <f>AVERAGEIFS($I$2:I243, $B$2:B243, B243)</f>
        <v>0.46666666666666667</v>
      </c>
      <c r="AB243">
        <f>AVERAGEIFS($J$2:J243, $B$2:B243, B243)</f>
        <v>0.50777777777777777</v>
      </c>
      <c r="AC243">
        <f>AVERAGEIFS($D$2:D243, $B$2:B243, B243)</f>
        <v>0.55555555555555558</v>
      </c>
    </row>
    <row r="244" spans="1:29" x14ac:dyDescent="0.25">
      <c r="A244" s="85">
        <v>46069</v>
      </c>
      <c r="B244" t="s">
        <v>17</v>
      </c>
      <c r="C244" s="95">
        <v>33</v>
      </c>
      <c r="D244" s="86">
        <v>0</v>
      </c>
      <c r="E244">
        <v>5</v>
      </c>
      <c r="F244">
        <v>2</v>
      </c>
      <c r="G244">
        <v>21</v>
      </c>
      <c r="H244">
        <v>11</v>
      </c>
      <c r="I244">
        <v>0.4</v>
      </c>
      <c r="J244">
        <v>0.52</v>
      </c>
      <c r="K244">
        <v>0</v>
      </c>
      <c r="L244">
        <v>0</v>
      </c>
      <c r="M244">
        <v>0</v>
      </c>
      <c r="N244">
        <v>1</v>
      </c>
      <c r="O244">
        <v>0</v>
      </c>
      <c r="P244">
        <v>0</v>
      </c>
      <c r="Q244">
        <v>1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0</v>
      </c>
      <c r="Y244">
        <v>0</v>
      </c>
      <c r="Z244">
        <f>AVERAGEIFS($C$2:C244, $B$2:B244, B244)</f>
        <v>26.058823529411764</v>
      </c>
      <c r="AA244">
        <f>AVERAGEIFS($I$2:I244, $B$2:B244, B244)</f>
        <v>0.61764705882352955</v>
      </c>
      <c r="AB244">
        <f>AVERAGEIFS($J$2:J244, $B$2:B244, B244)</f>
        <v>0.56882352941176473</v>
      </c>
      <c r="AC244">
        <f>AVERAGEIFS($D$2:D244, $B$2:B244, B244)</f>
        <v>0.52941176470588236</v>
      </c>
    </row>
    <row r="245" spans="1:29" x14ac:dyDescent="0.25">
      <c r="A245" s="85">
        <v>46069</v>
      </c>
      <c r="B245" t="s">
        <v>18</v>
      </c>
      <c r="C245" s="95">
        <v>28</v>
      </c>
      <c r="D245" s="86">
        <v>0</v>
      </c>
      <c r="E245">
        <v>5</v>
      </c>
      <c r="F245">
        <v>2</v>
      </c>
      <c r="G245">
        <v>21</v>
      </c>
      <c r="H245">
        <v>11</v>
      </c>
      <c r="I245">
        <v>0.4</v>
      </c>
      <c r="J245">
        <v>0.52</v>
      </c>
      <c r="K245">
        <v>0</v>
      </c>
      <c r="L245">
        <v>0</v>
      </c>
      <c r="M245">
        <v>0</v>
      </c>
      <c r="N245">
        <v>1</v>
      </c>
      <c r="O245">
        <v>0</v>
      </c>
      <c r="P245">
        <v>0</v>
      </c>
      <c r="Q245">
        <v>1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0</v>
      </c>
      <c r="Y245">
        <v>0</v>
      </c>
      <c r="Z245">
        <f>AVERAGEIFS($C$2:C245, $B$2:B245, B245)</f>
        <v>26.5</v>
      </c>
      <c r="AA245">
        <f>AVERAGEIFS($I$2:I245, $B$2:B245, B245)</f>
        <v>0.42499999999999999</v>
      </c>
      <c r="AB245">
        <f>AVERAGEIFS($J$2:J245, $B$2:B245, B245)</f>
        <v>0.45249999999999996</v>
      </c>
      <c r="AC245">
        <f>AVERAGEIFS($D$2:D245, $B$2:B245, B245)</f>
        <v>0.375</v>
      </c>
    </row>
    <row r="246" spans="1:29" x14ac:dyDescent="0.25">
      <c r="A246" s="85">
        <v>46069</v>
      </c>
      <c r="B246" t="s">
        <v>15</v>
      </c>
      <c r="C246" s="95">
        <v>27</v>
      </c>
      <c r="D246" s="86">
        <v>0</v>
      </c>
      <c r="E246">
        <v>5</v>
      </c>
      <c r="F246">
        <v>2</v>
      </c>
      <c r="G246">
        <v>21</v>
      </c>
      <c r="H246">
        <v>11</v>
      </c>
      <c r="I246">
        <v>0.4</v>
      </c>
      <c r="J246">
        <v>0.52</v>
      </c>
      <c r="K246">
        <v>0</v>
      </c>
      <c r="L246">
        <v>0</v>
      </c>
      <c r="M246">
        <v>0</v>
      </c>
      <c r="N246">
        <v>1</v>
      </c>
      <c r="O246">
        <v>0</v>
      </c>
      <c r="P246">
        <v>0</v>
      </c>
      <c r="Q246">
        <v>1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0</v>
      </c>
      <c r="Y246">
        <v>0</v>
      </c>
      <c r="Z246">
        <f>AVERAGEIFS($C$2:C246, $B$2:B246, B246)</f>
        <v>26.923076923076923</v>
      </c>
      <c r="AA246">
        <f>AVERAGEIFS($I$2:I246, $B$2:B246, B246)</f>
        <v>0.4884615384615385</v>
      </c>
      <c r="AB246">
        <f>AVERAGEIFS($J$2:J246, $B$2:B246, B246)</f>
        <v>0.48846153846153845</v>
      </c>
      <c r="AC246">
        <f>AVERAGEIFS($D$2:D246, $B$2:B246, B246)</f>
        <v>0.30769230769230771</v>
      </c>
    </row>
    <row r="247" spans="1:29" x14ac:dyDescent="0.25">
      <c r="A247" s="85">
        <v>46069</v>
      </c>
      <c r="B247" t="s">
        <v>25</v>
      </c>
      <c r="C247" s="95">
        <v>16</v>
      </c>
      <c r="D247" s="86">
        <v>0</v>
      </c>
      <c r="E247">
        <v>5</v>
      </c>
      <c r="F247">
        <v>2</v>
      </c>
      <c r="G247">
        <v>21</v>
      </c>
      <c r="H247">
        <v>11</v>
      </c>
      <c r="I247">
        <v>0.4</v>
      </c>
      <c r="J247">
        <v>0.52</v>
      </c>
      <c r="K247">
        <v>0</v>
      </c>
      <c r="L247">
        <v>0</v>
      </c>
      <c r="M247">
        <v>0</v>
      </c>
      <c r="N247">
        <v>1</v>
      </c>
      <c r="O247">
        <v>0</v>
      </c>
      <c r="P247">
        <v>0</v>
      </c>
      <c r="Q247">
        <v>1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0</v>
      </c>
      <c r="Y247">
        <v>0</v>
      </c>
      <c r="Z247">
        <f>AVERAGEIFS($C$2:C247, $B$2:B247, B247)</f>
        <v>17.2</v>
      </c>
      <c r="AA247">
        <f>AVERAGEIFS($I$2:I247, $B$2:B247, B247)</f>
        <v>0.63</v>
      </c>
      <c r="AB247">
        <f>AVERAGEIFS($J$2:J247, $B$2:B247, B247)</f>
        <v>0.59199999999999986</v>
      </c>
      <c r="AC247">
        <f>AVERAGEIFS($D$2:D247, $B$2:B247, B247)</f>
        <v>0.6</v>
      </c>
    </row>
    <row r="248" spans="1:29" x14ac:dyDescent="0.25">
      <c r="A248" s="85">
        <v>46069</v>
      </c>
      <c r="B248" t="s">
        <v>20</v>
      </c>
      <c r="C248" s="95">
        <v>11</v>
      </c>
      <c r="D248" s="86">
        <v>0</v>
      </c>
      <c r="E248">
        <v>5</v>
      </c>
      <c r="F248">
        <v>2</v>
      </c>
      <c r="G248">
        <v>21</v>
      </c>
      <c r="H248">
        <v>11</v>
      </c>
      <c r="I248">
        <v>0.4</v>
      </c>
      <c r="J248">
        <v>0.52</v>
      </c>
      <c r="K248">
        <v>0</v>
      </c>
      <c r="L248">
        <v>0</v>
      </c>
      <c r="M248">
        <v>0</v>
      </c>
      <c r="N248">
        <v>1</v>
      </c>
      <c r="O248">
        <v>0</v>
      </c>
      <c r="P248">
        <v>0</v>
      </c>
      <c r="Q248">
        <v>1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0</v>
      </c>
      <c r="Y248">
        <v>0</v>
      </c>
      <c r="Z248">
        <f>AVERAGEIFS($C$2:C248, $B$2:B248, B248)</f>
        <v>13.454545454545455</v>
      </c>
      <c r="AA248">
        <f>AVERAGEIFS($I$2:I248, $B$2:B248, B248)</f>
        <v>0.37272727272727268</v>
      </c>
      <c r="AB248">
        <f>AVERAGEIFS($J$2:J248, $B$2:B248, B248)</f>
        <v>0.43909090909090909</v>
      </c>
      <c r="AC248">
        <f>AVERAGEIFS($D$2:D248, $B$2:B248, B248)</f>
        <v>0.18181818181818182</v>
      </c>
    </row>
    <row r="249" spans="1:29" x14ac:dyDescent="0.25">
      <c r="A249" s="85">
        <v>46070</v>
      </c>
      <c r="B249" t="s">
        <v>14</v>
      </c>
      <c r="C249" s="95">
        <v>27</v>
      </c>
      <c r="D249" s="86">
        <v>1</v>
      </c>
      <c r="E249">
        <v>3</v>
      </c>
      <c r="F249">
        <v>3</v>
      </c>
      <c r="G249">
        <v>12</v>
      </c>
      <c r="H249">
        <v>9</v>
      </c>
      <c r="I249">
        <v>1</v>
      </c>
      <c r="J249">
        <v>0.75</v>
      </c>
      <c r="K249">
        <v>0</v>
      </c>
      <c r="L249">
        <v>0</v>
      </c>
      <c r="M249">
        <v>0</v>
      </c>
      <c r="N249">
        <v>1</v>
      </c>
      <c r="O249">
        <v>0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1</v>
      </c>
      <c r="W249">
        <v>1</v>
      </c>
      <c r="X249">
        <v>0</v>
      </c>
      <c r="Y249">
        <v>0</v>
      </c>
      <c r="Z249">
        <f>AVERAGEIFS($C$2:C249, $B$2:B249, B249)</f>
        <v>25.2</v>
      </c>
      <c r="AA249">
        <f>AVERAGEIFS($I$2:I249, $B$2:B249, B249)</f>
        <v>0.53666666666666674</v>
      </c>
      <c r="AB249">
        <f>AVERAGEIFS($J$2:J249, $B$2:B249, B249)</f>
        <v>0.5106666666666666</v>
      </c>
      <c r="AC249">
        <f>AVERAGEIFS($D$2:D249, $B$2:B249, B249)</f>
        <v>0.6</v>
      </c>
    </row>
    <row r="250" spans="1:29" x14ac:dyDescent="0.25">
      <c r="A250" s="85">
        <v>46070</v>
      </c>
      <c r="B250" t="s">
        <v>13</v>
      </c>
      <c r="C250" s="95">
        <v>12</v>
      </c>
      <c r="D250" s="86">
        <v>1</v>
      </c>
      <c r="E250">
        <v>3</v>
      </c>
      <c r="F250">
        <v>3</v>
      </c>
      <c r="G250">
        <v>12</v>
      </c>
      <c r="H250">
        <v>9</v>
      </c>
      <c r="I250">
        <v>1</v>
      </c>
      <c r="J250">
        <v>0.75</v>
      </c>
      <c r="K250">
        <v>0</v>
      </c>
      <c r="L250">
        <v>0</v>
      </c>
      <c r="M250">
        <v>0</v>
      </c>
      <c r="N250">
        <v>1</v>
      </c>
      <c r="O250">
        <v>0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1</v>
      </c>
      <c r="W250">
        <v>1</v>
      </c>
      <c r="X250">
        <v>0</v>
      </c>
      <c r="Y250">
        <v>0</v>
      </c>
      <c r="Z250">
        <f>AVERAGEIFS($C$2:C250, $B$2:B250, B250)</f>
        <v>27.111111111111111</v>
      </c>
      <c r="AA250">
        <f>AVERAGEIFS($I$2:I250, $B$2:B250, B250)</f>
        <v>0.5444444444444444</v>
      </c>
      <c r="AB250">
        <f>AVERAGEIFS($J$2:J250, $B$2:B250, B250)</f>
        <v>0.53388888888888886</v>
      </c>
      <c r="AC250">
        <f>AVERAGEIFS($D$2:D250, $B$2:B250, B250)</f>
        <v>0.66666666666666663</v>
      </c>
    </row>
    <row r="251" spans="1:29" x14ac:dyDescent="0.25">
      <c r="A251" s="85">
        <v>46070</v>
      </c>
      <c r="B251" t="s">
        <v>20</v>
      </c>
      <c r="C251" s="95">
        <v>9</v>
      </c>
      <c r="D251" s="86">
        <v>1</v>
      </c>
      <c r="E251">
        <v>3</v>
      </c>
      <c r="F251">
        <v>3</v>
      </c>
      <c r="G251">
        <v>12</v>
      </c>
      <c r="H251">
        <v>9</v>
      </c>
      <c r="I251">
        <v>1</v>
      </c>
      <c r="J251">
        <v>0.75</v>
      </c>
      <c r="K251">
        <v>0</v>
      </c>
      <c r="L251">
        <v>0</v>
      </c>
      <c r="M251">
        <v>0</v>
      </c>
      <c r="N251">
        <v>1</v>
      </c>
      <c r="O251">
        <v>0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1</v>
      </c>
      <c r="W251">
        <v>1</v>
      </c>
      <c r="X251">
        <v>0</v>
      </c>
      <c r="Y251">
        <v>0</v>
      </c>
      <c r="Z251">
        <f>AVERAGEIFS($C$2:C251, $B$2:B251, B251)</f>
        <v>13.083333333333334</v>
      </c>
      <c r="AA251">
        <f>AVERAGEIFS($I$2:I251, $B$2:B251, B251)</f>
        <v>0.42499999999999999</v>
      </c>
      <c r="AB251">
        <f>AVERAGEIFS($J$2:J251, $B$2:B251, B251)</f>
        <v>0.46500000000000002</v>
      </c>
      <c r="AC251">
        <f>AVERAGEIFS($D$2:D251, $B$2:B251, B251)</f>
        <v>0.25</v>
      </c>
    </row>
    <row r="252" spans="1:29" x14ac:dyDescent="0.25">
      <c r="A252" s="85">
        <v>46070</v>
      </c>
      <c r="B252" t="s">
        <v>26</v>
      </c>
      <c r="C252" s="95">
        <v>7</v>
      </c>
      <c r="D252" s="86">
        <v>1</v>
      </c>
      <c r="E252">
        <v>3</v>
      </c>
      <c r="F252">
        <v>3</v>
      </c>
      <c r="G252">
        <v>12</v>
      </c>
      <c r="H252">
        <v>9</v>
      </c>
      <c r="I252">
        <v>1</v>
      </c>
      <c r="J252">
        <v>0.75</v>
      </c>
      <c r="K252">
        <v>0</v>
      </c>
      <c r="L252">
        <v>0</v>
      </c>
      <c r="M252">
        <v>0</v>
      </c>
      <c r="N252">
        <v>1</v>
      </c>
      <c r="O252">
        <v>0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1</v>
      </c>
      <c r="W252">
        <v>1</v>
      </c>
      <c r="X252">
        <v>0</v>
      </c>
      <c r="Y252">
        <v>0</v>
      </c>
      <c r="Z252">
        <f>AVERAGEIFS($C$2:C252, $B$2:B252, B252)</f>
        <v>11.909090909090908</v>
      </c>
      <c r="AA252">
        <f>AVERAGEIFS($I$2:I252, $B$2:B252, B252)</f>
        <v>0.65909090909090906</v>
      </c>
      <c r="AB252">
        <f>AVERAGEIFS($J$2:J252, $B$2:B252, B252)</f>
        <v>0.60090909090909084</v>
      </c>
      <c r="AC252">
        <f>AVERAGEIFS($D$2:D252, $B$2:B252, B252)</f>
        <v>0.72727272727272729</v>
      </c>
    </row>
    <row r="253" spans="1:29" x14ac:dyDescent="0.25">
      <c r="A253" s="85">
        <v>46070</v>
      </c>
      <c r="B253" t="s">
        <v>34</v>
      </c>
      <c r="C253" s="95">
        <v>5</v>
      </c>
      <c r="D253" s="86">
        <v>1</v>
      </c>
      <c r="E253">
        <v>3</v>
      </c>
      <c r="F253">
        <v>3</v>
      </c>
      <c r="G253">
        <v>12</v>
      </c>
      <c r="H253">
        <v>9</v>
      </c>
      <c r="I253">
        <v>1</v>
      </c>
      <c r="J253">
        <v>0.75</v>
      </c>
      <c r="K253">
        <v>0</v>
      </c>
      <c r="L253">
        <v>0</v>
      </c>
      <c r="M253">
        <v>0</v>
      </c>
      <c r="N253">
        <v>1</v>
      </c>
      <c r="O253">
        <v>0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1</v>
      </c>
      <c r="W253">
        <v>1</v>
      </c>
      <c r="X253">
        <v>0</v>
      </c>
      <c r="Y253">
        <v>0</v>
      </c>
      <c r="Z253">
        <f>AVERAGEIFS($C$2:C253, $B$2:B253, B253)</f>
        <v>5</v>
      </c>
      <c r="AA253">
        <f>AVERAGEIFS($I$2:I253, $B$2:B253, B253)</f>
        <v>1</v>
      </c>
      <c r="AB253">
        <f>AVERAGEIFS($J$2:J253, $B$2:B253, B253)</f>
        <v>0.75</v>
      </c>
      <c r="AC253">
        <f>AVERAGEIFS($D$2:D253, $B$2:B253, B253)</f>
        <v>1</v>
      </c>
    </row>
    <row r="254" spans="1:29" x14ac:dyDescent="0.25">
      <c r="A254" s="85">
        <v>46070</v>
      </c>
      <c r="B254" t="s">
        <v>25</v>
      </c>
      <c r="C254" s="95">
        <v>3</v>
      </c>
      <c r="D254" s="86">
        <v>1</v>
      </c>
      <c r="E254">
        <v>3</v>
      </c>
      <c r="F254">
        <v>3</v>
      </c>
      <c r="G254">
        <v>12</v>
      </c>
      <c r="H254">
        <v>9</v>
      </c>
      <c r="I254">
        <v>1</v>
      </c>
      <c r="J254">
        <v>0.75</v>
      </c>
      <c r="K254">
        <v>0</v>
      </c>
      <c r="L254">
        <v>0</v>
      </c>
      <c r="M254">
        <v>0</v>
      </c>
      <c r="N254">
        <v>1</v>
      </c>
      <c r="O254">
        <v>0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1</v>
      </c>
      <c r="W254">
        <v>1</v>
      </c>
      <c r="X254">
        <v>0</v>
      </c>
      <c r="Y254">
        <v>0</v>
      </c>
      <c r="Z254">
        <f>AVERAGEIFS($C$2:C254, $B$2:B254, B254)</f>
        <v>14.833333333333334</v>
      </c>
      <c r="AA254">
        <f>AVERAGEIFS($I$2:I254, $B$2:B254, B254)</f>
        <v>0.69166666666666676</v>
      </c>
      <c r="AB254">
        <f>AVERAGEIFS($J$2:J254, $B$2:B254, B254)</f>
        <v>0.61833333333333329</v>
      </c>
      <c r="AC254">
        <f>AVERAGEIFS($D$2:D254, $B$2:B254, B254)</f>
        <v>0.66666666666666663</v>
      </c>
    </row>
    <row r="255" spans="1:29" x14ac:dyDescent="0.25">
      <c r="A255" s="85">
        <v>46070</v>
      </c>
      <c r="B255" t="s">
        <v>15</v>
      </c>
      <c r="C255" s="95">
        <v>11</v>
      </c>
      <c r="D255" s="86">
        <v>0</v>
      </c>
      <c r="E255">
        <v>3</v>
      </c>
      <c r="F255">
        <v>0</v>
      </c>
      <c r="G255">
        <v>12</v>
      </c>
      <c r="H255">
        <v>3</v>
      </c>
      <c r="I255">
        <v>0</v>
      </c>
      <c r="J255">
        <v>0.25</v>
      </c>
      <c r="K255">
        <v>0</v>
      </c>
      <c r="L255">
        <v>0</v>
      </c>
      <c r="M255">
        <v>0</v>
      </c>
      <c r="N255">
        <v>0</v>
      </c>
      <c r="O255">
        <v>0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f>AVERAGEIFS($C$2:C255, $B$2:B255, B255)</f>
        <v>25.785714285714285</v>
      </c>
      <c r="AA255">
        <f>AVERAGEIFS($I$2:I255, $B$2:B255, B255)</f>
        <v>0.45357142857142863</v>
      </c>
      <c r="AB255">
        <f>AVERAGEIFS($J$2:J255, $B$2:B255, B255)</f>
        <v>0.47142857142857142</v>
      </c>
      <c r="AC255">
        <f>AVERAGEIFS($D$2:D255, $B$2:B255, B255)</f>
        <v>0.2857142857142857</v>
      </c>
    </row>
    <row r="256" spans="1:29" x14ac:dyDescent="0.25">
      <c r="A256" s="85">
        <v>46070</v>
      </c>
      <c r="B256" t="s">
        <v>17</v>
      </c>
      <c r="C256" s="95">
        <v>11</v>
      </c>
      <c r="D256" s="86">
        <v>0</v>
      </c>
      <c r="E256">
        <v>3</v>
      </c>
      <c r="F256">
        <v>0</v>
      </c>
      <c r="G256">
        <v>12</v>
      </c>
      <c r="H256">
        <v>3</v>
      </c>
      <c r="I256">
        <v>0</v>
      </c>
      <c r="J256">
        <v>0.25</v>
      </c>
      <c r="K256">
        <v>0</v>
      </c>
      <c r="L256">
        <v>0</v>
      </c>
      <c r="M256">
        <v>0</v>
      </c>
      <c r="N256">
        <v>0</v>
      </c>
      <c r="O256">
        <v>0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f>AVERAGEIFS($C$2:C256, $B$2:B256, B256)</f>
        <v>25.222222222222221</v>
      </c>
      <c r="AA256">
        <f>AVERAGEIFS($I$2:I256, $B$2:B256, B256)</f>
        <v>0.58333333333333348</v>
      </c>
      <c r="AB256">
        <f>AVERAGEIFS($J$2:J256, $B$2:B256, B256)</f>
        <v>0.55111111111111111</v>
      </c>
      <c r="AC256">
        <f>AVERAGEIFS($D$2:D256, $B$2:B256, B256)</f>
        <v>0.5</v>
      </c>
    </row>
    <row r="257" spans="1:29" x14ac:dyDescent="0.25">
      <c r="A257" s="85">
        <v>46070</v>
      </c>
      <c r="B257" t="s">
        <v>19</v>
      </c>
      <c r="C257" s="95">
        <v>9</v>
      </c>
      <c r="D257" s="86">
        <v>0</v>
      </c>
      <c r="E257">
        <v>3</v>
      </c>
      <c r="F257">
        <v>0</v>
      </c>
      <c r="G257">
        <v>12</v>
      </c>
      <c r="H257">
        <v>3</v>
      </c>
      <c r="I257">
        <v>0</v>
      </c>
      <c r="J257">
        <v>0.25</v>
      </c>
      <c r="K257">
        <v>0</v>
      </c>
      <c r="L257">
        <v>0</v>
      </c>
      <c r="M257">
        <v>0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0</v>
      </c>
      <c r="U257">
        <v>0</v>
      </c>
      <c r="V257">
        <v>0</v>
      </c>
      <c r="W257">
        <v>0</v>
      </c>
      <c r="X257">
        <v>0</v>
      </c>
      <c r="Y257">
        <v>0</v>
      </c>
      <c r="Z257">
        <f>AVERAGEIFS($C$2:C257, $B$2:B257, B257)</f>
        <v>11</v>
      </c>
      <c r="AA257">
        <f>AVERAGEIFS($I$2:I257, $B$2:B257, B257)</f>
        <v>0.4</v>
      </c>
      <c r="AB257">
        <f>AVERAGEIFS($J$2:J257, $B$2:B257, B257)</f>
        <v>0.44529411764705884</v>
      </c>
      <c r="AC257">
        <f>AVERAGEIFS($D$2:D257, $B$2:B257, B257)</f>
        <v>0.35294117647058826</v>
      </c>
    </row>
    <row r="258" spans="1:29" x14ac:dyDescent="0.25">
      <c r="A258" s="85">
        <v>46070</v>
      </c>
      <c r="B258" t="s">
        <v>29</v>
      </c>
      <c r="C258" s="95">
        <v>6</v>
      </c>
      <c r="D258" s="86">
        <v>0</v>
      </c>
      <c r="E258">
        <v>3</v>
      </c>
      <c r="F258">
        <v>0</v>
      </c>
      <c r="G258">
        <v>12</v>
      </c>
      <c r="H258">
        <v>3</v>
      </c>
      <c r="I258">
        <v>0</v>
      </c>
      <c r="J258">
        <v>0.25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0</v>
      </c>
      <c r="U258">
        <v>0</v>
      </c>
      <c r="V258">
        <v>0</v>
      </c>
      <c r="W258">
        <v>0</v>
      </c>
      <c r="X258">
        <v>0</v>
      </c>
      <c r="Y258">
        <v>0</v>
      </c>
      <c r="Z258">
        <f>AVERAGEIFS($C$2:C258, $B$2:B258, B258)</f>
        <v>10.083333333333334</v>
      </c>
      <c r="AA258">
        <f>AVERAGEIFS($I$2:I258, $B$2:B258, B258)</f>
        <v>0.47083333333333327</v>
      </c>
      <c r="AB258">
        <f>AVERAGEIFS($J$2:J258, $B$2:B258, B258)</f>
        <v>0.48916666666666658</v>
      </c>
      <c r="AC258">
        <f>AVERAGEIFS($D$2:D258, $B$2:B258, B258)</f>
        <v>0.5</v>
      </c>
    </row>
    <row r="259" spans="1:29" x14ac:dyDescent="0.25">
      <c r="A259" s="85">
        <v>46070</v>
      </c>
      <c r="B259" t="s">
        <v>27</v>
      </c>
      <c r="C259" s="95">
        <v>4</v>
      </c>
      <c r="D259" s="86">
        <v>0</v>
      </c>
      <c r="E259">
        <v>3</v>
      </c>
      <c r="F259">
        <v>0</v>
      </c>
      <c r="G259">
        <v>12</v>
      </c>
      <c r="H259">
        <v>3</v>
      </c>
      <c r="I259">
        <v>0</v>
      </c>
      <c r="J259">
        <v>0.25</v>
      </c>
      <c r="K259">
        <v>0</v>
      </c>
      <c r="L259">
        <v>0</v>
      </c>
      <c r="M259">
        <v>0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0</v>
      </c>
      <c r="U259">
        <v>0</v>
      </c>
      <c r="V259">
        <v>0</v>
      </c>
      <c r="W259">
        <v>0</v>
      </c>
      <c r="X259">
        <v>0</v>
      </c>
      <c r="Y259">
        <v>0</v>
      </c>
      <c r="Z259">
        <f>AVERAGEIFS($C$2:C259, $B$2:B259, B259)</f>
        <v>13.4</v>
      </c>
      <c r="AA259">
        <f>AVERAGEIFS($I$2:I259, $B$2:B259, B259)</f>
        <v>0.51999999999999991</v>
      </c>
      <c r="AB259">
        <f>AVERAGEIFS($J$2:J259, $B$2:B259, B259)</f>
        <v>0.49800000000000005</v>
      </c>
      <c r="AC259">
        <f>AVERAGEIFS($D$2:D259, $B$2:B259, B259)</f>
        <v>0.6</v>
      </c>
    </row>
    <row r="260" spans="1:29" x14ac:dyDescent="0.25">
      <c r="A260" s="85">
        <v>46070</v>
      </c>
      <c r="B260" t="s">
        <v>28</v>
      </c>
      <c r="C260" s="95">
        <v>4</v>
      </c>
      <c r="D260" s="86">
        <v>0</v>
      </c>
      <c r="E260">
        <v>3</v>
      </c>
      <c r="F260">
        <v>0</v>
      </c>
      <c r="G260">
        <v>12</v>
      </c>
      <c r="H260">
        <v>3</v>
      </c>
      <c r="I260">
        <v>0</v>
      </c>
      <c r="J260">
        <v>0.25</v>
      </c>
      <c r="K260">
        <v>0</v>
      </c>
      <c r="L260">
        <v>0</v>
      </c>
      <c r="M260">
        <v>0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0</v>
      </c>
      <c r="U260">
        <v>0</v>
      </c>
      <c r="V260">
        <v>0</v>
      </c>
      <c r="W260">
        <v>0</v>
      </c>
      <c r="X260">
        <v>0</v>
      </c>
      <c r="Y260">
        <v>0</v>
      </c>
      <c r="Z260">
        <f>AVERAGEIFS($C$2:C260, $B$2:B260, B260)</f>
        <v>12.916666666666666</v>
      </c>
      <c r="AA260">
        <f>AVERAGEIFS($I$2:I260, $B$2:B260, B260)</f>
        <v>0.41666666666666669</v>
      </c>
      <c r="AB260">
        <f>AVERAGEIFS($J$2:J260, $B$2:B260, B260)</f>
        <v>0.45083333333333325</v>
      </c>
      <c r="AC260">
        <f>AVERAGEIFS($D$2:D260, $B$2:B260, B260)</f>
        <v>0.41666666666666669</v>
      </c>
    </row>
    <row r="261" spans="1:29" x14ac:dyDescent="0.25">
      <c r="A261" s="85">
        <v>46071</v>
      </c>
      <c r="B261" t="s">
        <v>13</v>
      </c>
      <c r="C261" s="95">
        <v>20</v>
      </c>
      <c r="D261" s="86">
        <v>1</v>
      </c>
      <c r="E261">
        <v>3</v>
      </c>
      <c r="F261">
        <v>3</v>
      </c>
      <c r="G261">
        <v>14</v>
      </c>
      <c r="H261">
        <v>9</v>
      </c>
      <c r="I261">
        <v>1</v>
      </c>
      <c r="J261">
        <v>0.64</v>
      </c>
      <c r="K261">
        <v>0</v>
      </c>
      <c r="L261">
        <v>0</v>
      </c>
      <c r="M261">
        <v>0</v>
      </c>
      <c r="N261">
        <v>0</v>
      </c>
      <c r="O261">
        <v>0</v>
      </c>
      <c r="P261">
        <v>1</v>
      </c>
      <c r="Q261">
        <v>0</v>
      </c>
      <c r="R261">
        <v>1</v>
      </c>
      <c r="S261">
        <v>0</v>
      </c>
      <c r="T261">
        <v>0</v>
      </c>
      <c r="U261">
        <v>0</v>
      </c>
      <c r="V261">
        <v>0</v>
      </c>
      <c r="W261">
        <v>1</v>
      </c>
      <c r="X261">
        <v>0</v>
      </c>
      <c r="Y261">
        <v>0</v>
      </c>
      <c r="Z261">
        <f>AVERAGEIFS($C$2:C261, $B$2:B261, B261)</f>
        <v>26.736842105263158</v>
      </c>
      <c r="AA261">
        <f>AVERAGEIFS($I$2:I261, $B$2:B261, B261)</f>
        <v>0.56842105263157894</v>
      </c>
      <c r="AB261">
        <f>AVERAGEIFS($J$2:J261, $B$2:B261, B261)</f>
        <v>0.53947368421052633</v>
      </c>
      <c r="AC261">
        <f>AVERAGEIFS($D$2:D261, $B$2:B261, B261)</f>
        <v>0.68421052631578949</v>
      </c>
    </row>
    <row r="262" spans="1:29" x14ac:dyDescent="0.25">
      <c r="A262" s="85">
        <v>46071</v>
      </c>
      <c r="B262" t="s">
        <v>14</v>
      </c>
      <c r="C262" s="95">
        <v>14</v>
      </c>
      <c r="D262" s="86">
        <v>1</v>
      </c>
      <c r="E262">
        <v>3</v>
      </c>
      <c r="F262">
        <v>3</v>
      </c>
      <c r="G262">
        <v>14</v>
      </c>
      <c r="H262">
        <v>9</v>
      </c>
      <c r="I262">
        <v>1</v>
      </c>
      <c r="J262">
        <v>0.64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1</v>
      </c>
      <c r="Q262">
        <v>0</v>
      </c>
      <c r="R262">
        <v>1</v>
      </c>
      <c r="S262">
        <v>0</v>
      </c>
      <c r="T262">
        <v>0</v>
      </c>
      <c r="U262">
        <v>0</v>
      </c>
      <c r="V262">
        <v>0</v>
      </c>
      <c r="W262">
        <v>1</v>
      </c>
      <c r="X262">
        <v>0</v>
      </c>
      <c r="Y262">
        <v>0</v>
      </c>
      <c r="Z262">
        <f>AVERAGEIFS($C$2:C262, $B$2:B262, B262)</f>
        <v>24.5</v>
      </c>
      <c r="AA262">
        <f>AVERAGEIFS($I$2:I262, $B$2:B262, B262)</f>
        <v>0.56562500000000004</v>
      </c>
      <c r="AB262">
        <f>AVERAGEIFS($J$2:J262, $B$2:B262, B262)</f>
        <v>0.51874999999999993</v>
      </c>
      <c r="AC262">
        <f>AVERAGEIFS($D$2:D262, $B$2:B262, B262)</f>
        <v>0.625</v>
      </c>
    </row>
    <row r="263" spans="1:29" x14ac:dyDescent="0.25">
      <c r="A263" s="85">
        <v>46071</v>
      </c>
      <c r="B263" t="s">
        <v>25</v>
      </c>
      <c r="C263" s="95">
        <v>12</v>
      </c>
      <c r="D263" s="86">
        <v>1</v>
      </c>
      <c r="E263">
        <v>3</v>
      </c>
      <c r="F263">
        <v>3</v>
      </c>
      <c r="G263">
        <v>14</v>
      </c>
      <c r="H263">
        <v>9</v>
      </c>
      <c r="I263">
        <v>1</v>
      </c>
      <c r="J263">
        <v>0.64</v>
      </c>
      <c r="K263">
        <v>0</v>
      </c>
      <c r="L263">
        <v>0</v>
      </c>
      <c r="M263">
        <v>0</v>
      </c>
      <c r="N263">
        <v>0</v>
      </c>
      <c r="O263">
        <v>0</v>
      </c>
      <c r="P263">
        <v>1</v>
      </c>
      <c r="Q263">
        <v>0</v>
      </c>
      <c r="R263">
        <v>1</v>
      </c>
      <c r="S263">
        <v>0</v>
      </c>
      <c r="T263">
        <v>0</v>
      </c>
      <c r="U263">
        <v>0</v>
      </c>
      <c r="V263">
        <v>0</v>
      </c>
      <c r="W263">
        <v>1</v>
      </c>
      <c r="X263">
        <v>0</v>
      </c>
      <c r="Y263">
        <v>0</v>
      </c>
      <c r="Z263">
        <f>AVERAGEIFS($C$2:C263, $B$2:B263, B263)</f>
        <v>14.428571428571429</v>
      </c>
      <c r="AA263">
        <f>AVERAGEIFS($I$2:I263, $B$2:B263, B263)</f>
        <v>0.73571428571428577</v>
      </c>
      <c r="AB263">
        <f>AVERAGEIFS($J$2:J263, $B$2:B263, B263)</f>
        <v>0.62142857142857133</v>
      </c>
      <c r="AC263">
        <f>AVERAGEIFS($D$2:D263, $B$2:B263, B263)</f>
        <v>0.7142857142857143</v>
      </c>
    </row>
    <row r="264" spans="1:29" x14ac:dyDescent="0.25">
      <c r="A264" s="85">
        <v>46071</v>
      </c>
      <c r="B264" t="s">
        <v>20</v>
      </c>
      <c r="C264" s="95">
        <v>10</v>
      </c>
      <c r="D264" s="86">
        <v>1</v>
      </c>
      <c r="E264">
        <v>3</v>
      </c>
      <c r="F264">
        <v>3</v>
      </c>
      <c r="G264">
        <v>14</v>
      </c>
      <c r="H264">
        <v>9</v>
      </c>
      <c r="I264">
        <v>1</v>
      </c>
      <c r="J264">
        <v>0.64</v>
      </c>
      <c r="K264">
        <v>0</v>
      </c>
      <c r="L264">
        <v>0</v>
      </c>
      <c r="M264">
        <v>0</v>
      </c>
      <c r="N264">
        <v>0</v>
      </c>
      <c r="O264">
        <v>0</v>
      </c>
      <c r="P264">
        <v>1</v>
      </c>
      <c r="Q264">
        <v>0</v>
      </c>
      <c r="R264">
        <v>1</v>
      </c>
      <c r="S264">
        <v>0</v>
      </c>
      <c r="T264">
        <v>0</v>
      </c>
      <c r="U264">
        <v>0</v>
      </c>
      <c r="V264">
        <v>0</v>
      </c>
      <c r="W264">
        <v>1</v>
      </c>
      <c r="X264">
        <v>0</v>
      </c>
      <c r="Y264">
        <v>0</v>
      </c>
      <c r="Z264">
        <f>AVERAGEIFS($C$2:C264, $B$2:B264, B264)</f>
        <v>12.846153846153847</v>
      </c>
      <c r="AA264">
        <f>AVERAGEIFS($I$2:I264, $B$2:B264, B264)</f>
        <v>0.46923076923076923</v>
      </c>
      <c r="AB264">
        <f>AVERAGEIFS($J$2:J264, $B$2:B264, B264)</f>
        <v>0.47846153846153844</v>
      </c>
      <c r="AC264">
        <f>AVERAGEIFS($D$2:D264, $B$2:B264, B264)</f>
        <v>0.30769230769230771</v>
      </c>
    </row>
    <row r="265" spans="1:29" x14ac:dyDescent="0.25">
      <c r="A265" s="85">
        <v>46071</v>
      </c>
      <c r="B265" t="s">
        <v>26</v>
      </c>
      <c r="C265" s="95">
        <v>5</v>
      </c>
      <c r="D265" s="86">
        <v>1</v>
      </c>
      <c r="E265">
        <v>3</v>
      </c>
      <c r="F265">
        <v>3</v>
      </c>
      <c r="G265">
        <v>14</v>
      </c>
      <c r="H265">
        <v>9</v>
      </c>
      <c r="I265">
        <v>1</v>
      </c>
      <c r="J265">
        <v>0.64</v>
      </c>
      <c r="K265">
        <v>0</v>
      </c>
      <c r="L265">
        <v>0</v>
      </c>
      <c r="M265">
        <v>0</v>
      </c>
      <c r="N265">
        <v>0</v>
      </c>
      <c r="O265">
        <v>0</v>
      </c>
      <c r="P265">
        <v>1</v>
      </c>
      <c r="Q265">
        <v>0</v>
      </c>
      <c r="R265">
        <v>1</v>
      </c>
      <c r="S265">
        <v>0</v>
      </c>
      <c r="T265">
        <v>0</v>
      </c>
      <c r="U265">
        <v>0</v>
      </c>
      <c r="V265">
        <v>0</v>
      </c>
      <c r="W265">
        <v>1</v>
      </c>
      <c r="X265">
        <v>0</v>
      </c>
      <c r="Y265">
        <v>0</v>
      </c>
      <c r="Z265">
        <f>AVERAGEIFS($C$2:C265, $B$2:B265, B265)</f>
        <v>11.333333333333334</v>
      </c>
      <c r="AA265">
        <f>AVERAGEIFS($I$2:I265, $B$2:B265, B265)</f>
        <v>0.6875</v>
      </c>
      <c r="AB265">
        <f>AVERAGEIFS($J$2:J265, $B$2:B265, B265)</f>
        <v>0.60416666666666663</v>
      </c>
      <c r="AC265">
        <f>AVERAGEIFS($D$2:D265, $B$2:B265, B265)</f>
        <v>0.75</v>
      </c>
    </row>
    <row r="266" spans="1:29" x14ac:dyDescent="0.25">
      <c r="A266" s="85">
        <v>46071</v>
      </c>
      <c r="B266" t="s">
        <v>15</v>
      </c>
      <c r="C266" s="95">
        <v>18</v>
      </c>
      <c r="D266" s="86">
        <v>0</v>
      </c>
      <c r="E266">
        <v>3</v>
      </c>
      <c r="F266">
        <v>0</v>
      </c>
      <c r="G266">
        <v>14</v>
      </c>
      <c r="H266">
        <v>5</v>
      </c>
      <c r="I266">
        <v>0</v>
      </c>
      <c r="J266">
        <v>0.36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f>AVERAGEIFS($C$2:C266, $B$2:B266, B266)</f>
        <v>25.266666666666666</v>
      </c>
      <c r="AA266">
        <f>AVERAGEIFS($I$2:I266, $B$2:B266, B266)</f>
        <v>0.42333333333333339</v>
      </c>
      <c r="AB266">
        <f>AVERAGEIFS($J$2:J266, $B$2:B266, B266)</f>
        <v>0.46400000000000002</v>
      </c>
      <c r="AC266">
        <f>AVERAGEIFS($D$2:D266, $B$2:B266, B266)</f>
        <v>0.26666666666666666</v>
      </c>
    </row>
    <row r="267" spans="1:29" x14ac:dyDescent="0.25">
      <c r="A267" s="85">
        <v>46071</v>
      </c>
      <c r="B267" t="s">
        <v>17</v>
      </c>
      <c r="C267" s="95">
        <v>11</v>
      </c>
      <c r="D267" s="86">
        <v>0</v>
      </c>
      <c r="E267">
        <v>3</v>
      </c>
      <c r="F267">
        <v>0</v>
      </c>
      <c r="G267">
        <v>14</v>
      </c>
      <c r="H267">
        <v>5</v>
      </c>
      <c r="I267">
        <v>0</v>
      </c>
      <c r="J267">
        <v>0.36</v>
      </c>
      <c r="K267">
        <v>0</v>
      </c>
      <c r="L267">
        <v>0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f>AVERAGEIFS($C$2:C267, $B$2:B267, B267)</f>
        <v>24.473684210526315</v>
      </c>
      <c r="AA267">
        <f>AVERAGEIFS($I$2:I267, $B$2:B267, B267)</f>
        <v>0.55263157894736847</v>
      </c>
      <c r="AB267">
        <f>AVERAGEIFS($J$2:J267, $B$2:B267, B267)</f>
        <v>0.54105263157894734</v>
      </c>
      <c r="AC267">
        <f>AVERAGEIFS($D$2:D267, $B$2:B267, B267)</f>
        <v>0.47368421052631576</v>
      </c>
    </row>
    <row r="268" spans="1:29" x14ac:dyDescent="0.25">
      <c r="A268" s="85">
        <v>46071</v>
      </c>
      <c r="B268" t="s">
        <v>27</v>
      </c>
      <c r="C268" s="95">
        <v>9</v>
      </c>
      <c r="D268" s="86">
        <v>0</v>
      </c>
      <c r="E268">
        <v>3</v>
      </c>
      <c r="F268">
        <v>0</v>
      </c>
      <c r="G268">
        <v>14</v>
      </c>
      <c r="H268">
        <v>5</v>
      </c>
      <c r="I268">
        <v>0</v>
      </c>
      <c r="J268">
        <v>0.36</v>
      </c>
      <c r="K268">
        <v>0</v>
      </c>
      <c r="L268">
        <v>0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f>AVERAGEIFS($C$2:C268, $B$2:B268, B268)</f>
        <v>13</v>
      </c>
      <c r="AA268">
        <f>AVERAGEIFS($I$2:I268, $B$2:B268, B268)</f>
        <v>0.47272727272727266</v>
      </c>
      <c r="AB268">
        <f>AVERAGEIFS($J$2:J268, $B$2:B268, B268)</f>
        <v>0.48545454545454553</v>
      </c>
      <c r="AC268">
        <f>AVERAGEIFS($D$2:D268, $B$2:B268, B268)</f>
        <v>0.54545454545454541</v>
      </c>
    </row>
    <row r="269" spans="1:29" x14ac:dyDescent="0.25">
      <c r="A269" s="85">
        <v>46071</v>
      </c>
      <c r="B269" t="s">
        <v>28</v>
      </c>
      <c r="C269" s="95">
        <v>5</v>
      </c>
      <c r="D269" s="86">
        <v>0</v>
      </c>
      <c r="E269">
        <v>3</v>
      </c>
      <c r="F269">
        <v>0</v>
      </c>
      <c r="G269">
        <v>14</v>
      </c>
      <c r="H269">
        <v>5</v>
      </c>
      <c r="I269">
        <v>0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0</v>
      </c>
      <c r="Y269">
        <v>0</v>
      </c>
      <c r="Z269">
        <f>AVERAGEIFS($C$2:C269, $B$2:B269, B269)</f>
        <v>12.307692307692308</v>
      </c>
      <c r="AA269">
        <f>AVERAGEIFS($I$2:I269, $B$2:B269, B269)</f>
        <v>0.38461538461538464</v>
      </c>
      <c r="AB269">
        <f>AVERAGEIFS($J$2:J269, $B$2:B269, B269)</f>
        <v>0.44384615384615383</v>
      </c>
      <c r="AC269">
        <f>AVERAGEIFS($D$2:D269, $B$2:B269, B269)</f>
        <v>0.38461538461538464</v>
      </c>
    </row>
    <row r="270" spans="1:29" x14ac:dyDescent="0.25">
      <c r="A270" s="85">
        <v>46071</v>
      </c>
      <c r="B270" t="s">
        <v>29</v>
      </c>
      <c r="C270" s="95">
        <v>2</v>
      </c>
      <c r="D270" s="86">
        <v>0</v>
      </c>
      <c r="E270">
        <v>3</v>
      </c>
      <c r="F270">
        <v>0</v>
      </c>
      <c r="G270">
        <v>14</v>
      </c>
      <c r="H270">
        <v>5</v>
      </c>
      <c r="I270">
        <v>0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0</v>
      </c>
      <c r="Y270">
        <v>0</v>
      </c>
      <c r="Z270">
        <f>AVERAGEIFS($C$2:C270, $B$2:B270, B270)</f>
        <v>9.4615384615384617</v>
      </c>
      <c r="AA270">
        <f>AVERAGEIFS($I$2:I270, $B$2:B270, B270)</f>
        <v>0.43461538461538457</v>
      </c>
      <c r="AB270">
        <f>AVERAGEIFS($J$2:J270, $B$2:B270, B270)</f>
        <v>0.47923076923076918</v>
      </c>
      <c r="AC270">
        <f>AVERAGEIFS($D$2:D270, $B$2:B270, B270)</f>
        <v>0.46153846153846156</v>
      </c>
    </row>
    <row r="271" spans="1:29" x14ac:dyDescent="0.25">
      <c r="A271" s="85">
        <v>46074</v>
      </c>
      <c r="B271" t="s">
        <v>1</v>
      </c>
      <c r="C271" s="95">
        <v>32</v>
      </c>
      <c r="D271" s="86">
        <v>1</v>
      </c>
      <c r="E271">
        <v>4</v>
      </c>
      <c r="F271">
        <v>3</v>
      </c>
      <c r="G271">
        <v>18</v>
      </c>
      <c r="H271">
        <v>10</v>
      </c>
      <c r="I271">
        <v>0.75</v>
      </c>
      <c r="J271">
        <v>0.56000000000000005</v>
      </c>
      <c r="K271">
        <v>0</v>
      </c>
      <c r="L271">
        <v>1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f>AVERAGEIFS($C$2:C271, $B$2:B271, B271)</f>
        <v>27.833333333333332</v>
      </c>
      <c r="AA271">
        <f>AVERAGEIFS($I$2:I271, $B$2:B271, B271)</f>
        <v>0.55833333333333335</v>
      </c>
      <c r="AB271">
        <f>AVERAGEIFS($J$2:J271, $B$2:B271, B271)</f>
        <v>0.49833333333333335</v>
      </c>
      <c r="AC271">
        <f>AVERAGEIFS($D$2:D271, $B$2:B271, B271)</f>
        <v>0.66666666666666663</v>
      </c>
    </row>
    <row r="272" spans="1:29" x14ac:dyDescent="0.25">
      <c r="A272" s="85">
        <v>46074</v>
      </c>
      <c r="B272" t="s">
        <v>2</v>
      </c>
      <c r="C272" s="95">
        <v>32</v>
      </c>
      <c r="D272" s="86">
        <v>1</v>
      </c>
      <c r="E272">
        <v>4</v>
      </c>
      <c r="F272">
        <v>3</v>
      </c>
      <c r="G272">
        <v>18</v>
      </c>
      <c r="H272">
        <v>10</v>
      </c>
      <c r="I272">
        <v>0.75</v>
      </c>
      <c r="J272">
        <v>0.56000000000000005</v>
      </c>
      <c r="K272">
        <v>0</v>
      </c>
      <c r="L272">
        <v>1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f>AVERAGEIFS($C$2:C272, $B$2:B272, B272)</f>
        <v>25.666666666666668</v>
      </c>
      <c r="AA272">
        <f>AVERAGEIFS($I$2:I272, $B$2:B272, B272)</f>
        <v>0.50555555555555554</v>
      </c>
      <c r="AB272">
        <f>AVERAGEIFS($J$2:J272, $B$2:B272, B272)</f>
        <v>0.50888888888888895</v>
      </c>
      <c r="AC272">
        <f>AVERAGEIFS($D$2:D272, $B$2:B272, B272)</f>
        <v>0.44444444444444442</v>
      </c>
    </row>
    <row r="273" spans="1:29" x14ac:dyDescent="0.25">
      <c r="A273" s="85">
        <v>46074</v>
      </c>
      <c r="B273" t="s">
        <v>3</v>
      </c>
      <c r="C273" s="95">
        <v>29</v>
      </c>
      <c r="D273" s="86">
        <v>1</v>
      </c>
      <c r="E273">
        <v>4</v>
      </c>
      <c r="F273">
        <v>3</v>
      </c>
      <c r="G273">
        <v>18</v>
      </c>
      <c r="H273">
        <v>10</v>
      </c>
      <c r="I273">
        <v>0.75</v>
      </c>
      <c r="J273">
        <v>0.56000000000000005</v>
      </c>
      <c r="K273">
        <v>0</v>
      </c>
      <c r="L273">
        <v>1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f>AVERAGEIFS($C$2:C273, $B$2:B273, B273)</f>
        <v>23.555555555555557</v>
      </c>
      <c r="AA273">
        <f>AVERAGEIFS($I$2:I273, $B$2:B273, B273)</f>
        <v>0.52222222222222225</v>
      </c>
      <c r="AB273">
        <f>AVERAGEIFS($J$2:J273, $B$2:B273, B273)</f>
        <v>0.50222222222222213</v>
      </c>
      <c r="AC273">
        <f>AVERAGEIFS($D$2:D273, $B$2:B273, B273)</f>
        <v>0.66666666666666663</v>
      </c>
    </row>
    <row r="274" spans="1:29" x14ac:dyDescent="0.25">
      <c r="A274" s="85">
        <v>46074</v>
      </c>
      <c r="B274" t="s">
        <v>4</v>
      </c>
      <c r="C274" s="95">
        <v>24</v>
      </c>
      <c r="D274" s="86">
        <v>1</v>
      </c>
      <c r="E274">
        <v>4</v>
      </c>
      <c r="F274">
        <v>3</v>
      </c>
      <c r="G274">
        <v>18</v>
      </c>
      <c r="H274">
        <v>10</v>
      </c>
      <c r="I274">
        <v>0.75</v>
      </c>
      <c r="J274">
        <v>0.56000000000000005</v>
      </c>
      <c r="K274">
        <v>0</v>
      </c>
      <c r="L274">
        <v>1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f>AVERAGEIFS($C$2:C274, $B$2:B274, B274)</f>
        <v>16.5</v>
      </c>
      <c r="AA274">
        <f>AVERAGEIFS($I$2:I274, $B$2:B274, B274)</f>
        <v>0.875</v>
      </c>
      <c r="AB274">
        <f>AVERAGEIFS($J$2:J274, $B$2:B274, B274)</f>
        <v>0.69</v>
      </c>
      <c r="AC274">
        <f>AVERAGEIFS($D$2:D274, $B$2:B274, B274)</f>
        <v>1</v>
      </c>
    </row>
    <row r="275" spans="1:29" x14ac:dyDescent="0.25">
      <c r="A275" s="85">
        <v>46074</v>
      </c>
      <c r="B275" t="s">
        <v>5</v>
      </c>
      <c r="C275" s="95">
        <v>23</v>
      </c>
      <c r="D275" s="86">
        <v>1</v>
      </c>
      <c r="E275">
        <v>4</v>
      </c>
      <c r="F275">
        <v>3</v>
      </c>
      <c r="G275">
        <v>18</v>
      </c>
      <c r="H275">
        <v>10</v>
      </c>
      <c r="I275">
        <v>0.75</v>
      </c>
      <c r="J275">
        <v>0.56000000000000005</v>
      </c>
      <c r="K275">
        <v>0</v>
      </c>
      <c r="L275">
        <v>1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0</v>
      </c>
      <c r="V275">
        <v>0</v>
      </c>
      <c r="W275">
        <v>0</v>
      </c>
      <c r="X275">
        <v>1</v>
      </c>
      <c r="Y275">
        <v>0</v>
      </c>
      <c r="Z275">
        <f>AVERAGEIFS($C$2:C275, $B$2:B275, B275)</f>
        <v>26.25</v>
      </c>
      <c r="AA275">
        <f>AVERAGEIFS($I$2:I275, $B$2:B275, B275)</f>
        <v>0.48125000000000001</v>
      </c>
      <c r="AB275">
        <f>AVERAGEIFS($J$2:J275, $B$2:B275, B275)</f>
        <v>0.48749999999999999</v>
      </c>
      <c r="AC275">
        <f>AVERAGEIFS($D$2:D275, $B$2:B275, B275)</f>
        <v>0.5</v>
      </c>
    </row>
    <row r="276" spans="1:29" x14ac:dyDescent="0.25">
      <c r="A276" s="85">
        <v>46074</v>
      </c>
      <c r="B276" t="s">
        <v>6</v>
      </c>
      <c r="C276" s="95">
        <v>19</v>
      </c>
      <c r="D276" s="86">
        <v>1</v>
      </c>
      <c r="E276">
        <v>4</v>
      </c>
      <c r="F276">
        <v>3</v>
      </c>
      <c r="G276">
        <v>18</v>
      </c>
      <c r="H276">
        <v>10</v>
      </c>
      <c r="I276">
        <v>0.75</v>
      </c>
      <c r="J276">
        <v>0.56000000000000005</v>
      </c>
      <c r="K276">
        <v>0</v>
      </c>
      <c r="L276">
        <v>1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0</v>
      </c>
      <c r="V276">
        <v>0</v>
      </c>
      <c r="W276">
        <v>0</v>
      </c>
      <c r="X276">
        <v>1</v>
      </c>
      <c r="Y276">
        <v>0</v>
      </c>
      <c r="Z276">
        <f>AVERAGEIFS($C$2:C276, $B$2:B276, B276)</f>
        <v>22.636363636363637</v>
      </c>
      <c r="AA276">
        <f>AVERAGEIFS($I$2:I276, $B$2:B276, B276)</f>
        <v>0.60909090909090902</v>
      </c>
      <c r="AB276">
        <f>AVERAGEIFS($J$2:J276, $B$2:B276, B276)</f>
        <v>0.53818181818181821</v>
      </c>
      <c r="AC276">
        <f>AVERAGEIFS($D$2:D276, $B$2:B276, B276)</f>
        <v>0.72727272727272729</v>
      </c>
    </row>
    <row r="277" spans="1:29" x14ac:dyDescent="0.25">
      <c r="A277" s="85">
        <v>46074</v>
      </c>
      <c r="B277" t="s">
        <v>46</v>
      </c>
      <c r="C277" s="95">
        <v>14</v>
      </c>
      <c r="D277" s="86">
        <v>1</v>
      </c>
      <c r="E277">
        <v>4</v>
      </c>
      <c r="F277">
        <v>3</v>
      </c>
      <c r="G277">
        <v>18</v>
      </c>
      <c r="H277">
        <v>10</v>
      </c>
      <c r="I277">
        <v>0.75</v>
      </c>
      <c r="J277">
        <v>0.56000000000000005</v>
      </c>
      <c r="K277">
        <v>0</v>
      </c>
      <c r="L277">
        <v>1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0</v>
      </c>
      <c r="V277">
        <v>0</v>
      </c>
      <c r="W277">
        <v>0</v>
      </c>
      <c r="X277">
        <v>1</v>
      </c>
      <c r="Y277">
        <v>0</v>
      </c>
      <c r="Z277">
        <f>AVERAGEIFS($C$2:C277, $B$2:B277, B277)</f>
        <v>17.714285714285715</v>
      </c>
      <c r="AA277">
        <f>AVERAGEIFS($I$2:I277, $B$2:B277, B277)</f>
        <v>0.39285714285714285</v>
      </c>
      <c r="AB277">
        <f>AVERAGEIFS($J$2:J277, $B$2:B277, B277)</f>
        <v>0.45428571428571429</v>
      </c>
      <c r="AC277">
        <f>AVERAGEIFS($D$2:D277, $B$2:B277, B277)</f>
        <v>0.42857142857142855</v>
      </c>
    </row>
    <row r="278" spans="1:29" x14ac:dyDescent="0.25">
      <c r="A278" s="85">
        <v>46074</v>
      </c>
      <c r="B278" t="s">
        <v>13</v>
      </c>
      <c r="C278" s="95">
        <v>35</v>
      </c>
      <c r="D278" s="86">
        <v>0</v>
      </c>
      <c r="E278">
        <v>4</v>
      </c>
      <c r="F278">
        <v>1</v>
      </c>
      <c r="G278">
        <v>18</v>
      </c>
      <c r="H278">
        <v>8</v>
      </c>
      <c r="I278">
        <v>0.25</v>
      </c>
      <c r="J278">
        <v>0.44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0</v>
      </c>
      <c r="V278">
        <v>1</v>
      </c>
      <c r="W278">
        <v>0</v>
      </c>
      <c r="X278">
        <v>0</v>
      </c>
      <c r="Y278">
        <v>0</v>
      </c>
      <c r="Z278">
        <f>AVERAGEIFS($C$2:C278, $B$2:B278, B278)</f>
        <v>27.15</v>
      </c>
      <c r="AA278">
        <f>AVERAGEIFS($I$2:I278, $B$2:B278, B278)</f>
        <v>0.55249999999999999</v>
      </c>
      <c r="AB278">
        <f>AVERAGEIFS($J$2:J278, $B$2:B278, B278)</f>
        <v>0.53449999999999998</v>
      </c>
      <c r="AC278">
        <f>AVERAGEIFS($D$2:D278, $B$2:B278, B278)</f>
        <v>0.65</v>
      </c>
    </row>
    <row r="279" spans="1:29" x14ac:dyDescent="0.25">
      <c r="A279" s="85">
        <v>46074</v>
      </c>
      <c r="B279" t="s">
        <v>14</v>
      </c>
      <c r="C279" s="95">
        <v>32</v>
      </c>
      <c r="D279" s="86">
        <v>0</v>
      </c>
      <c r="E279">
        <v>4</v>
      </c>
      <c r="F279">
        <v>1</v>
      </c>
      <c r="G279">
        <v>18</v>
      </c>
      <c r="H279">
        <v>8</v>
      </c>
      <c r="I279">
        <v>0.25</v>
      </c>
      <c r="J279">
        <v>0.44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0</v>
      </c>
      <c r="V279">
        <v>1</v>
      </c>
      <c r="W279">
        <v>0</v>
      </c>
      <c r="X279">
        <v>0</v>
      </c>
      <c r="Y279">
        <v>0</v>
      </c>
      <c r="Z279">
        <f>AVERAGEIFS($C$2:C279, $B$2:B279, B279)</f>
        <v>24.941176470588236</v>
      </c>
      <c r="AA279">
        <f>AVERAGEIFS($I$2:I279, $B$2:B279, B279)</f>
        <v>0.54705882352941182</v>
      </c>
      <c r="AB279">
        <f>AVERAGEIFS($J$2:J279, $B$2:B279, B279)</f>
        <v>0.51411764705882346</v>
      </c>
      <c r="AC279">
        <f>AVERAGEIFS($D$2:D279, $B$2:B279, B279)</f>
        <v>0.58823529411764708</v>
      </c>
    </row>
    <row r="280" spans="1:29" x14ac:dyDescent="0.25">
      <c r="A280" s="85">
        <v>46074</v>
      </c>
      <c r="B280" t="s">
        <v>15</v>
      </c>
      <c r="C280" s="95">
        <v>31</v>
      </c>
      <c r="D280" s="86">
        <v>0</v>
      </c>
      <c r="E280">
        <v>4</v>
      </c>
      <c r="F280">
        <v>1</v>
      </c>
      <c r="G280">
        <v>18</v>
      </c>
      <c r="H280">
        <v>8</v>
      </c>
      <c r="I280">
        <v>0.25</v>
      </c>
      <c r="J280">
        <v>0.44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0</v>
      </c>
      <c r="V280">
        <v>1</v>
      </c>
      <c r="W280">
        <v>0</v>
      </c>
      <c r="X280">
        <v>0</v>
      </c>
      <c r="Y280">
        <v>0</v>
      </c>
      <c r="Z280">
        <f>AVERAGEIFS($C$2:C280, $B$2:B280, B280)</f>
        <v>25.625</v>
      </c>
      <c r="AA280">
        <f>AVERAGEIFS($I$2:I280, $B$2:B280, B280)</f>
        <v>0.41250000000000003</v>
      </c>
      <c r="AB280">
        <f>AVERAGEIFS($J$2:J280, $B$2:B280, B280)</f>
        <v>0.46250000000000002</v>
      </c>
      <c r="AC280">
        <f>AVERAGEIFS($D$2:D280, $B$2:B280, B280)</f>
        <v>0.25</v>
      </c>
    </row>
    <row r="281" spans="1:29" x14ac:dyDescent="0.25">
      <c r="A281" s="85">
        <v>46074</v>
      </c>
      <c r="B281" t="s">
        <v>17</v>
      </c>
      <c r="C281" s="95">
        <v>27</v>
      </c>
      <c r="D281" s="86">
        <v>0</v>
      </c>
      <c r="E281">
        <v>4</v>
      </c>
      <c r="F281">
        <v>1</v>
      </c>
      <c r="G281">
        <v>18</v>
      </c>
      <c r="H281">
        <v>8</v>
      </c>
      <c r="I281">
        <v>0.25</v>
      </c>
      <c r="J281">
        <v>0.44</v>
      </c>
      <c r="K281">
        <v>0</v>
      </c>
      <c r="L281">
        <v>0</v>
      </c>
      <c r="M281">
        <v>0</v>
      </c>
      <c r="N281">
        <v>0</v>
      </c>
      <c r="O281">
        <v>0</v>
      </c>
      <c r="P281">
        <v>0</v>
      </c>
      <c r="Q281">
        <v>0</v>
      </c>
      <c r="R281">
        <v>0</v>
      </c>
      <c r="S281">
        <v>0</v>
      </c>
      <c r="T281">
        <v>0</v>
      </c>
      <c r="U281">
        <v>0</v>
      </c>
      <c r="V281">
        <v>1</v>
      </c>
      <c r="W281">
        <v>0</v>
      </c>
      <c r="X281">
        <v>0</v>
      </c>
      <c r="Y281">
        <v>0</v>
      </c>
      <c r="Z281">
        <f>AVERAGEIFS($C$2:C281, $B$2:B281, B281)</f>
        <v>24.6</v>
      </c>
      <c r="AA281">
        <f>AVERAGEIFS($I$2:I281, $B$2:B281, B281)</f>
        <v>0.53750000000000009</v>
      </c>
      <c r="AB281">
        <f>AVERAGEIFS($J$2:J281, $B$2:B281, B281)</f>
        <v>0.53599999999999992</v>
      </c>
      <c r="AC281">
        <f>AVERAGEIFS($D$2:D281, $B$2:B281, B281)</f>
        <v>0.45</v>
      </c>
    </row>
    <row r="282" spans="1:29" x14ac:dyDescent="0.25">
      <c r="A282" s="85">
        <v>46074</v>
      </c>
      <c r="B282" t="s">
        <v>18</v>
      </c>
      <c r="C282" s="95">
        <v>20</v>
      </c>
      <c r="D282" s="86">
        <v>0</v>
      </c>
      <c r="E282">
        <v>4</v>
      </c>
      <c r="F282">
        <v>1</v>
      </c>
      <c r="G282">
        <v>18</v>
      </c>
      <c r="H282">
        <v>8</v>
      </c>
      <c r="I282">
        <v>0.25</v>
      </c>
      <c r="J282">
        <v>0.44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0</v>
      </c>
      <c r="T282">
        <v>0</v>
      </c>
      <c r="U282">
        <v>0</v>
      </c>
      <c r="V282">
        <v>1</v>
      </c>
      <c r="W282">
        <v>0</v>
      </c>
      <c r="X282">
        <v>0</v>
      </c>
      <c r="Y282">
        <v>0</v>
      </c>
      <c r="Z282">
        <f>AVERAGEIFS($C$2:C282, $B$2:B282, B282)</f>
        <v>25.777777777777779</v>
      </c>
      <c r="AA282">
        <f>AVERAGEIFS($I$2:I282, $B$2:B282, B282)</f>
        <v>0.40555555555555556</v>
      </c>
      <c r="AB282">
        <f>AVERAGEIFS($J$2:J282, $B$2:B282, B282)</f>
        <v>0.45111111111111107</v>
      </c>
      <c r="AC282">
        <f>AVERAGEIFS($D$2:D282, $B$2:B282, B282)</f>
        <v>0.33333333333333331</v>
      </c>
    </row>
    <row r="283" spans="1:29" x14ac:dyDescent="0.25">
      <c r="A283" s="85">
        <v>46074</v>
      </c>
      <c r="B283" t="s">
        <v>19</v>
      </c>
      <c r="C283" s="95">
        <v>15</v>
      </c>
      <c r="D283" s="86">
        <v>0</v>
      </c>
      <c r="E283">
        <v>4</v>
      </c>
      <c r="F283">
        <v>1</v>
      </c>
      <c r="G283">
        <v>18</v>
      </c>
      <c r="H283">
        <v>8</v>
      </c>
      <c r="I283">
        <v>0.25</v>
      </c>
      <c r="J283">
        <v>0.44</v>
      </c>
      <c r="K283">
        <v>0</v>
      </c>
      <c r="L283">
        <v>0</v>
      </c>
      <c r="M283">
        <v>0</v>
      </c>
      <c r="N283">
        <v>0</v>
      </c>
      <c r="O283">
        <v>0</v>
      </c>
      <c r="P283">
        <v>0</v>
      </c>
      <c r="Q283">
        <v>0</v>
      </c>
      <c r="R283">
        <v>0</v>
      </c>
      <c r="S283">
        <v>0</v>
      </c>
      <c r="T283">
        <v>0</v>
      </c>
      <c r="U283">
        <v>0</v>
      </c>
      <c r="V283">
        <v>1</v>
      </c>
      <c r="W283">
        <v>0</v>
      </c>
      <c r="X283">
        <v>0</v>
      </c>
      <c r="Y283">
        <v>0</v>
      </c>
      <c r="Z283">
        <f>AVERAGEIFS($C$2:C283, $B$2:B283, B283)</f>
        <v>11.222222222222221</v>
      </c>
      <c r="AA283">
        <f>AVERAGEIFS($I$2:I283, $B$2:B283, B283)</f>
        <v>0.39166666666666672</v>
      </c>
      <c r="AB283">
        <f>AVERAGEIFS($J$2:J283, $B$2:B283, B283)</f>
        <v>0.44500000000000001</v>
      </c>
      <c r="AC283">
        <f>AVERAGEIFS($D$2:D283, $B$2:B283, B283)</f>
        <v>0.33333333333333331</v>
      </c>
    </row>
    <row r="284" spans="1:29" x14ac:dyDescent="0.25">
      <c r="A284" s="85">
        <v>46074</v>
      </c>
      <c r="B284" t="s">
        <v>20</v>
      </c>
      <c r="C284" s="95">
        <v>14</v>
      </c>
      <c r="D284" s="86">
        <v>0</v>
      </c>
      <c r="E284">
        <v>4</v>
      </c>
      <c r="F284">
        <v>1</v>
      </c>
      <c r="G284">
        <v>18</v>
      </c>
      <c r="H284">
        <v>8</v>
      </c>
      <c r="I284">
        <v>0.25</v>
      </c>
      <c r="J284">
        <v>0.44</v>
      </c>
      <c r="K284">
        <v>0</v>
      </c>
      <c r="L284">
        <v>0</v>
      </c>
      <c r="M284">
        <v>0</v>
      </c>
      <c r="N284">
        <v>0</v>
      </c>
      <c r="O284">
        <v>0</v>
      </c>
      <c r="P284">
        <v>0</v>
      </c>
      <c r="Q284">
        <v>0</v>
      </c>
      <c r="R284">
        <v>0</v>
      </c>
      <c r="S284">
        <v>0</v>
      </c>
      <c r="T284">
        <v>0</v>
      </c>
      <c r="U284">
        <v>0</v>
      </c>
      <c r="V284">
        <v>1</v>
      </c>
      <c r="W284">
        <v>0</v>
      </c>
      <c r="X284">
        <v>0</v>
      </c>
      <c r="Y284">
        <v>0</v>
      </c>
      <c r="Z284">
        <f>AVERAGEIFS($C$2:C284, $B$2:B284, B284)</f>
        <v>12.928571428571429</v>
      </c>
      <c r="AA284">
        <f>AVERAGEIFS($I$2:I284, $B$2:B284, B284)</f>
        <v>0.45357142857142857</v>
      </c>
      <c r="AB284">
        <f>AVERAGEIFS($J$2:J284, $B$2:B284, B284)</f>
        <v>0.4757142857142857</v>
      </c>
      <c r="AC284">
        <f>AVERAGEIFS($D$2:D284, $B$2:B284, B284)</f>
        <v>0.2857142857142857</v>
      </c>
    </row>
    <row r="285" spans="1:29" x14ac:dyDescent="0.25">
      <c r="A285" s="85">
        <v>46075</v>
      </c>
      <c r="B285" t="s">
        <v>18</v>
      </c>
      <c r="C285" s="95">
        <v>36</v>
      </c>
      <c r="D285" s="86">
        <v>1</v>
      </c>
      <c r="E285">
        <v>4</v>
      </c>
      <c r="F285">
        <v>3</v>
      </c>
      <c r="G285">
        <v>18</v>
      </c>
      <c r="H285">
        <v>10</v>
      </c>
      <c r="I285">
        <v>0.75</v>
      </c>
      <c r="J285">
        <v>0.56000000000000005</v>
      </c>
      <c r="K285">
        <v>0</v>
      </c>
      <c r="L285">
        <v>0</v>
      </c>
      <c r="M285">
        <v>0</v>
      </c>
      <c r="N285">
        <v>1</v>
      </c>
      <c r="O285">
        <v>0</v>
      </c>
      <c r="P285">
        <v>1</v>
      </c>
      <c r="Q285">
        <v>0</v>
      </c>
      <c r="R285">
        <v>0</v>
      </c>
      <c r="S285">
        <v>0</v>
      </c>
      <c r="T285">
        <v>0</v>
      </c>
      <c r="U285">
        <v>0</v>
      </c>
      <c r="V285">
        <v>1</v>
      </c>
      <c r="W285">
        <v>0</v>
      </c>
      <c r="X285">
        <v>0</v>
      </c>
      <c r="Y285">
        <v>0</v>
      </c>
      <c r="Z285">
        <f>AVERAGEIFS($C$2:C285, $B$2:B285, B285)</f>
        <v>26.8</v>
      </c>
      <c r="AA285">
        <f>AVERAGEIFS($I$2:I285, $B$2:B285, B285)</f>
        <v>0.44000000000000006</v>
      </c>
      <c r="AB285">
        <f>AVERAGEIFS($J$2:J285, $B$2:B285, B285)</f>
        <v>0.46199999999999991</v>
      </c>
      <c r="AC285">
        <f>AVERAGEIFS($D$2:D285, $B$2:B285, B285)</f>
        <v>0.4</v>
      </c>
    </row>
    <row r="286" spans="1:29" x14ac:dyDescent="0.25">
      <c r="A286" s="85">
        <v>46075</v>
      </c>
      <c r="B286" t="s">
        <v>46</v>
      </c>
      <c r="C286" s="95">
        <v>36</v>
      </c>
      <c r="D286" s="86">
        <v>1</v>
      </c>
      <c r="E286">
        <v>4</v>
      </c>
      <c r="F286">
        <v>3</v>
      </c>
      <c r="G286">
        <v>18</v>
      </c>
      <c r="H286">
        <v>10</v>
      </c>
      <c r="I286">
        <v>0.75</v>
      </c>
      <c r="J286">
        <v>0.56000000000000005</v>
      </c>
      <c r="K286">
        <v>0</v>
      </c>
      <c r="L286">
        <v>0</v>
      </c>
      <c r="M286">
        <v>0</v>
      </c>
      <c r="N286">
        <v>1</v>
      </c>
      <c r="O286">
        <v>0</v>
      </c>
      <c r="P286">
        <v>1</v>
      </c>
      <c r="Q286">
        <v>0</v>
      </c>
      <c r="R286">
        <v>0</v>
      </c>
      <c r="S286">
        <v>0</v>
      </c>
      <c r="T286">
        <v>0</v>
      </c>
      <c r="U286">
        <v>0</v>
      </c>
      <c r="V286">
        <v>1</v>
      </c>
      <c r="W286">
        <v>0</v>
      </c>
      <c r="X286">
        <v>0</v>
      </c>
      <c r="Y286">
        <v>0</v>
      </c>
      <c r="Z286">
        <f>AVERAGEIFS($C$2:C286, $B$2:B286, B286)</f>
        <v>20</v>
      </c>
      <c r="AA286">
        <f>AVERAGEIFS($I$2:I286, $B$2:B286, B286)</f>
        <v>0.4375</v>
      </c>
      <c r="AB286">
        <f>AVERAGEIFS($J$2:J286, $B$2:B286, B286)</f>
        <v>0.46750000000000003</v>
      </c>
      <c r="AC286">
        <f>AVERAGEIFS($D$2:D286, $B$2:B286, B286)</f>
        <v>0.5</v>
      </c>
    </row>
    <row r="287" spans="1:29" x14ac:dyDescent="0.25">
      <c r="A287" s="85">
        <v>46075</v>
      </c>
      <c r="B287" t="s">
        <v>6</v>
      </c>
      <c r="C287" s="95">
        <v>25</v>
      </c>
      <c r="D287" s="86">
        <v>1</v>
      </c>
      <c r="E287">
        <v>4</v>
      </c>
      <c r="F287">
        <v>3</v>
      </c>
      <c r="G287">
        <v>18</v>
      </c>
      <c r="H287">
        <v>10</v>
      </c>
      <c r="I287">
        <v>0.75</v>
      </c>
      <c r="J287">
        <v>0.56000000000000005</v>
      </c>
      <c r="K287">
        <v>0</v>
      </c>
      <c r="L287">
        <v>0</v>
      </c>
      <c r="M287">
        <v>0</v>
      </c>
      <c r="N287">
        <v>1</v>
      </c>
      <c r="O287">
        <v>0</v>
      </c>
      <c r="P287">
        <v>1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f>AVERAGEIFS($C$2:C287, $B$2:B287, B287)</f>
        <v>22.833333333333332</v>
      </c>
      <c r="AA287">
        <f>AVERAGEIFS($I$2:I287, $B$2:B287, B287)</f>
        <v>0.62083333333333324</v>
      </c>
      <c r="AB287">
        <f>AVERAGEIFS($J$2:J287, $B$2:B287, B287)</f>
        <v>0.54</v>
      </c>
      <c r="AC287">
        <f>AVERAGEIFS($D$2:D287, $B$2:B287, B287)</f>
        <v>0.75</v>
      </c>
    </row>
    <row r="288" spans="1:29" x14ac:dyDescent="0.25">
      <c r="A288" s="85">
        <v>46075</v>
      </c>
      <c r="B288" t="s">
        <v>51</v>
      </c>
      <c r="C288" s="95">
        <v>22</v>
      </c>
      <c r="D288" s="86">
        <v>1</v>
      </c>
      <c r="E288">
        <v>4</v>
      </c>
      <c r="F288">
        <v>3</v>
      </c>
      <c r="G288">
        <v>18</v>
      </c>
      <c r="H288">
        <v>10</v>
      </c>
      <c r="I288">
        <v>0.75</v>
      </c>
      <c r="J288">
        <v>0.56000000000000005</v>
      </c>
      <c r="K288">
        <v>0</v>
      </c>
      <c r="L288">
        <v>0</v>
      </c>
      <c r="M288">
        <v>0</v>
      </c>
      <c r="N288">
        <v>1</v>
      </c>
      <c r="O288">
        <v>0</v>
      </c>
      <c r="P288">
        <v>1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f>AVERAGEIFS($C$2:C288, $B$2:B288, B288)</f>
        <v>13.636363636363637</v>
      </c>
      <c r="AA288">
        <f>AVERAGEIFS($I$2:I288, $B$2:B288, B288)</f>
        <v>0.57727272727272727</v>
      </c>
      <c r="AB288">
        <f>AVERAGEIFS($J$2:J288, $B$2:B288, B288)</f>
        <v>0.53454545454545466</v>
      </c>
      <c r="AC288">
        <f>AVERAGEIFS($D$2:D288, $B$2:B288, B288)</f>
        <v>0.63636363636363635</v>
      </c>
    </row>
    <row r="289" spans="1:29" x14ac:dyDescent="0.25">
      <c r="A289" s="85">
        <v>46075</v>
      </c>
      <c r="B289" t="s">
        <v>26</v>
      </c>
      <c r="C289" s="95">
        <v>17</v>
      </c>
      <c r="D289" s="86">
        <v>1</v>
      </c>
      <c r="E289">
        <v>4</v>
      </c>
      <c r="F289">
        <v>3</v>
      </c>
      <c r="G289">
        <v>18</v>
      </c>
      <c r="H289">
        <v>10</v>
      </c>
      <c r="I289">
        <v>0.75</v>
      </c>
      <c r="J289">
        <v>0.56000000000000005</v>
      </c>
      <c r="K289">
        <v>0</v>
      </c>
      <c r="L289">
        <v>0</v>
      </c>
      <c r="M289">
        <v>0</v>
      </c>
      <c r="N289">
        <v>1</v>
      </c>
      <c r="O289">
        <v>0</v>
      </c>
      <c r="P289">
        <v>1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f>AVERAGEIFS($C$2:C289, $B$2:B289, B289)</f>
        <v>11.76923076923077</v>
      </c>
      <c r="AA289">
        <f>AVERAGEIFS($I$2:I289, $B$2:B289, B289)</f>
        <v>0.69230769230769229</v>
      </c>
      <c r="AB289">
        <f>AVERAGEIFS($J$2:J289, $B$2:B289, B289)</f>
        <v>0.60076923076923072</v>
      </c>
      <c r="AC289">
        <f>AVERAGEIFS($D$2:D289, $B$2:B289, B289)</f>
        <v>0.76923076923076927</v>
      </c>
    </row>
    <row r="290" spans="1:29" x14ac:dyDescent="0.25">
      <c r="A290" s="85">
        <v>46075</v>
      </c>
      <c r="B290" t="s">
        <v>38</v>
      </c>
      <c r="C290" s="95">
        <v>6</v>
      </c>
      <c r="D290" s="86">
        <v>1</v>
      </c>
      <c r="E290">
        <v>4</v>
      </c>
      <c r="F290">
        <v>3</v>
      </c>
      <c r="G290">
        <v>18</v>
      </c>
      <c r="H290">
        <v>10</v>
      </c>
      <c r="I290">
        <v>0.75</v>
      </c>
      <c r="J290">
        <v>0.56000000000000005</v>
      </c>
      <c r="K290">
        <v>0</v>
      </c>
      <c r="L290">
        <v>0</v>
      </c>
      <c r="M290">
        <v>0</v>
      </c>
      <c r="N290">
        <v>1</v>
      </c>
      <c r="O290">
        <v>0</v>
      </c>
      <c r="P290">
        <v>1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f>AVERAGEIFS($C$2:C290, $B$2:B290, B290)</f>
        <v>3.25</v>
      </c>
      <c r="AA290">
        <f>AVERAGEIFS($I$2:I290, $B$2:B290, B290)</f>
        <v>0.5</v>
      </c>
      <c r="AB290">
        <f>AVERAGEIFS($J$2:J290, $B$2:B290, B290)</f>
        <v>0.48499999999999999</v>
      </c>
      <c r="AC290">
        <f>AVERAGEIFS($D$2:D290, $B$2:B290, B290)</f>
        <v>0.5</v>
      </c>
    </row>
    <row r="291" spans="1:29" x14ac:dyDescent="0.25">
      <c r="A291" s="85">
        <v>46075</v>
      </c>
      <c r="B291" t="s">
        <v>17</v>
      </c>
      <c r="C291" s="95">
        <v>42</v>
      </c>
      <c r="D291" s="86">
        <v>0</v>
      </c>
      <c r="E291">
        <v>4</v>
      </c>
      <c r="F291">
        <v>1</v>
      </c>
      <c r="G291">
        <v>18</v>
      </c>
      <c r="H291">
        <v>8</v>
      </c>
      <c r="I291">
        <v>0.25</v>
      </c>
      <c r="J291">
        <v>0.44</v>
      </c>
      <c r="K291">
        <v>0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0</v>
      </c>
      <c r="W291">
        <v>0</v>
      </c>
      <c r="X291">
        <v>0</v>
      </c>
      <c r="Y291">
        <v>1</v>
      </c>
      <c r="Z291">
        <f>AVERAGEIFS($C$2:C291, $B$2:B291, B291)</f>
        <v>25.428571428571427</v>
      </c>
      <c r="AA291">
        <f>AVERAGEIFS($I$2:I291, $B$2:B291, B291)</f>
        <v>0.52380952380952395</v>
      </c>
      <c r="AB291">
        <f>AVERAGEIFS($J$2:J291, $B$2:B291, B291)</f>
        <v>0.53142857142857136</v>
      </c>
      <c r="AC291">
        <f>AVERAGEIFS($D$2:D291, $B$2:B291, B291)</f>
        <v>0.42857142857142855</v>
      </c>
    </row>
    <row r="292" spans="1:29" x14ac:dyDescent="0.25">
      <c r="A292" s="85">
        <v>46075</v>
      </c>
      <c r="B292" t="s">
        <v>15</v>
      </c>
      <c r="C292" s="95">
        <v>35</v>
      </c>
      <c r="D292" s="86">
        <v>0</v>
      </c>
      <c r="E292">
        <v>4</v>
      </c>
      <c r="F292">
        <v>1</v>
      </c>
      <c r="G292">
        <v>18</v>
      </c>
      <c r="H292">
        <v>8</v>
      </c>
      <c r="I292">
        <v>0.25</v>
      </c>
      <c r="J292">
        <v>0.44</v>
      </c>
      <c r="K292">
        <v>0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0</v>
      </c>
      <c r="W292">
        <v>0</v>
      </c>
      <c r="X292">
        <v>0</v>
      </c>
      <c r="Y292">
        <v>1</v>
      </c>
      <c r="Z292">
        <f>AVERAGEIFS($C$2:C292, $B$2:B292, B292)</f>
        <v>26.176470588235293</v>
      </c>
      <c r="AA292">
        <f>AVERAGEIFS($I$2:I292, $B$2:B292, B292)</f>
        <v>0.40294117647058825</v>
      </c>
      <c r="AB292">
        <f>AVERAGEIFS($J$2:J292, $B$2:B292, B292)</f>
        <v>0.46117647058823535</v>
      </c>
      <c r="AC292">
        <f>AVERAGEIFS($D$2:D292, $B$2:B292, B292)</f>
        <v>0.23529411764705882</v>
      </c>
    </row>
    <row r="293" spans="1:29" x14ac:dyDescent="0.25">
      <c r="A293" s="85">
        <v>46075</v>
      </c>
      <c r="B293" t="s">
        <v>28</v>
      </c>
      <c r="C293" s="95">
        <v>18</v>
      </c>
      <c r="D293" s="86">
        <v>0</v>
      </c>
      <c r="E293">
        <v>4</v>
      </c>
      <c r="F293">
        <v>1</v>
      </c>
      <c r="G293">
        <v>18</v>
      </c>
      <c r="H293">
        <v>8</v>
      </c>
      <c r="I293">
        <v>0.25</v>
      </c>
      <c r="J293">
        <v>0.44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f>AVERAGEIFS($C$2:C293, $B$2:B293, B293)</f>
        <v>12.714285714285714</v>
      </c>
      <c r="AA293">
        <f>AVERAGEIFS($I$2:I293, $B$2:B293, B293)</f>
        <v>0.375</v>
      </c>
      <c r="AB293">
        <f>AVERAGEIFS($J$2:J293, $B$2:B293, B293)</f>
        <v>0.44357142857142856</v>
      </c>
      <c r="AC293">
        <f>AVERAGEIFS($D$2:D293, $B$2:B293, B293)</f>
        <v>0.35714285714285715</v>
      </c>
    </row>
    <row r="294" spans="1:29" x14ac:dyDescent="0.25">
      <c r="A294" s="85">
        <v>46075</v>
      </c>
      <c r="B294" t="s">
        <v>25</v>
      </c>
      <c r="C294" s="95">
        <v>16</v>
      </c>
      <c r="D294" s="86">
        <v>0</v>
      </c>
      <c r="E294">
        <v>4</v>
      </c>
      <c r="F294">
        <v>1</v>
      </c>
      <c r="G294">
        <v>18</v>
      </c>
      <c r="H294">
        <v>8</v>
      </c>
      <c r="I294">
        <v>0.25</v>
      </c>
      <c r="J294">
        <v>0.44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f>AVERAGEIFS($C$2:C294, $B$2:B294, B294)</f>
        <v>14.625</v>
      </c>
      <c r="AA294">
        <f>AVERAGEIFS($I$2:I294, $B$2:B294, B294)</f>
        <v>0.67500000000000004</v>
      </c>
      <c r="AB294">
        <f>AVERAGEIFS($J$2:J294, $B$2:B294, B294)</f>
        <v>0.59875</v>
      </c>
      <c r="AC294">
        <f>AVERAGEIFS($D$2:D294, $B$2:B294, B294)</f>
        <v>0.625</v>
      </c>
    </row>
    <row r="295" spans="1:29" x14ac:dyDescent="0.25">
      <c r="A295" s="85">
        <v>46075</v>
      </c>
      <c r="B295" t="s">
        <v>40</v>
      </c>
      <c r="C295" s="95">
        <v>16</v>
      </c>
      <c r="D295" s="86">
        <v>0</v>
      </c>
      <c r="E295">
        <v>4</v>
      </c>
      <c r="F295">
        <v>1</v>
      </c>
      <c r="G295">
        <v>18</v>
      </c>
      <c r="H295">
        <v>8</v>
      </c>
      <c r="I295">
        <v>0.25</v>
      </c>
      <c r="J295">
        <v>0.44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f>AVERAGEIFS($C$2:C295, $B$2:B295, B295)</f>
        <v>12.333333333333334</v>
      </c>
      <c r="AA295">
        <f>AVERAGEIFS($I$2:I295, $B$2:B295, B295)</f>
        <v>0.16666666666666666</v>
      </c>
      <c r="AB295">
        <f>AVERAGEIFS($J$2:J295, $B$2:B295, B295)</f>
        <v>0.31</v>
      </c>
      <c r="AC295">
        <f>AVERAGEIFS($D$2:D295, $B$2:B295, B295)</f>
        <v>0</v>
      </c>
    </row>
    <row r="296" spans="1:29" x14ac:dyDescent="0.25">
      <c r="A296" s="85">
        <v>46075</v>
      </c>
      <c r="B296" t="s">
        <v>137</v>
      </c>
      <c r="C296" s="95">
        <v>13</v>
      </c>
      <c r="D296" s="86">
        <v>0</v>
      </c>
      <c r="E296">
        <v>4</v>
      </c>
      <c r="F296">
        <v>1</v>
      </c>
      <c r="G296">
        <v>18</v>
      </c>
      <c r="H296">
        <v>8</v>
      </c>
      <c r="I296">
        <v>0.25</v>
      </c>
      <c r="J296">
        <v>0.44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f>AVERAGEIFS($C$2:C296, $B$2:B296, B296)</f>
        <v>9</v>
      </c>
      <c r="AA296">
        <f>AVERAGEIFS($I$2:I296, $B$2:B296, B296)</f>
        <v>0.6</v>
      </c>
      <c r="AB296">
        <f>AVERAGEIFS($J$2:J296, $B$2:B296, B296)</f>
        <v>0.54499999999999993</v>
      </c>
      <c r="AC296">
        <f>AVERAGEIFS($D$2:D296, $B$2:B296, B296)</f>
        <v>0.5</v>
      </c>
    </row>
    <row r="297" spans="1:29" x14ac:dyDescent="0.25">
      <c r="A297" s="85">
        <v>46075</v>
      </c>
      <c r="B297" t="s">
        <v>13</v>
      </c>
      <c r="C297" s="95">
        <v>38</v>
      </c>
      <c r="D297" s="86">
        <v>1</v>
      </c>
      <c r="E297">
        <v>4</v>
      </c>
      <c r="F297">
        <v>3</v>
      </c>
      <c r="G297">
        <v>16</v>
      </c>
      <c r="H297">
        <v>10</v>
      </c>
      <c r="I297">
        <v>0.75</v>
      </c>
      <c r="J297">
        <v>0.63</v>
      </c>
      <c r="K297">
        <v>0</v>
      </c>
      <c r="L297">
        <v>1</v>
      </c>
      <c r="M297">
        <v>0</v>
      </c>
      <c r="N297">
        <v>1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1</v>
      </c>
      <c r="W297">
        <v>0</v>
      </c>
      <c r="X297">
        <v>0</v>
      </c>
      <c r="Y297">
        <v>0</v>
      </c>
      <c r="Z297">
        <f>AVERAGEIFS($C$2:C297, $B$2:B297, B297)</f>
        <v>27.666666666666668</v>
      </c>
      <c r="AA297">
        <f>AVERAGEIFS($I$2:I297, $B$2:B297, B297)</f>
        <v>0.56190476190476191</v>
      </c>
      <c r="AB297">
        <f>AVERAGEIFS($J$2:J297, $B$2:B297, B297)</f>
        <v>0.53904761904761911</v>
      </c>
      <c r="AC297">
        <f>AVERAGEIFS($D$2:D297, $B$2:B297, B297)</f>
        <v>0.66666666666666663</v>
      </c>
    </row>
    <row r="298" spans="1:29" x14ac:dyDescent="0.25">
      <c r="A298" s="85">
        <v>46075</v>
      </c>
      <c r="B298" t="s">
        <v>2</v>
      </c>
      <c r="C298" s="95">
        <v>29</v>
      </c>
      <c r="D298" s="86">
        <v>1</v>
      </c>
      <c r="E298">
        <v>4</v>
      </c>
      <c r="F298">
        <v>3</v>
      </c>
      <c r="G298">
        <v>16</v>
      </c>
      <c r="H298">
        <v>10</v>
      </c>
      <c r="I298">
        <v>0.75</v>
      </c>
      <c r="J298">
        <v>0.63</v>
      </c>
      <c r="K298">
        <v>0</v>
      </c>
      <c r="L298">
        <v>1</v>
      </c>
      <c r="M298">
        <v>0</v>
      </c>
      <c r="N298">
        <v>1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1</v>
      </c>
      <c r="W298">
        <v>0</v>
      </c>
      <c r="X298">
        <v>0</v>
      </c>
      <c r="Y298">
        <v>0</v>
      </c>
      <c r="Z298">
        <f>AVERAGEIFS($C$2:C298, $B$2:B298, B298)</f>
        <v>26</v>
      </c>
      <c r="AA298">
        <f>AVERAGEIFS($I$2:I298, $B$2:B298, B298)</f>
        <v>0.53</v>
      </c>
      <c r="AB298">
        <f>AVERAGEIFS($J$2:J298, $B$2:B298, B298)</f>
        <v>0.52100000000000002</v>
      </c>
      <c r="AC298">
        <f>AVERAGEIFS($D$2:D298, $B$2:B298, B298)</f>
        <v>0.5</v>
      </c>
    </row>
    <row r="299" spans="1:29" x14ac:dyDescent="0.25">
      <c r="A299" s="85">
        <v>46075</v>
      </c>
      <c r="B299" t="s">
        <v>45</v>
      </c>
      <c r="C299" s="95">
        <v>17</v>
      </c>
      <c r="D299" s="86">
        <v>1</v>
      </c>
      <c r="E299">
        <v>4</v>
      </c>
      <c r="F299">
        <v>3</v>
      </c>
      <c r="G299">
        <v>16</v>
      </c>
      <c r="H299">
        <v>10</v>
      </c>
      <c r="I299">
        <v>0.75</v>
      </c>
      <c r="J299">
        <v>0.63</v>
      </c>
      <c r="K299">
        <v>0</v>
      </c>
      <c r="L299">
        <v>1</v>
      </c>
      <c r="M299">
        <v>0</v>
      </c>
      <c r="N299">
        <v>1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1</v>
      </c>
      <c r="W299">
        <v>0</v>
      </c>
      <c r="X299">
        <v>0</v>
      </c>
      <c r="Y299">
        <v>0</v>
      </c>
      <c r="Z299">
        <f>AVERAGEIFS($C$2:C299, $B$2:B299, B299)</f>
        <v>9.5714285714285712</v>
      </c>
      <c r="AA299">
        <f>AVERAGEIFS($I$2:I299, $B$2:B299, B299)</f>
        <v>0.41428571428571426</v>
      </c>
      <c r="AB299">
        <f>AVERAGEIFS($J$2:J299, $B$2:B299, B299)</f>
        <v>0.45428571428571424</v>
      </c>
      <c r="AC299">
        <f>AVERAGEIFS($D$2:D299, $B$2:B299, B299)</f>
        <v>0.2857142857142857</v>
      </c>
    </row>
    <row r="300" spans="1:29" x14ac:dyDescent="0.25">
      <c r="A300" s="85">
        <v>46075</v>
      </c>
      <c r="B300" t="s">
        <v>20</v>
      </c>
      <c r="C300" s="95">
        <v>15</v>
      </c>
      <c r="D300" s="86">
        <v>1</v>
      </c>
      <c r="E300">
        <v>4</v>
      </c>
      <c r="F300">
        <v>3</v>
      </c>
      <c r="G300">
        <v>16</v>
      </c>
      <c r="H300">
        <v>10</v>
      </c>
      <c r="I300">
        <v>0.75</v>
      </c>
      <c r="J300">
        <v>0.63</v>
      </c>
      <c r="K300">
        <v>0</v>
      </c>
      <c r="L300">
        <v>1</v>
      </c>
      <c r="M300">
        <v>0</v>
      </c>
      <c r="N300">
        <v>1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1</v>
      </c>
      <c r="W300">
        <v>0</v>
      </c>
      <c r="X300">
        <v>0</v>
      </c>
      <c r="Y300">
        <v>0</v>
      </c>
      <c r="Z300">
        <f>AVERAGEIFS($C$2:C300, $B$2:B300, B300)</f>
        <v>13.066666666666666</v>
      </c>
      <c r="AA300">
        <f>AVERAGEIFS($I$2:I300, $B$2:B300, B300)</f>
        <v>0.47333333333333333</v>
      </c>
      <c r="AB300">
        <f>AVERAGEIFS($J$2:J300, $B$2:B300, B300)</f>
        <v>0.48599999999999999</v>
      </c>
      <c r="AC300">
        <f>AVERAGEIFS($D$2:D300, $B$2:B300, B300)</f>
        <v>0.33333333333333331</v>
      </c>
    </row>
    <row r="301" spans="1:29" x14ac:dyDescent="0.25">
      <c r="A301" s="85">
        <v>46075</v>
      </c>
      <c r="B301" t="s">
        <v>35</v>
      </c>
      <c r="C301" s="95">
        <v>13</v>
      </c>
      <c r="D301" s="86">
        <v>1</v>
      </c>
      <c r="E301">
        <v>4</v>
      </c>
      <c r="F301">
        <v>3</v>
      </c>
      <c r="G301">
        <v>16</v>
      </c>
      <c r="H301">
        <v>10</v>
      </c>
      <c r="I301">
        <v>0.75</v>
      </c>
      <c r="J301">
        <v>0.63</v>
      </c>
      <c r="K301">
        <v>0</v>
      </c>
      <c r="L301">
        <v>1</v>
      </c>
      <c r="M301">
        <v>0</v>
      </c>
      <c r="N301">
        <v>1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1</v>
      </c>
      <c r="W301">
        <v>0</v>
      </c>
      <c r="X301">
        <v>0</v>
      </c>
      <c r="Y301">
        <v>0</v>
      </c>
      <c r="Z301">
        <f>AVERAGEIFS($C$2:C301, $B$2:B301, B301)</f>
        <v>9.8000000000000007</v>
      </c>
      <c r="AA301">
        <f>AVERAGEIFS($I$2:I301, $B$2:B301, B301)</f>
        <v>0.495</v>
      </c>
      <c r="AB301">
        <f>AVERAGEIFS($J$2:J301, $B$2:B301, B301)</f>
        <v>0.52</v>
      </c>
      <c r="AC301">
        <f>AVERAGEIFS($D$2:D301, $B$2:B301, B301)</f>
        <v>0.6</v>
      </c>
    </row>
    <row r="302" spans="1:29" x14ac:dyDescent="0.25">
      <c r="A302" s="85">
        <v>46075</v>
      </c>
      <c r="B302" t="s">
        <v>29</v>
      </c>
      <c r="C302" s="95">
        <v>9</v>
      </c>
      <c r="D302" s="86">
        <v>1</v>
      </c>
      <c r="E302">
        <v>4</v>
      </c>
      <c r="F302">
        <v>3</v>
      </c>
      <c r="G302">
        <v>16</v>
      </c>
      <c r="H302">
        <v>10</v>
      </c>
      <c r="I302">
        <v>0.75</v>
      </c>
      <c r="J302">
        <v>0.63</v>
      </c>
      <c r="K302">
        <v>0</v>
      </c>
      <c r="L302">
        <v>1</v>
      </c>
      <c r="M302">
        <v>0</v>
      </c>
      <c r="N302">
        <v>1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1</v>
      </c>
      <c r="W302">
        <v>0</v>
      </c>
      <c r="X302">
        <v>0</v>
      </c>
      <c r="Y302">
        <v>0</v>
      </c>
      <c r="Z302">
        <f>AVERAGEIFS($C$2:C302, $B$2:B302, B302)</f>
        <v>9.4285714285714288</v>
      </c>
      <c r="AA302">
        <f>AVERAGEIFS($I$2:I302, $B$2:B302, B302)</f>
        <v>0.45714285714285713</v>
      </c>
      <c r="AB302">
        <f>AVERAGEIFS($J$2:J302, $B$2:B302, B302)</f>
        <v>0.48999999999999994</v>
      </c>
      <c r="AC302">
        <f>AVERAGEIFS($D$2:D302, $B$2:B302, B302)</f>
        <v>0.5</v>
      </c>
    </row>
    <row r="303" spans="1:29" x14ac:dyDescent="0.25">
      <c r="A303" s="85">
        <v>46075</v>
      </c>
      <c r="B303" t="s">
        <v>14</v>
      </c>
      <c r="C303" s="95">
        <v>33</v>
      </c>
      <c r="D303" s="86">
        <v>0</v>
      </c>
      <c r="E303">
        <v>4</v>
      </c>
      <c r="F303">
        <v>1</v>
      </c>
      <c r="G303">
        <v>16</v>
      </c>
      <c r="H303">
        <v>6</v>
      </c>
      <c r="I303">
        <v>0.25</v>
      </c>
      <c r="J303">
        <v>0.38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1</v>
      </c>
      <c r="X303">
        <v>0</v>
      </c>
      <c r="Y303">
        <v>0</v>
      </c>
      <c r="Z303">
        <f>AVERAGEIFS($C$2:C303, $B$2:B303, B303)</f>
        <v>25.388888888888889</v>
      </c>
      <c r="AA303">
        <f>AVERAGEIFS($I$2:I303, $B$2:B303, B303)</f>
        <v>0.53055555555555556</v>
      </c>
      <c r="AB303">
        <f>AVERAGEIFS($J$2:J303, $B$2:B303, B303)</f>
        <v>0.5066666666666666</v>
      </c>
      <c r="AC303">
        <f>AVERAGEIFS($D$2:D303, $B$2:B303, B303)</f>
        <v>0.55555555555555558</v>
      </c>
    </row>
    <row r="304" spans="1:29" x14ac:dyDescent="0.25">
      <c r="A304" s="85">
        <v>46075</v>
      </c>
      <c r="B304" t="s">
        <v>3</v>
      </c>
      <c r="C304" s="95">
        <v>18</v>
      </c>
      <c r="D304" s="86">
        <v>0</v>
      </c>
      <c r="E304">
        <v>4</v>
      </c>
      <c r="F304">
        <v>1</v>
      </c>
      <c r="G304">
        <v>16</v>
      </c>
      <c r="H304">
        <v>6</v>
      </c>
      <c r="I304">
        <v>0.25</v>
      </c>
      <c r="J304">
        <v>0.38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1</v>
      </c>
      <c r="X304">
        <v>0</v>
      </c>
      <c r="Y304">
        <v>0</v>
      </c>
      <c r="Z304">
        <f>AVERAGEIFS($C$2:C304, $B$2:B304, B304)</f>
        <v>23</v>
      </c>
      <c r="AA304">
        <f>AVERAGEIFS($I$2:I304, $B$2:B304, B304)</f>
        <v>0.495</v>
      </c>
      <c r="AB304">
        <f>AVERAGEIFS($J$2:J304, $B$2:B304, B304)</f>
        <v>0.48999999999999994</v>
      </c>
      <c r="AC304">
        <f>AVERAGEIFS($D$2:D304, $B$2:B304, B304)</f>
        <v>0.6</v>
      </c>
    </row>
    <row r="305" spans="1:29" x14ac:dyDescent="0.25">
      <c r="A305" s="85">
        <v>46075</v>
      </c>
      <c r="B305" t="s">
        <v>27</v>
      </c>
      <c r="C305" s="95">
        <v>18</v>
      </c>
      <c r="D305" s="86">
        <v>0</v>
      </c>
      <c r="E305">
        <v>4</v>
      </c>
      <c r="F305">
        <v>1</v>
      </c>
      <c r="G305">
        <v>16</v>
      </c>
      <c r="H305">
        <v>6</v>
      </c>
      <c r="I305">
        <v>0.25</v>
      </c>
      <c r="J305">
        <v>0.38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1</v>
      </c>
      <c r="X305">
        <v>0</v>
      </c>
      <c r="Y305">
        <v>0</v>
      </c>
      <c r="Z305">
        <f>AVERAGEIFS($C$2:C305, $B$2:B305, B305)</f>
        <v>13.416666666666666</v>
      </c>
      <c r="AA305">
        <f>AVERAGEIFS($I$2:I305, $B$2:B305, B305)</f>
        <v>0.45416666666666661</v>
      </c>
      <c r="AB305">
        <f>AVERAGEIFS($J$2:J305, $B$2:B305, B305)</f>
        <v>0.47666666666666674</v>
      </c>
      <c r="AC305">
        <f>AVERAGEIFS($D$2:D305, $B$2:B305, B305)</f>
        <v>0.5</v>
      </c>
    </row>
    <row r="306" spans="1:29" x14ac:dyDescent="0.25">
      <c r="A306" s="85">
        <v>46075</v>
      </c>
      <c r="B306" t="s">
        <v>37</v>
      </c>
      <c r="C306" s="95">
        <v>17</v>
      </c>
      <c r="D306" s="86">
        <v>0</v>
      </c>
      <c r="E306">
        <v>4</v>
      </c>
      <c r="F306">
        <v>1</v>
      </c>
      <c r="G306">
        <v>16</v>
      </c>
      <c r="H306">
        <v>6</v>
      </c>
      <c r="I306">
        <v>0.25</v>
      </c>
      <c r="J306">
        <v>0.38</v>
      </c>
      <c r="K306">
        <v>0</v>
      </c>
      <c r="L306">
        <v>0</v>
      </c>
      <c r="M306">
        <v>0</v>
      </c>
      <c r="N306">
        <v>0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1</v>
      </c>
      <c r="X306">
        <v>0</v>
      </c>
      <c r="Y306">
        <v>0</v>
      </c>
      <c r="Z306">
        <f>AVERAGEIFS($C$2:C306, $B$2:B306, B306)</f>
        <v>17.272727272727273</v>
      </c>
      <c r="AA306">
        <f>AVERAGEIFS($I$2:I306, $B$2:B306, B306)</f>
        <v>0.4681818181818182</v>
      </c>
      <c r="AB306">
        <f>AVERAGEIFS($J$2:J306, $B$2:B306, B306)</f>
        <v>0.469090909090909</v>
      </c>
      <c r="AC306">
        <f>AVERAGEIFS($D$2:D306, $B$2:B306, B306)</f>
        <v>0.36363636363636365</v>
      </c>
    </row>
    <row r="307" spans="1:29" x14ac:dyDescent="0.25">
      <c r="A307" s="85">
        <v>46075</v>
      </c>
      <c r="B307" t="s">
        <v>19</v>
      </c>
      <c r="C307" s="95">
        <v>11</v>
      </c>
      <c r="D307" s="86">
        <v>0</v>
      </c>
      <c r="E307">
        <v>4</v>
      </c>
      <c r="F307">
        <v>1</v>
      </c>
      <c r="G307">
        <v>16</v>
      </c>
      <c r="H307">
        <v>6</v>
      </c>
      <c r="I307">
        <v>0.25</v>
      </c>
      <c r="J307">
        <v>0.38</v>
      </c>
      <c r="K307">
        <v>0</v>
      </c>
      <c r="L307">
        <v>0</v>
      </c>
      <c r="M307">
        <v>0</v>
      </c>
      <c r="N307">
        <v>0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1</v>
      </c>
      <c r="X307">
        <v>0</v>
      </c>
      <c r="Y307">
        <v>0</v>
      </c>
      <c r="Z307">
        <f>AVERAGEIFS($C$2:C307, $B$2:B307, B307)</f>
        <v>11.210526315789474</v>
      </c>
      <c r="AA307">
        <f>AVERAGEIFS($I$2:I307, $B$2:B307, B307)</f>
        <v>0.3842105263157895</v>
      </c>
      <c r="AB307">
        <f>AVERAGEIFS($J$2:J307, $B$2:B307, B307)</f>
        <v>0.44157894736842107</v>
      </c>
      <c r="AC307">
        <f>AVERAGEIFS($D$2:D307, $B$2:B307, B307)</f>
        <v>0.31578947368421051</v>
      </c>
    </row>
    <row r="308" spans="1:29" x14ac:dyDescent="0.25">
      <c r="A308" s="85">
        <v>46075</v>
      </c>
      <c r="B308" t="s">
        <v>55</v>
      </c>
      <c r="C308" s="95">
        <v>6</v>
      </c>
      <c r="D308" s="86">
        <v>0</v>
      </c>
      <c r="E308">
        <v>4</v>
      </c>
      <c r="F308">
        <v>1</v>
      </c>
      <c r="G308">
        <v>16</v>
      </c>
      <c r="H308">
        <v>6</v>
      </c>
      <c r="I308">
        <v>0.25</v>
      </c>
      <c r="J308">
        <v>0.38</v>
      </c>
      <c r="K308">
        <v>0</v>
      </c>
      <c r="L308">
        <v>0</v>
      </c>
      <c r="M308">
        <v>0</v>
      </c>
      <c r="N308">
        <v>0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1</v>
      </c>
      <c r="X308">
        <v>0</v>
      </c>
      <c r="Y308">
        <v>0</v>
      </c>
      <c r="Z308">
        <f>AVERAGEIFS($C$2:C308, $B$2:B308, B308)</f>
        <v>10.833333333333334</v>
      </c>
      <c r="AA308">
        <f>AVERAGEIFS($I$2:I308, $B$2:B308, B308)</f>
        <v>0.55833333333333335</v>
      </c>
      <c r="AB308">
        <f>AVERAGEIFS($J$2:J308, $B$2:B308, B308)</f>
        <v>0.50166666666666659</v>
      </c>
      <c r="AC308">
        <f>AVERAGEIFS($D$2:D308, $B$2:B308, B308)</f>
        <v>0.66666666666666663</v>
      </c>
    </row>
    <row r="309" spans="1:29" x14ac:dyDescent="0.25">
      <c r="A309" s="85">
        <v>46083</v>
      </c>
      <c r="B309" t="s">
        <v>13</v>
      </c>
      <c r="C309" s="95">
        <v>43</v>
      </c>
      <c r="D309" s="86">
        <v>1</v>
      </c>
      <c r="E309">
        <v>4</v>
      </c>
      <c r="F309">
        <v>3</v>
      </c>
      <c r="G309">
        <v>16</v>
      </c>
      <c r="H309">
        <v>11</v>
      </c>
      <c r="I309">
        <v>0.75</v>
      </c>
      <c r="J309">
        <v>0.69</v>
      </c>
      <c r="K309">
        <v>0</v>
      </c>
      <c r="L309">
        <v>0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1</v>
      </c>
      <c r="W309">
        <v>0</v>
      </c>
      <c r="X309">
        <v>0</v>
      </c>
      <c r="Y309">
        <v>1</v>
      </c>
      <c r="Z309">
        <f>AVERAGEIFS($C$2:C309, $B$2:B309, B309)</f>
        <v>28.363636363636363</v>
      </c>
      <c r="AA309">
        <f>AVERAGEIFS($I$2:I309, $B$2:B309, B309)</f>
        <v>0.57045454545454544</v>
      </c>
      <c r="AB309">
        <f>AVERAGEIFS($J$2:J309, $B$2:B309, B309)</f>
        <v>0.5459090909090909</v>
      </c>
      <c r="AC309">
        <f>AVERAGEIFS($D$2:D309, $B$2:B309, B309)</f>
        <v>0.68181818181818177</v>
      </c>
    </row>
    <row r="310" spans="1:29" x14ac:dyDescent="0.25">
      <c r="A310" s="85">
        <v>46083</v>
      </c>
      <c r="B310" t="s">
        <v>2</v>
      </c>
      <c r="C310" s="95">
        <v>37</v>
      </c>
      <c r="D310" s="86">
        <v>1</v>
      </c>
      <c r="E310">
        <v>4</v>
      </c>
      <c r="F310">
        <v>3</v>
      </c>
      <c r="G310">
        <v>16</v>
      </c>
      <c r="H310">
        <v>11</v>
      </c>
      <c r="I310">
        <v>0.75</v>
      </c>
      <c r="J310">
        <v>0.69</v>
      </c>
      <c r="K310">
        <v>0</v>
      </c>
      <c r="L310">
        <v>0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1</v>
      </c>
      <c r="W310">
        <v>0</v>
      </c>
      <c r="X310">
        <v>0</v>
      </c>
      <c r="Y310">
        <v>1</v>
      </c>
      <c r="Z310">
        <f>AVERAGEIFS($C$2:C310, $B$2:B310, B310)</f>
        <v>27</v>
      </c>
      <c r="AA310">
        <f>AVERAGEIFS($I$2:I310, $B$2:B310, B310)</f>
        <v>0.54999999999999993</v>
      </c>
      <c r="AB310">
        <f>AVERAGEIFS($J$2:J310, $B$2:B310, B310)</f>
        <v>0.53636363636363638</v>
      </c>
      <c r="AC310">
        <f>AVERAGEIFS($D$2:D310, $B$2:B310, B310)</f>
        <v>0.54545454545454541</v>
      </c>
    </row>
    <row r="311" spans="1:29" x14ac:dyDescent="0.25">
      <c r="A311" s="85">
        <v>46083</v>
      </c>
      <c r="B311" t="s">
        <v>20</v>
      </c>
      <c r="C311" s="95">
        <v>17</v>
      </c>
      <c r="D311" s="86">
        <v>1</v>
      </c>
      <c r="E311">
        <v>4</v>
      </c>
      <c r="F311">
        <v>3</v>
      </c>
      <c r="G311">
        <v>16</v>
      </c>
      <c r="H311">
        <v>11</v>
      </c>
      <c r="I311">
        <v>0.75</v>
      </c>
      <c r="J311">
        <v>0.69</v>
      </c>
      <c r="K311">
        <v>0</v>
      </c>
      <c r="L311">
        <v>0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1</v>
      </c>
      <c r="W311">
        <v>0</v>
      </c>
      <c r="X311">
        <v>0</v>
      </c>
      <c r="Y311">
        <v>1</v>
      </c>
      <c r="Z311">
        <f>AVERAGEIFS($C$2:C311, $B$2:B311, B311)</f>
        <v>13.3125</v>
      </c>
      <c r="AA311">
        <f>AVERAGEIFS($I$2:I311, $B$2:B311, B311)</f>
        <v>0.49062499999999998</v>
      </c>
      <c r="AB311">
        <f>AVERAGEIFS($J$2:J311, $B$2:B311, B311)</f>
        <v>0.49875000000000003</v>
      </c>
      <c r="AC311">
        <f>AVERAGEIFS($D$2:D311, $B$2:B311, B311)</f>
        <v>0.375</v>
      </c>
    </row>
    <row r="312" spans="1:29" x14ac:dyDescent="0.25">
      <c r="A312" s="85">
        <v>46083</v>
      </c>
      <c r="B312" t="s">
        <v>35</v>
      </c>
      <c r="C312" s="95">
        <v>17</v>
      </c>
      <c r="D312" s="86">
        <v>1</v>
      </c>
      <c r="E312">
        <v>4</v>
      </c>
      <c r="F312">
        <v>3</v>
      </c>
      <c r="G312">
        <v>16</v>
      </c>
      <c r="H312">
        <v>11</v>
      </c>
      <c r="I312">
        <v>0.75</v>
      </c>
      <c r="J312">
        <v>0.69</v>
      </c>
      <c r="K312">
        <v>0</v>
      </c>
      <c r="L312">
        <v>0</v>
      </c>
      <c r="M312">
        <v>0</v>
      </c>
      <c r="N312">
        <v>1</v>
      </c>
      <c r="O312">
        <v>0</v>
      </c>
      <c r="P312">
        <v>0</v>
      </c>
      <c r="Q312">
        <v>0</v>
      </c>
      <c r="R312">
        <v>0</v>
      </c>
      <c r="S312">
        <v>0</v>
      </c>
      <c r="T312">
        <v>0</v>
      </c>
      <c r="U312">
        <v>0</v>
      </c>
      <c r="V312">
        <v>1</v>
      </c>
      <c r="W312">
        <v>0</v>
      </c>
      <c r="X312">
        <v>0</v>
      </c>
      <c r="Y312">
        <v>1</v>
      </c>
      <c r="Z312">
        <f>AVERAGEIFS($C$2:C312, $B$2:B312, B312)</f>
        <v>10.454545454545455</v>
      </c>
      <c r="AA312">
        <f>AVERAGEIFS($I$2:I312, $B$2:B312, B312)</f>
        <v>0.51818181818181819</v>
      </c>
      <c r="AB312">
        <f>AVERAGEIFS($J$2:J312, $B$2:B312, B312)</f>
        <v>0.53545454545454552</v>
      </c>
      <c r="AC312">
        <f>AVERAGEIFS($D$2:D312, $B$2:B312, B312)</f>
        <v>0.63636363636363635</v>
      </c>
    </row>
    <row r="313" spans="1:29" x14ac:dyDescent="0.25">
      <c r="A313" s="85">
        <v>46083</v>
      </c>
      <c r="B313" t="s">
        <v>29</v>
      </c>
      <c r="C313" s="95">
        <v>14</v>
      </c>
      <c r="D313" s="86">
        <v>1</v>
      </c>
      <c r="E313">
        <v>4</v>
      </c>
      <c r="F313">
        <v>3</v>
      </c>
      <c r="G313">
        <v>16</v>
      </c>
      <c r="H313">
        <v>11</v>
      </c>
      <c r="I313">
        <v>0.75</v>
      </c>
      <c r="J313">
        <v>0.69</v>
      </c>
      <c r="K313">
        <v>0</v>
      </c>
      <c r="L313">
        <v>0</v>
      </c>
      <c r="M313">
        <v>0</v>
      </c>
      <c r="N313">
        <v>1</v>
      </c>
      <c r="O313">
        <v>0</v>
      </c>
      <c r="P313">
        <v>0</v>
      </c>
      <c r="Q313">
        <v>0</v>
      </c>
      <c r="R313">
        <v>0</v>
      </c>
      <c r="S313">
        <v>0</v>
      </c>
      <c r="T313">
        <v>0</v>
      </c>
      <c r="U313">
        <v>0</v>
      </c>
      <c r="V313">
        <v>1</v>
      </c>
      <c r="W313">
        <v>0</v>
      </c>
      <c r="X313">
        <v>0</v>
      </c>
      <c r="Y313">
        <v>1</v>
      </c>
      <c r="Z313">
        <f>AVERAGEIFS($C$2:C313, $B$2:B313, B313)</f>
        <v>9.7333333333333325</v>
      </c>
      <c r="AA313">
        <f>AVERAGEIFS($I$2:I313, $B$2:B313, B313)</f>
        <v>0.47666666666666663</v>
      </c>
      <c r="AB313">
        <f>AVERAGEIFS($J$2:J313, $B$2:B313, B313)</f>
        <v>0.5033333333333333</v>
      </c>
      <c r="AC313">
        <f>AVERAGEIFS($D$2:D313, $B$2:B313, B313)</f>
        <v>0.53333333333333333</v>
      </c>
    </row>
    <row r="314" spans="1:29" x14ac:dyDescent="0.25">
      <c r="A314" s="85">
        <v>46083</v>
      </c>
      <c r="B314" t="s">
        <v>45</v>
      </c>
      <c r="C314" s="95">
        <v>13</v>
      </c>
      <c r="D314" s="86">
        <v>1</v>
      </c>
      <c r="E314">
        <v>4</v>
      </c>
      <c r="F314">
        <v>3</v>
      </c>
      <c r="G314">
        <v>16</v>
      </c>
      <c r="H314">
        <v>11</v>
      </c>
      <c r="I314">
        <v>0.75</v>
      </c>
      <c r="J314">
        <v>0.69</v>
      </c>
      <c r="K314">
        <v>0</v>
      </c>
      <c r="L314">
        <v>0</v>
      </c>
      <c r="M314">
        <v>0</v>
      </c>
      <c r="N314">
        <v>1</v>
      </c>
      <c r="O314">
        <v>0</v>
      </c>
      <c r="P314">
        <v>0</v>
      </c>
      <c r="Q314">
        <v>0</v>
      </c>
      <c r="R314">
        <v>0</v>
      </c>
      <c r="S314">
        <v>0</v>
      </c>
      <c r="T314">
        <v>0</v>
      </c>
      <c r="U314">
        <v>0</v>
      </c>
      <c r="V314">
        <v>1</v>
      </c>
      <c r="W314">
        <v>0</v>
      </c>
      <c r="X314">
        <v>0</v>
      </c>
      <c r="Y314">
        <v>1</v>
      </c>
      <c r="Z314">
        <f>AVERAGEIFS($C$2:C314, $B$2:B314, B314)</f>
        <v>10</v>
      </c>
      <c r="AA314">
        <f>AVERAGEIFS($I$2:I314, $B$2:B314, B314)</f>
        <v>0.45624999999999999</v>
      </c>
      <c r="AB314">
        <f>AVERAGEIFS($J$2:J314, $B$2:B314, B314)</f>
        <v>0.48374999999999996</v>
      </c>
      <c r="AC314">
        <f>AVERAGEIFS($D$2:D314, $B$2:B314, B314)</f>
        <v>0.375</v>
      </c>
    </row>
    <row r="315" spans="1:29" x14ac:dyDescent="0.25">
      <c r="A315" s="85">
        <v>46083</v>
      </c>
      <c r="B315" t="s">
        <v>6</v>
      </c>
      <c r="C315" s="95">
        <v>32</v>
      </c>
      <c r="D315" s="86">
        <v>0</v>
      </c>
      <c r="E315">
        <v>4</v>
      </c>
      <c r="F315">
        <v>1</v>
      </c>
      <c r="G315">
        <v>16</v>
      </c>
      <c r="H315">
        <v>5</v>
      </c>
      <c r="I315">
        <v>0.25</v>
      </c>
      <c r="J315">
        <v>0.31</v>
      </c>
      <c r="K315">
        <v>0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0</v>
      </c>
      <c r="R315">
        <v>1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0</v>
      </c>
      <c r="Z315">
        <f>AVERAGEIFS($C$2:C315, $B$2:B315, B315)</f>
        <v>23.53846153846154</v>
      </c>
      <c r="AA315">
        <f>AVERAGEIFS($I$2:I315, $B$2:B315, B315)</f>
        <v>0.5923076923076922</v>
      </c>
      <c r="AB315">
        <f>AVERAGEIFS($J$2:J315, $B$2:B315, B315)</f>
        <v>0.52230769230769236</v>
      </c>
      <c r="AC315">
        <f>AVERAGEIFS($D$2:D315, $B$2:B315, B315)</f>
        <v>0.69230769230769229</v>
      </c>
    </row>
    <row r="316" spans="1:29" x14ac:dyDescent="0.25">
      <c r="A316" s="85">
        <v>46083</v>
      </c>
      <c r="B316" t="s">
        <v>18</v>
      </c>
      <c r="C316" s="95">
        <v>25</v>
      </c>
      <c r="D316" s="86">
        <v>0</v>
      </c>
      <c r="E316">
        <v>4</v>
      </c>
      <c r="F316">
        <v>1</v>
      </c>
      <c r="G316">
        <v>16</v>
      </c>
      <c r="H316">
        <v>5</v>
      </c>
      <c r="I316">
        <v>0.25</v>
      </c>
      <c r="J316">
        <v>0.31</v>
      </c>
      <c r="K316">
        <v>0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0</v>
      </c>
      <c r="R316">
        <v>1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0</v>
      </c>
      <c r="Z316">
        <f>AVERAGEIFS($C$2:C316, $B$2:B316, B316)</f>
        <v>26.636363636363637</v>
      </c>
      <c r="AA316">
        <f>AVERAGEIFS($I$2:I316, $B$2:B316, B316)</f>
        <v>0.42272727272727278</v>
      </c>
      <c r="AB316">
        <f>AVERAGEIFS($J$2:J316, $B$2:B316, B316)</f>
        <v>0.44818181818181807</v>
      </c>
      <c r="AC316">
        <f>AVERAGEIFS($D$2:D316, $B$2:B316, B316)</f>
        <v>0.36363636363636365</v>
      </c>
    </row>
    <row r="317" spans="1:29" x14ac:dyDescent="0.25">
      <c r="A317" s="85">
        <v>46083</v>
      </c>
      <c r="B317" t="s">
        <v>26</v>
      </c>
      <c r="C317" s="95">
        <v>24</v>
      </c>
      <c r="D317" s="86">
        <v>0</v>
      </c>
      <c r="E317">
        <v>4</v>
      </c>
      <c r="F317">
        <v>1</v>
      </c>
      <c r="G317">
        <v>16</v>
      </c>
      <c r="H317">
        <v>5</v>
      </c>
      <c r="I317">
        <v>0.25</v>
      </c>
      <c r="J317">
        <v>0.31</v>
      </c>
      <c r="K317">
        <v>0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0</v>
      </c>
      <c r="R317">
        <v>1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0</v>
      </c>
      <c r="Z317">
        <f>AVERAGEIFS($C$2:C317, $B$2:B317, B317)</f>
        <v>12.642857142857142</v>
      </c>
      <c r="AA317">
        <f>AVERAGEIFS($I$2:I317, $B$2:B317, B317)</f>
        <v>0.6607142857142857</v>
      </c>
      <c r="AB317">
        <f>AVERAGEIFS($J$2:J317, $B$2:B317, B317)</f>
        <v>0.57999999999999996</v>
      </c>
      <c r="AC317">
        <f>AVERAGEIFS($D$2:D317, $B$2:B317, B317)</f>
        <v>0.7142857142857143</v>
      </c>
    </row>
    <row r="318" spans="1:29" x14ac:dyDescent="0.25">
      <c r="A318" s="85">
        <v>46083</v>
      </c>
      <c r="B318" t="s">
        <v>46</v>
      </c>
      <c r="C318" s="95">
        <v>23</v>
      </c>
      <c r="D318" s="86">
        <v>0</v>
      </c>
      <c r="E318">
        <v>4</v>
      </c>
      <c r="F318">
        <v>1</v>
      </c>
      <c r="G318">
        <v>16</v>
      </c>
      <c r="H318">
        <v>5</v>
      </c>
      <c r="I318">
        <v>0.25</v>
      </c>
      <c r="J318">
        <v>0.31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1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0</v>
      </c>
      <c r="Z318">
        <f>AVERAGEIFS($C$2:C318, $B$2:B318, B318)</f>
        <v>20.333333333333332</v>
      </c>
      <c r="AA318">
        <f>AVERAGEIFS($I$2:I318, $B$2:B318, B318)</f>
        <v>0.41666666666666669</v>
      </c>
      <c r="AB318">
        <f>AVERAGEIFS($J$2:J318, $B$2:B318, B318)</f>
        <v>0.44999999999999996</v>
      </c>
      <c r="AC318">
        <f>AVERAGEIFS($D$2:D318, $B$2:B318, B318)</f>
        <v>0.44444444444444442</v>
      </c>
    </row>
    <row r="319" spans="1:29" x14ac:dyDescent="0.25">
      <c r="A319" s="85">
        <v>46083</v>
      </c>
      <c r="B319" t="s">
        <v>51</v>
      </c>
      <c r="C319" s="95">
        <v>17</v>
      </c>
      <c r="D319" s="86">
        <v>0</v>
      </c>
      <c r="E319">
        <v>4</v>
      </c>
      <c r="F319">
        <v>1</v>
      </c>
      <c r="G319">
        <v>16</v>
      </c>
      <c r="H319">
        <v>5</v>
      </c>
      <c r="I319">
        <v>0.25</v>
      </c>
      <c r="J319">
        <v>0.31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1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f>AVERAGEIFS($C$2:C319, $B$2:B319, B319)</f>
        <v>13.916666666666666</v>
      </c>
      <c r="AA319">
        <f>AVERAGEIFS($I$2:I319, $B$2:B319, B319)</f>
        <v>0.55000000000000004</v>
      </c>
      <c r="AB319">
        <f>AVERAGEIFS($J$2:J319, $B$2:B319, B319)</f>
        <v>0.51583333333333337</v>
      </c>
      <c r="AC319">
        <f>AVERAGEIFS($D$2:D319, $B$2:B319, B319)</f>
        <v>0.58333333333333337</v>
      </c>
    </row>
    <row r="320" spans="1:29" x14ac:dyDescent="0.25">
      <c r="A320" s="85">
        <v>46083</v>
      </c>
      <c r="B320" t="s">
        <v>38</v>
      </c>
      <c r="C320" s="95">
        <v>4</v>
      </c>
      <c r="D320" s="86">
        <v>0</v>
      </c>
      <c r="E320">
        <v>4</v>
      </c>
      <c r="F320">
        <v>1</v>
      </c>
      <c r="G320">
        <v>16</v>
      </c>
      <c r="H320">
        <v>5</v>
      </c>
      <c r="I320">
        <v>0.25</v>
      </c>
      <c r="J320">
        <v>0.31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1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f>AVERAGEIFS($C$2:C320, $B$2:B320, B320)</f>
        <v>3.4</v>
      </c>
      <c r="AA320">
        <f>AVERAGEIFS($I$2:I320, $B$2:B320, B320)</f>
        <v>0.45</v>
      </c>
      <c r="AB320">
        <f>AVERAGEIFS($J$2:J320, $B$2:B320, B320)</f>
        <v>0.45</v>
      </c>
      <c r="AC320">
        <f>AVERAGEIFS($D$2:D320, $B$2:B320, B320)</f>
        <v>0.4</v>
      </c>
    </row>
    <row r="321" spans="1:29" x14ac:dyDescent="0.25">
      <c r="A321" s="85">
        <v>46086</v>
      </c>
      <c r="B321" t="s">
        <v>17</v>
      </c>
      <c r="C321" s="95">
        <v>21</v>
      </c>
      <c r="D321" s="86">
        <v>1</v>
      </c>
      <c r="E321">
        <v>4</v>
      </c>
      <c r="F321">
        <v>3</v>
      </c>
      <c r="G321">
        <v>15</v>
      </c>
      <c r="H321">
        <v>10</v>
      </c>
      <c r="I321">
        <v>0.75</v>
      </c>
      <c r="J321">
        <v>0.67</v>
      </c>
      <c r="K321">
        <v>0</v>
      </c>
      <c r="L321">
        <v>1</v>
      </c>
      <c r="M321">
        <v>0</v>
      </c>
      <c r="N321">
        <v>1</v>
      </c>
      <c r="O321">
        <v>0</v>
      </c>
      <c r="P321">
        <v>1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f>AVERAGEIFS($C$2:C321, $B$2:B321, B321)</f>
        <v>25.227272727272727</v>
      </c>
      <c r="AA321">
        <f>AVERAGEIFS($I$2:I321, $B$2:B321, B321)</f>
        <v>0.53409090909090917</v>
      </c>
      <c r="AB321">
        <f>AVERAGEIFS($J$2:J321, $B$2:B321, B321)</f>
        <v>0.53772727272727261</v>
      </c>
      <c r="AC321">
        <f>AVERAGEIFS($D$2:D321, $B$2:B321, B321)</f>
        <v>0.45454545454545453</v>
      </c>
    </row>
    <row r="322" spans="1:29" x14ac:dyDescent="0.25">
      <c r="A322" s="85">
        <v>46086</v>
      </c>
      <c r="B322" t="s">
        <v>13</v>
      </c>
      <c r="C322" s="95">
        <v>16</v>
      </c>
      <c r="D322" s="86">
        <v>1</v>
      </c>
      <c r="E322">
        <v>4</v>
      </c>
      <c r="F322">
        <v>3</v>
      </c>
      <c r="G322">
        <v>15</v>
      </c>
      <c r="H322">
        <v>10</v>
      </c>
      <c r="I322">
        <v>0.75</v>
      </c>
      <c r="J322">
        <v>0.67</v>
      </c>
      <c r="K322">
        <v>0</v>
      </c>
      <c r="L322">
        <v>1</v>
      </c>
      <c r="M322">
        <v>0</v>
      </c>
      <c r="N322">
        <v>1</v>
      </c>
      <c r="O322">
        <v>0</v>
      </c>
      <c r="P322">
        <v>1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f>AVERAGEIFS($C$2:C322, $B$2:B322, B322)</f>
        <v>27.826086956521738</v>
      </c>
      <c r="AA322">
        <f>AVERAGEIFS($I$2:I322, $B$2:B322, B322)</f>
        <v>0.57826086956521738</v>
      </c>
      <c r="AB322">
        <f>AVERAGEIFS($J$2:J322, $B$2:B322, B322)</f>
        <v>0.55130434782608695</v>
      </c>
      <c r="AC322">
        <f>AVERAGEIFS($D$2:D322, $B$2:B322, B322)</f>
        <v>0.69565217391304346</v>
      </c>
    </row>
    <row r="323" spans="1:29" x14ac:dyDescent="0.25">
      <c r="A323" s="85">
        <v>46086</v>
      </c>
      <c r="B323" t="s">
        <v>26</v>
      </c>
      <c r="C323" s="95">
        <v>11</v>
      </c>
      <c r="D323" s="86">
        <v>1</v>
      </c>
      <c r="E323">
        <v>4</v>
      </c>
      <c r="F323">
        <v>3</v>
      </c>
      <c r="G323">
        <v>15</v>
      </c>
      <c r="H323">
        <v>10</v>
      </c>
      <c r="I323">
        <v>0.75</v>
      </c>
      <c r="J323">
        <v>0.67</v>
      </c>
      <c r="K323">
        <v>0</v>
      </c>
      <c r="L323">
        <v>1</v>
      </c>
      <c r="M323">
        <v>0</v>
      </c>
      <c r="N323">
        <v>1</v>
      </c>
      <c r="O323">
        <v>0</v>
      </c>
      <c r="P323">
        <v>1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f>AVERAGEIFS($C$2:C323, $B$2:B323, B323)</f>
        <v>12.533333333333333</v>
      </c>
      <c r="AA323">
        <f>AVERAGEIFS($I$2:I323, $B$2:B323, B323)</f>
        <v>0.66666666666666663</v>
      </c>
      <c r="AB323">
        <f>AVERAGEIFS($J$2:J323, $B$2:B323, B323)</f>
        <v>0.58599999999999997</v>
      </c>
      <c r="AC323">
        <f>AVERAGEIFS($D$2:D323, $B$2:B323, B323)</f>
        <v>0.73333333333333328</v>
      </c>
    </row>
    <row r="324" spans="1:29" x14ac:dyDescent="0.25">
      <c r="A324" s="85">
        <v>46086</v>
      </c>
      <c r="B324" t="s">
        <v>45</v>
      </c>
      <c r="C324" s="95">
        <v>9</v>
      </c>
      <c r="D324" s="86">
        <v>1</v>
      </c>
      <c r="E324">
        <v>4</v>
      </c>
      <c r="F324">
        <v>3</v>
      </c>
      <c r="G324">
        <v>15</v>
      </c>
      <c r="H324">
        <v>10</v>
      </c>
      <c r="I324">
        <v>0.75</v>
      </c>
      <c r="J324">
        <v>0.67</v>
      </c>
      <c r="K324">
        <v>0</v>
      </c>
      <c r="L324">
        <v>1</v>
      </c>
      <c r="M324">
        <v>0</v>
      </c>
      <c r="N324">
        <v>1</v>
      </c>
      <c r="O324">
        <v>0</v>
      </c>
      <c r="P324">
        <v>1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f>AVERAGEIFS($C$2:C324, $B$2:B324, B324)</f>
        <v>9.8888888888888893</v>
      </c>
      <c r="AA324">
        <f>AVERAGEIFS($I$2:I324, $B$2:B324, B324)</f>
        <v>0.48888888888888893</v>
      </c>
      <c r="AB324">
        <f>AVERAGEIFS($J$2:J324, $B$2:B324, B324)</f>
        <v>0.50444444444444447</v>
      </c>
      <c r="AC324">
        <f>AVERAGEIFS($D$2:D324, $B$2:B324, B324)</f>
        <v>0.44444444444444442</v>
      </c>
    </row>
    <row r="325" spans="1:29" x14ac:dyDescent="0.25">
      <c r="A325" s="85">
        <v>46086</v>
      </c>
      <c r="B325" t="s">
        <v>34</v>
      </c>
      <c r="C325" s="95">
        <v>6</v>
      </c>
      <c r="D325" s="86">
        <v>1</v>
      </c>
      <c r="E325">
        <v>4</v>
      </c>
      <c r="F325">
        <v>3</v>
      </c>
      <c r="G325">
        <v>15</v>
      </c>
      <c r="H325">
        <v>10</v>
      </c>
      <c r="I325">
        <v>0.75</v>
      </c>
      <c r="J325">
        <v>0.67</v>
      </c>
      <c r="K325">
        <v>0</v>
      </c>
      <c r="L325">
        <v>1</v>
      </c>
      <c r="M325">
        <v>0</v>
      </c>
      <c r="N325">
        <v>1</v>
      </c>
      <c r="O325">
        <v>0</v>
      </c>
      <c r="P325">
        <v>1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f>AVERAGEIFS($C$2:C325, $B$2:B325, B325)</f>
        <v>5.5</v>
      </c>
      <c r="AA325">
        <f>AVERAGEIFS($I$2:I325, $B$2:B325, B325)</f>
        <v>0.875</v>
      </c>
      <c r="AB325">
        <f>AVERAGEIFS($J$2:J325, $B$2:B325, B325)</f>
        <v>0.71</v>
      </c>
      <c r="AC325">
        <f>AVERAGEIFS($D$2:D325, $B$2:B325, B325)</f>
        <v>1</v>
      </c>
    </row>
    <row r="326" spans="1:29" x14ac:dyDescent="0.25">
      <c r="A326" s="85">
        <v>46086</v>
      </c>
      <c r="B326" t="s">
        <v>14</v>
      </c>
      <c r="C326" s="95">
        <v>21</v>
      </c>
      <c r="D326" s="86">
        <v>0</v>
      </c>
      <c r="E326">
        <v>4</v>
      </c>
      <c r="F326">
        <v>1</v>
      </c>
      <c r="G326">
        <v>15</v>
      </c>
      <c r="H326">
        <v>5</v>
      </c>
      <c r="I326">
        <v>0.25</v>
      </c>
      <c r="J326">
        <v>0.33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0</v>
      </c>
      <c r="V326">
        <v>0</v>
      </c>
      <c r="W326">
        <v>1</v>
      </c>
      <c r="X326">
        <v>0</v>
      </c>
      <c r="Y326">
        <v>0</v>
      </c>
      <c r="Z326">
        <f>AVERAGEIFS($C$2:C326, $B$2:B326, B326)</f>
        <v>25.157894736842106</v>
      </c>
      <c r="AA326">
        <f>AVERAGEIFS($I$2:I326, $B$2:B326, B326)</f>
        <v>0.51578947368421058</v>
      </c>
      <c r="AB326">
        <f>AVERAGEIFS($J$2:J326, $B$2:B326, B326)</f>
        <v>0.49736842105263152</v>
      </c>
      <c r="AC326">
        <f>AVERAGEIFS($D$2:D326, $B$2:B326, B326)</f>
        <v>0.52631578947368418</v>
      </c>
    </row>
    <row r="327" spans="1:29" x14ac:dyDescent="0.25">
      <c r="A327" s="85">
        <v>46086</v>
      </c>
      <c r="B327" t="s">
        <v>19</v>
      </c>
      <c r="C327" s="95">
        <v>17</v>
      </c>
      <c r="D327" s="86">
        <v>0</v>
      </c>
      <c r="E327">
        <v>4</v>
      </c>
      <c r="F327">
        <v>1</v>
      </c>
      <c r="G327">
        <v>15</v>
      </c>
      <c r="H327">
        <v>5</v>
      </c>
      <c r="I327">
        <v>0.25</v>
      </c>
      <c r="J327">
        <v>0.33</v>
      </c>
      <c r="K327">
        <v>0</v>
      </c>
      <c r="L327">
        <v>0</v>
      </c>
      <c r="M327">
        <v>0</v>
      </c>
      <c r="N327">
        <v>0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0</v>
      </c>
      <c r="V327">
        <v>0</v>
      </c>
      <c r="W327">
        <v>1</v>
      </c>
      <c r="X327">
        <v>0</v>
      </c>
      <c r="Y327">
        <v>0</v>
      </c>
      <c r="Z327">
        <f>AVERAGEIFS($C$2:C327, $B$2:B327, B327)</f>
        <v>11.5</v>
      </c>
      <c r="AA327">
        <f>AVERAGEIFS($I$2:I327, $B$2:B327, B327)</f>
        <v>0.37750000000000006</v>
      </c>
      <c r="AB327">
        <f>AVERAGEIFS($J$2:J327, $B$2:B327, B327)</f>
        <v>0.43600000000000005</v>
      </c>
      <c r="AC327">
        <f>AVERAGEIFS($D$2:D327, $B$2:B327, B327)</f>
        <v>0.3</v>
      </c>
    </row>
    <row r="328" spans="1:29" x14ac:dyDescent="0.25">
      <c r="A328" s="85">
        <v>46086</v>
      </c>
      <c r="B328" t="s">
        <v>5</v>
      </c>
      <c r="C328" s="95">
        <v>6</v>
      </c>
      <c r="D328" s="86">
        <v>0</v>
      </c>
      <c r="E328">
        <v>4</v>
      </c>
      <c r="F328">
        <v>1</v>
      </c>
      <c r="G328">
        <v>15</v>
      </c>
      <c r="H328">
        <v>5</v>
      </c>
      <c r="I328">
        <v>0.25</v>
      </c>
      <c r="J328">
        <v>0.33</v>
      </c>
      <c r="K328">
        <v>0</v>
      </c>
      <c r="L328">
        <v>0</v>
      </c>
      <c r="M328">
        <v>0</v>
      </c>
      <c r="N328">
        <v>0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0</v>
      </c>
      <c r="V328">
        <v>0</v>
      </c>
      <c r="W328">
        <v>1</v>
      </c>
      <c r="X328">
        <v>0</v>
      </c>
      <c r="Y328">
        <v>0</v>
      </c>
      <c r="Z328">
        <f>AVERAGEIFS($C$2:C328, $B$2:B328, B328)</f>
        <v>24</v>
      </c>
      <c r="AA328">
        <f>AVERAGEIFS($I$2:I328, $B$2:B328, B328)</f>
        <v>0.45555555555555549</v>
      </c>
      <c r="AB328">
        <f>AVERAGEIFS($J$2:J328, $B$2:B328, B328)</f>
        <v>0.47</v>
      </c>
      <c r="AC328">
        <f>AVERAGEIFS($D$2:D328, $B$2:B328, B328)</f>
        <v>0.44444444444444442</v>
      </c>
    </row>
    <row r="329" spans="1:29" x14ac:dyDescent="0.25">
      <c r="A329" s="85">
        <v>46086</v>
      </c>
      <c r="B329" t="s">
        <v>29</v>
      </c>
      <c r="C329" s="95">
        <v>6</v>
      </c>
      <c r="D329" s="86">
        <v>0</v>
      </c>
      <c r="E329">
        <v>4</v>
      </c>
      <c r="F329">
        <v>1</v>
      </c>
      <c r="G329">
        <v>15</v>
      </c>
      <c r="H329">
        <v>5</v>
      </c>
      <c r="I329">
        <v>0.25</v>
      </c>
      <c r="J329">
        <v>0.33</v>
      </c>
      <c r="K329">
        <v>0</v>
      </c>
      <c r="L329">
        <v>0</v>
      </c>
      <c r="M329">
        <v>0</v>
      </c>
      <c r="N329">
        <v>0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0</v>
      </c>
      <c r="V329">
        <v>0</v>
      </c>
      <c r="W329">
        <v>1</v>
      </c>
      <c r="X329">
        <v>0</v>
      </c>
      <c r="Y329">
        <v>0</v>
      </c>
      <c r="Z329">
        <f>AVERAGEIFS($C$2:C329, $B$2:B329, B329)</f>
        <v>9.5</v>
      </c>
      <c r="AA329">
        <f>AVERAGEIFS($I$2:I329, $B$2:B329, B329)</f>
        <v>0.46249999999999997</v>
      </c>
      <c r="AB329">
        <f>AVERAGEIFS($J$2:J329, $B$2:B329, B329)</f>
        <v>0.49249999999999994</v>
      </c>
      <c r="AC329">
        <f>AVERAGEIFS($D$2:D329, $B$2:B329, B329)</f>
        <v>0.5</v>
      </c>
    </row>
    <row r="330" spans="1:29" x14ac:dyDescent="0.25">
      <c r="A330" s="85">
        <v>46086</v>
      </c>
      <c r="B330" t="s">
        <v>55</v>
      </c>
      <c r="C330" s="95">
        <v>4</v>
      </c>
      <c r="D330" s="86">
        <v>0</v>
      </c>
      <c r="E330">
        <v>4</v>
      </c>
      <c r="F330">
        <v>1</v>
      </c>
      <c r="G330">
        <v>15</v>
      </c>
      <c r="H330">
        <v>5</v>
      </c>
      <c r="I330">
        <v>0.25</v>
      </c>
      <c r="J330">
        <v>0.33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0</v>
      </c>
      <c r="V330">
        <v>0</v>
      </c>
      <c r="W330">
        <v>1</v>
      </c>
      <c r="X330">
        <v>0</v>
      </c>
      <c r="Y330">
        <v>0</v>
      </c>
      <c r="Z330">
        <f>AVERAGEIFS($C$2:C330, $B$2:B330, B330)</f>
        <v>9.8571428571428577</v>
      </c>
      <c r="AA330">
        <f>AVERAGEIFS($I$2:I330, $B$2:B330, B330)</f>
        <v>0.51428571428571435</v>
      </c>
      <c r="AB330">
        <f>AVERAGEIFS($J$2:J330, $B$2:B330, B330)</f>
        <v>0.47714285714285715</v>
      </c>
      <c r="AC330">
        <f>AVERAGEIFS($D$2:D330, $B$2:B330, B330)</f>
        <v>0.5714285714285714</v>
      </c>
    </row>
  </sheetData>
  <autoFilter ref="A1:AC330" xr:uid="{4D149F3A-41D8-4DA9-BFC4-DDE1AD24595A}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A25ABB-2AF0-4729-9C94-2A1BF11A1187}">
  <dimension ref="A1:AH46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15" sqref="C15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109" t="s">
        <v>93</v>
      </c>
      <c r="O1" s="110" t="s">
        <v>41</v>
      </c>
      <c r="P1" s="110" t="s">
        <v>69</v>
      </c>
      <c r="Q1" s="111" t="s">
        <v>63</v>
      </c>
      <c r="R1" s="111" t="s">
        <v>116</v>
      </c>
      <c r="S1" s="110" t="s">
        <v>112</v>
      </c>
      <c r="T1" s="111" t="s">
        <v>32</v>
      </c>
      <c r="U1" s="110" t="s">
        <v>106</v>
      </c>
      <c r="V1" s="111" t="s">
        <v>62</v>
      </c>
      <c r="W1" s="110" t="s">
        <v>73</v>
      </c>
      <c r="X1" s="110" t="s">
        <v>91</v>
      </c>
      <c r="Y1" s="111" t="s">
        <v>95</v>
      </c>
      <c r="Z1" s="110" t="s">
        <v>92</v>
      </c>
      <c r="AA1" s="111" t="s">
        <v>67</v>
      </c>
      <c r="AB1" s="111" t="s">
        <v>56</v>
      </c>
      <c r="AC1" s="110" t="s">
        <v>104</v>
      </c>
      <c r="AD1" s="110" t="s">
        <v>66</v>
      </c>
      <c r="AE1" s="110" t="s">
        <v>72</v>
      </c>
      <c r="AF1" s="111" t="s">
        <v>68</v>
      </c>
      <c r="AG1" s="111" t="s">
        <v>135</v>
      </c>
      <c r="AH1" s="112" t="s">
        <v>96</v>
      </c>
    </row>
    <row r="2" spans="1:34" x14ac:dyDescent="0.25">
      <c r="A2" s="2" t="s">
        <v>37</v>
      </c>
      <c r="B2" s="34">
        <f>SUMIFS('BA History'!C:C,'BA History'!B:B,A2)</f>
        <v>95</v>
      </c>
      <c r="C2" s="66">
        <f>AVERAGEIFS('BA History'!C:C,'BA History'!B:B,A2)</f>
        <v>13.571428571428571</v>
      </c>
      <c r="D2" s="35">
        <f t="array" ref="D2">MAX(IF('BA History'!B:B=A2, 'BA History'!C:C))</f>
        <v>19</v>
      </c>
      <c r="E2" s="34">
        <f>COUNTIFS('BA History'!B:B,A2,'BA History'!D:D, 1)</f>
        <v>3</v>
      </c>
      <c r="F2" s="2">
        <f>COUNTIFS('BA History'!B:B,A2,'BA History'!D:D, 0)</f>
        <v>4</v>
      </c>
      <c r="G2" s="75">
        <f t="shared" ref="G2:G13" si="0">E2/(E2+F2)</f>
        <v>0.42857142857142855</v>
      </c>
      <c r="H2" s="34">
        <f>SUMIFS('BA History'!F:F,'BA History'!B:B,A2)</f>
        <v>17</v>
      </c>
      <c r="I2" s="2">
        <f>SUMIFS('BA History'!E:E,'BA History'!B:B,A2)-H2</f>
        <v>14</v>
      </c>
      <c r="J2" s="75">
        <f t="shared" ref="J2:J13" si="1">H2/(H2+I2)</f>
        <v>0.54838709677419351</v>
      </c>
      <c r="K2" s="34">
        <f>SUMIFS('BA History'!H:H,'BA History'!B:B,A2)</f>
        <v>69</v>
      </c>
      <c r="L2" s="2">
        <f>SUMIFS('BA History'!G:G,'BA History'!B:B,A2)-K2</f>
        <v>62</v>
      </c>
      <c r="M2" s="107">
        <f t="shared" ref="M2:M13" si="2">K2/(K2+L2)</f>
        <v>0.52671755725190839</v>
      </c>
      <c r="N2" s="113">
        <f>COUNTIFS('BA History'!$B:$B,$A$2,'BA History'!K:K, 1)</f>
        <v>1</v>
      </c>
      <c r="O2" s="113">
        <f>COUNTIFS('BA History'!$B:$B,$A$2,'BA History'!L:L, 1)</f>
        <v>1</v>
      </c>
      <c r="P2" s="113">
        <f>COUNTIFS('BA History'!$B:$B,$A$2,'BA History'!M:M, 1)</f>
        <v>2</v>
      </c>
      <c r="Q2" s="113">
        <f>COUNTIFS('BA History'!$B:$B,$A$2,'BA History'!N:N, 1)</f>
        <v>0</v>
      </c>
      <c r="R2" s="113">
        <f>COUNTIFS('BA History'!$B:$B,$A$2,'BA History'!O:O, 1)</f>
        <v>0</v>
      </c>
      <c r="S2" s="113">
        <f>COUNTIFS('BA History'!$B:$B,$A$2,'BA History'!P:P, 1)</f>
        <v>0</v>
      </c>
      <c r="T2" s="113">
        <f>COUNTIFS('BA History'!$B:$B,$A$2,'BA History'!Q:Q, 1)</f>
        <v>0</v>
      </c>
      <c r="U2" s="113">
        <f>COUNTIFS('BA History'!$B:$B,$A$2,'BA History'!R:R, 1)</f>
        <v>2</v>
      </c>
      <c r="V2" s="113">
        <f>COUNTIFS('BA History'!$B:$B,$A$2,'BA History'!S:S, 1)</f>
        <v>0</v>
      </c>
      <c r="W2" s="113">
        <f>COUNTIFS('BA History'!$B:$B,$A$2,'BA History'!T:T, 1)</f>
        <v>0</v>
      </c>
      <c r="X2" s="113">
        <f>COUNTIFS('BA History'!$B:$B,$A$2,'BA History'!U:U, 1)</f>
        <v>2</v>
      </c>
      <c r="Y2" s="113">
        <f>COUNTIFS('BA History'!$B:$B,$A$2,'BA History'!V:V, 1)</f>
        <v>0</v>
      </c>
      <c r="Z2" s="113">
        <f>COUNTIFS('BA History'!$B:$B,$A$2,'BA History'!W:W, 1)</f>
        <v>0</v>
      </c>
      <c r="AA2" s="113">
        <f>COUNTIFS('BA History'!$B:$B,$A$2,'BA History'!X:X, 1)</f>
        <v>2</v>
      </c>
      <c r="AB2" s="113">
        <f>COUNTIFS('BA History'!$B:$B,$A$2,'BA History'!Y:Y, 1)</f>
        <v>1</v>
      </c>
      <c r="AC2" s="113">
        <f>COUNTIFS('BA History'!$B:$B,$A$2,'BA History'!Z:Z, 1)</f>
        <v>0</v>
      </c>
      <c r="AD2" s="113">
        <f>COUNTIFS('BA History'!$B:$B,$A$2,'BA History'!AA:AA, 1)</f>
        <v>1</v>
      </c>
      <c r="AE2" s="113">
        <f>COUNTIFS('BA History'!$B:$B,$A$2,'BA History'!AB:AB, 1)</f>
        <v>2</v>
      </c>
      <c r="AF2" s="113">
        <f>COUNTIFS('BA History'!$B:$B,$A$2,'BA History'!AC:AC, 1)</f>
        <v>1</v>
      </c>
      <c r="AG2" s="113">
        <f>COUNTIFS('BA History'!$B:$B,$A$2,'BA History'!AD:AD, 1)</f>
        <v>0</v>
      </c>
      <c r="AH2" s="113">
        <f>COUNTIFS('BA History'!$B:$B,$A$2,'BA History'!AE:AE, 1)</f>
        <v>2</v>
      </c>
    </row>
    <row r="3" spans="1:34" x14ac:dyDescent="0.25">
      <c r="A3" s="2" t="s">
        <v>103</v>
      </c>
      <c r="B3" s="34">
        <f>SUMIFS('BA History'!C:C,'BA History'!B:B,A3)</f>
        <v>17</v>
      </c>
      <c r="C3" s="66">
        <f>AVERAGEIFS('BA History'!C:C,'BA History'!B:B,A3)</f>
        <v>8.5</v>
      </c>
      <c r="D3" s="35">
        <f t="array" ref="D3">MAX(IF('BA History'!B:B=A3, 'BA History'!C:C))</f>
        <v>9</v>
      </c>
      <c r="E3" s="34">
        <f>COUNTIFS('BA History'!B:B,A3,'BA History'!D:D, 1)</f>
        <v>0</v>
      </c>
      <c r="F3" s="2">
        <f>COUNTIFS('BA History'!B:B,A3,'BA History'!D:D, 0)</f>
        <v>2</v>
      </c>
      <c r="G3" s="75">
        <f t="shared" si="0"/>
        <v>0</v>
      </c>
      <c r="H3" s="34">
        <f>SUMIFS('BA History'!F:F,'BA History'!B:B,A3)</f>
        <v>3</v>
      </c>
      <c r="I3" s="2">
        <f>SUMIFS('BA History'!E:E,'BA History'!B:B,A3)-H3</f>
        <v>6</v>
      </c>
      <c r="J3" s="75">
        <f t="shared" si="1"/>
        <v>0.33333333333333331</v>
      </c>
      <c r="K3" s="34">
        <f>SUMIFS('BA History'!H:H,'BA History'!B:B,A3)</f>
        <v>15</v>
      </c>
      <c r="L3" s="2">
        <f>SUMIFS('BA History'!G:G,'BA History'!B:B,A3)-K3</f>
        <v>22</v>
      </c>
      <c r="M3" s="107">
        <f t="shared" si="2"/>
        <v>0.40540540540540543</v>
      </c>
      <c r="N3" s="113">
        <f>COUNTIFS('BA History'!$B:$B,$A$3,'BA History'!K:K, 1)</f>
        <v>0</v>
      </c>
      <c r="O3" s="113">
        <f>COUNTIFS('BA History'!$B:$B,$A$3,'BA History'!L:L, 1)</f>
        <v>0</v>
      </c>
      <c r="P3" s="113">
        <f>COUNTIFS('BA History'!$B:$B,$A$3,'BA History'!M:M, 1)</f>
        <v>0</v>
      </c>
      <c r="Q3" s="113">
        <f>COUNTIFS('BA History'!$B:$B,$A$3,'BA History'!N:N, 1)</f>
        <v>1</v>
      </c>
      <c r="R3" s="113">
        <f>COUNTIFS('BA History'!$B:$B,$A$3,'BA History'!O:O, 1)</f>
        <v>0</v>
      </c>
      <c r="S3" s="113">
        <f>COUNTIFS('BA History'!$B:$B,$A$3,'BA History'!P:P, 1)</f>
        <v>0</v>
      </c>
      <c r="T3" s="113">
        <f>COUNTIFS('BA History'!$B:$B,$A$3,'BA History'!Q:Q, 1)</f>
        <v>0</v>
      </c>
      <c r="U3" s="113">
        <f>COUNTIFS('BA History'!$B:$B,$A$3,'BA History'!R:R, 1)</f>
        <v>0</v>
      </c>
      <c r="V3" s="113">
        <f>COUNTIFS('BA History'!$B:$B,$A$3,'BA History'!S:S, 1)</f>
        <v>0</v>
      </c>
      <c r="W3" s="113">
        <f>COUNTIFS('BA History'!$B:$B,$A$3,'BA History'!T:T, 1)</f>
        <v>0</v>
      </c>
      <c r="X3" s="113">
        <f>COUNTIFS('BA History'!$B:$B,$A$3,'BA History'!U:U, 1)</f>
        <v>0</v>
      </c>
      <c r="Y3" s="113">
        <f>COUNTIFS('BA History'!$B:$B,$A$3,'BA History'!V:V, 1)</f>
        <v>0</v>
      </c>
      <c r="Z3" s="113">
        <f>COUNTIFS('BA History'!$B:$B,$A$3,'BA History'!W:W, 1)</f>
        <v>0</v>
      </c>
      <c r="AA3" s="113">
        <f>COUNTIFS('BA History'!$B:$B,$A$3,'BA History'!X:X, 1)</f>
        <v>0</v>
      </c>
      <c r="AB3" s="113">
        <f>COUNTIFS('BA History'!$B:$B,$A$3,'BA History'!Y:Y, 1)</f>
        <v>1</v>
      </c>
      <c r="AC3" s="113">
        <f>COUNTIFS('BA History'!$B:$B,$A$3,'BA History'!Z:Z, 1)</f>
        <v>0</v>
      </c>
      <c r="AD3" s="113">
        <f>COUNTIFS('BA History'!$B:$B,$A$3,'BA History'!AA:AA, 1)</f>
        <v>0</v>
      </c>
      <c r="AE3" s="113">
        <f>COUNTIFS('BA History'!$B:$B,$A$3,'BA History'!AB:AB, 1)</f>
        <v>0</v>
      </c>
      <c r="AF3" s="113">
        <f>COUNTIFS('BA History'!$B:$B,$A$3,'BA History'!AC:AC, 1)</f>
        <v>1</v>
      </c>
      <c r="AG3" s="113">
        <f>COUNTIFS('BA History'!$B:$B,$A$3,'BA History'!AD:AD, 1)</f>
        <v>0</v>
      </c>
      <c r="AH3" s="113">
        <f>COUNTIFS('BA History'!$B:$B,$A$3,'BA History'!AE:AE, 1)</f>
        <v>0</v>
      </c>
    </row>
    <row r="4" spans="1:34" x14ac:dyDescent="0.25">
      <c r="A4" s="2" t="s">
        <v>71</v>
      </c>
      <c r="B4" s="34">
        <f>SUMIFS('BA History'!C:C,'BA History'!B:B,A4)</f>
        <v>75</v>
      </c>
      <c r="C4" s="66">
        <f>AVERAGEIFS('BA History'!C:C,'BA History'!B:B,A4)</f>
        <v>15</v>
      </c>
      <c r="D4" s="35">
        <f t="array" ref="D4">MAX(IF('BA History'!B:B=A4, 'BA History'!C:C))</f>
        <v>19</v>
      </c>
      <c r="E4" s="34">
        <f>COUNTIFS('BA History'!B:B,A4,'BA History'!D:D, 1)</f>
        <v>4</v>
      </c>
      <c r="F4" s="2">
        <f>COUNTIFS('BA History'!B:B,A4,'BA History'!D:D, 0)</f>
        <v>1</v>
      </c>
      <c r="G4" s="75">
        <f t="shared" si="0"/>
        <v>0.8</v>
      </c>
      <c r="H4" s="34">
        <f>SUMIFS('BA History'!F:F,'BA History'!B:B,A4)</f>
        <v>13</v>
      </c>
      <c r="I4" s="2">
        <f>SUMIFS('BA History'!E:E,'BA History'!B:B,A4)-H4</f>
        <v>9</v>
      </c>
      <c r="J4" s="75">
        <f t="shared" si="1"/>
        <v>0.59090909090909094</v>
      </c>
      <c r="K4" s="34">
        <f>SUMIFS('BA History'!H:H,'BA History'!B:B,A4)</f>
        <v>48</v>
      </c>
      <c r="L4" s="2">
        <f>SUMIFS('BA History'!G:G,'BA History'!B:B,A4)-K4</f>
        <v>45</v>
      </c>
      <c r="M4" s="107">
        <f t="shared" si="2"/>
        <v>0.5161290322580645</v>
      </c>
      <c r="N4" s="113">
        <f>COUNTIFS('BA History'!$B:$B,$A$4,'BA History'!K:K, 1)</f>
        <v>1</v>
      </c>
      <c r="O4" s="113">
        <f>COUNTIFS('BA History'!$B:$B,$A$4,'BA History'!L:L, 1)</f>
        <v>1</v>
      </c>
      <c r="P4" s="113">
        <f>COUNTIFS('BA History'!$B:$B,$A$4,'BA History'!M:M, 1)</f>
        <v>2</v>
      </c>
      <c r="Q4" s="113">
        <f>COUNTIFS('BA History'!$B:$B,$A$4,'BA History'!N:N, 1)</f>
        <v>0</v>
      </c>
      <c r="R4" s="113">
        <f>COUNTIFS('BA History'!$B:$B,$A$4,'BA History'!O:O, 1)</f>
        <v>0</v>
      </c>
      <c r="S4" s="113">
        <f>COUNTIFS('BA History'!$B:$B,$A$4,'BA History'!P:P, 1)</f>
        <v>0</v>
      </c>
      <c r="T4" s="113">
        <f>COUNTIFS('BA History'!$B:$B,$A$4,'BA History'!Q:Q, 1)</f>
        <v>0</v>
      </c>
      <c r="U4" s="113">
        <f>COUNTIFS('BA History'!$B:$B,$A$4,'BA History'!R:R, 1)</f>
        <v>0</v>
      </c>
      <c r="V4" s="113">
        <f>COUNTIFS('BA History'!$B:$B,$A$4,'BA History'!S:S, 1)</f>
        <v>0</v>
      </c>
      <c r="W4" s="113">
        <f>COUNTIFS('BA History'!$B:$B,$A$4,'BA History'!T:T, 1)</f>
        <v>0</v>
      </c>
      <c r="X4" s="113">
        <f>COUNTIFS('BA History'!$B:$B,$A$4,'BA History'!U:U, 1)</f>
        <v>1</v>
      </c>
      <c r="Y4" s="113">
        <f>COUNTIFS('BA History'!$B:$B,$A$4,'BA History'!V:V, 1)</f>
        <v>0</v>
      </c>
      <c r="Z4" s="113">
        <f>COUNTIFS('BA History'!$B:$B,$A$4,'BA History'!W:W, 1)</f>
        <v>0</v>
      </c>
      <c r="AA4" s="113">
        <f>COUNTIFS('BA History'!$B:$B,$A$4,'BA History'!X:X, 1)</f>
        <v>2</v>
      </c>
      <c r="AB4" s="113">
        <f>COUNTIFS('BA History'!$B:$B,$A$4,'BA History'!Y:Y, 1)</f>
        <v>1</v>
      </c>
      <c r="AC4" s="113">
        <f>COUNTIFS('BA History'!$B:$B,$A$4,'BA History'!Z:Z, 1)</f>
        <v>0</v>
      </c>
      <c r="AD4" s="113">
        <f>COUNTIFS('BA History'!$B:$B,$A$4,'BA History'!AA:AA, 1)</f>
        <v>0</v>
      </c>
      <c r="AE4" s="113">
        <f>COUNTIFS('BA History'!$B:$B,$A$4,'BA History'!AB:AB, 1)</f>
        <v>0</v>
      </c>
      <c r="AF4" s="113">
        <f>COUNTIFS('BA History'!$B:$B,$A$4,'BA History'!AC:AC, 1)</f>
        <v>3</v>
      </c>
      <c r="AG4" s="113">
        <f>COUNTIFS('BA History'!$B:$B,$A$4,'BA History'!AD:AD, 1)</f>
        <v>1</v>
      </c>
      <c r="AH4" s="113">
        <f>COUNTIFS('BA History'!$B:$B,$A$4,'BA History'!AE:AE, 1)</f>
        <v>1</v>
      </c>
    </row>
    <row r="5" spans="1:34" x14ac:dyDescent="0.25">
      <c r="A5" s="2" t="s">
        <v>114</v>
      </c>
      <c r="B5" s="34">
        <f>SUMIFS('BA History'!C:C,'BA History'!B:B,A5)</f>
        <v>6</v>
      </c>
      <c r="C5" s="66">
        <f>AVERAGEIFS('BA History'!C:C,'BA History'!B:B,A5)</f>
        <v>6</v>
      </c>
      <c r="D5" s="35">
        <f t="array" ref="D5">MAX(IF('BA History'!B:B=A5, 'BA History'!C:C))</f>
        <v>6</v>
      </c>
      <c r="E5" s="34">
        <f>COUNTIFS('BA History'!B:B,A5,'BA History'!D:D, 1)</f>
        <v>0</v>
      </c>
      <c r="F5" s="2">
        <f>COUNTIFS('BA History'!B:B,A5,'BA History'!D:D, 0)</f>
        <v>1</v>
      </c>
      <c r="G5" s="75">
        <f t="shared" si="0"/>
        <v>0</v>
      </c>
      <c r="H5" s="34">
        <f>SUMIFS('BA History'!F:F,'BA History'!B:B,A5)</f>
        <v>1</v>
      </c>
      <c r="I5" s="2">
        <f>SUMIFS('BA History'!E:E,'BA History'!B:B,A5)-H5</f>
        <v>3</v>
      </c>
      <c r="J5" s="75">
        <f t="shared" si="1"/>
        <v>0.25</v>
      </c>
      <c r="K5" s="34">
        <f>SUMIFS('BA History'!H:H,'BA History'!B:B,A5)</f>
        <v>8</v>
      </c>
      <c r="L5" s="2">
        <f>SUMIFS('BA History'!G:G,'BA History'!B:B,A5)-K5</f>
        <v>11</v>
      </c>
      <c r="M5" s="107">
        <f t="shared" si="2"/>
        <v>0.42105263157894735</v>
      </c>
      <c r="N5" s="113">
        <f>COUNTIFS('BA History'!$B:$B,$A$5,'BA History'!K:K, 1)</f>
        <v>0</v>
      </c>
      <c r="O5" s="113">
        <f>COUNTIFS('BA History'!$B:$B,$A$5,'BA History'!L:L, 1)</f>
        <v>0</v>
      </c>
      <c r="P5" s="113">
        <f>COUNTIFS('BA History'!$B:$B,$A$5,'BA History'!M:M, 1)</f>
        <v>0</v>
      </c>
      <c r="Q5" s="113">
        <f>COUNTIFS('BA History'!$B:$B,$A$5,'BA History'!N:N, 1)</f>
        <v>0</v>
      </c>
      <c r="R5" s="113">
        <f>COUNTIFS('BA History'!$B:$B,$A$5,'BA History'!O:O, 1)</f>
        <v>1</v>
      </c>
      <c r="S5" s="113">
        <f>COUNTIFS('BA History'!$B:$B,$A$5,'BA History'!P:P, 1)</f>
        <v>0</v>
      </c>
      <c r="T5" s="113">
        <f>COUNTIFS('BA History'!$B:$B,$A$5,'BA History'!Q:Q, 1)</f>
        <v>0</v>
      </c>
      <c r="U5" s="113">
        <f>COUNTIFS('BA History'!$B:$B,$A$5,'BA History'!R:R, 1)</f>
        <v>0</v>
      </c>
      <c r="V5" s="113">
        <f>COUNTIFS('BA History'!$B:$B,$A$5,'BA History'!S:S, 1)</f>
        <v>0</v>
      </c>
      <c r="W5" s="113">
        <f>COUNTIFS('BA History'!$B:$B,$A$5,'BA History'!T:T, 1)</f>
        <v>0</v>
      </c>
      <c r="X5" s="113">
        <f>COUNTIFS('BA History'!$B:$B,$A$5,'BA History'!U:U, 1)</f>
        <v>0</v>
      </c>
      <c r="Y5" s="113">
        <f>COUNTIFS('BA History'!$B:$B,$A$5,'BA History'!V:V, 1)</f>
        <v>0</v>
      </c>
      <c r="Z5" s="113">
        <f>COUNTIFS('BA History'!$B:$B,$A$5,'BA History'!W:W, 1)</f>
        <v>0</v>
      </c>
      <c r="AA5" s="113">
        <f>COUNTIFS('BA History'!$B:$B,$A$5,'BA History'!X:X, 1)</f>
        <v>0</v>
      </c>
      <c r="AB5" s="113">
        <f>COUNTIFS('BA History'!$B:$B,$A$5,'BA History'!Y:Y, 1)</f>
        <v>0</v>
      </c>
      <c r="AC5" s="113">
        <f>COUNTIFS('BA History'!$B:$B,$A$5,'BA History'!Z:Z, 1)</f>
        <v>0</v>
      </c>
      <c r="AD5" s="113">
        <f>COUNTIFS('BA History'!$B:$B,$A$5,'BA History'!AA:AA, 1)</f>
        <v>0</v>
      </c>
      <c r="AE5" s="113">
        <f>COUNTIFS('BA History'!$B:$B,$A$5,'BA History'!AB:AB, 1)</f>
        <v>0</v>
      </c>
      <c r="AF5" s="113">
        <f>COUNTIFS('BA History'!$B:$B,$A$5,'BA History'!AC:AC, 1)</f>
        <v>0</v>
      </c>
      <c r="AG5" s="113">
        <f>COUNTIFS('BA History'!$B:$B,$A$5,'BA History'!AD:AD, 1)</f>
        <v>0</v>
      </c>
      <c r="AH5" s="113">
        <f>COUNTIFS('BA History'!$B:$B,$A$5,'BA History'!AE:AE, 1)</f>
        <v>0</v>
      </c>
    </row>
    <row r="6" spans="1:34" x14ac:dyDescent="0.25">
      <c r="A6" s="2" t="s">
        <v>35</v>
      </c>
      <c r="B6" s="34">
        <f>SUMIFS('BA History'!C:C,'BA History'!B:B,A6)</f>
        <v>274</v>
      </c>
      <c r="C6" s="66">
        <f>AVERAGEIFS('BA History'!C:C,'BA History'!B:B,A6)</f>
        <v>11.913043478260869</v>
      </c>
      <c r="D6" s="35">
        <f t="array" ref="D6">MAX(IF('BA History'!B:B=A6, 'BA History'!C:C))</f>
        <v>20</v>
      </c>
      <c r="E6" s="34">
        <f>COUNTIFS('BA History'!B:B,A6,'BA History'!D:D, 1)</f>
        <v>8</v>
      </c>
      <c r="F6" s="2">
        <f>COUNTIFS('BA History'!B:B,A6,'BA History'!D:D, 0)</f>
        <v>15</v>
      </c>
      <c r="G6" s="75">
        <f t="shared" si="0"/>
        <v>0.34782608695652173</v>
      </c>
      <c r="H6" s="34">
        <f>SUMIFS('BA History'!F:F,'BA History'!B:B,A6)</f>
        <v>42</v>
      </c>
      <c r="I6" s="2">
        <f>SUMIFS('BA History'!E:E,'BA History'!B:B,A6)-H6</f>
        <v>53</v>
      </c>
      <c r="J6" s="75">
        <f t="shared" si="1"/>
        <v>0.44210526315789472</v>
      </c>
      <c r="K6" s="34">
        <f>SUMIFS('BA History'!H:H,'BA History'!B:B,A6)</f>
        <v>191</v>
      </c>
      <c r="L6" s="2">
        <f>SUMIFS('BA History'!G:G,'BA History'!B:B,A6)-K6</f>
        <v>208</v>
      </c>
      <c r="M6" s="107">
        <f t="shared" si="2"/>
        <v>0.47869674185463656</v>
      </c>
      <c r="N6" s="113">
        <f>COUNTIFS('BA History'!$B:$B,$A$6,'BA History'!K:K, 1)</f>
        <v>2</v>
      </c>
      <c r="O6" s="113">
        <f>COUNTIFS('BA History'!$B:$B,$A$6,'BA History'!L:L, 1)</f>
        <v>2</v>
      </c>
      <c r="P6" s="113">
        <f>COUNTIFS('BA History'!$B:$B,$A$6,'BA History'!M:M, 1)</f>
        <v>3</v>
      </c>
      <c r="Q6" s="113">
        <f>COUNTIFS('BA History'!$B:$B,$A$6,'BA History'!N:N, 1)</f>
        <v>2</v>
      </c>
      <c r="R6" s="113">
        <f>COUNTIFS('BA History'!$B:$B,$A$6,'BA History'!O:O, 1)</f>
        <v>1</v>
      </c>
      <c r="S6" s="113">
        <f>COUNTIFS('BA History'!$B:$B,$A$6,'BA History'!P:P, 1)</f>
        <v>0</v>
      </c>
      <c r="T6" s="113">
        <f>COUNTIFS('BA History'!$B:$B,$A$6,'BA History'!Q:Q, 1)</f>
        <v>2</v>
      </c>
      <c r="U6" s="113">
        <f>COUNTIFS('BA History'!$B:$B,$A$6,'BA History'!R:R, 1)</f>
        <v>3</v>
      </c>
      <c r="V6" s="113">
        <f>COUNTIFS('BA History'!$B:$B,$A$6,'BA History'!S:S, 1)</f>
        <v>1</v>
      </c>
      <c r="W6" s="113">
        <f>COUNTIFS('BA History'!$B:$B,$A$6,'BA History'!T:T, 1)</f>
        <v>1</v>
      </c>
      <c r="X6" s="113">
        <f>COUNTIFS('BA History'!$B:$B,$A$6,'BA History'!U:U, 1)</f>
        <v>3</v>
      </c>
      <c r="Y6" s="113">
        <f>COUNTIFS('BA History'!$B:$B,$A$6,'BA History'!V:V, 1)</f>
        <v>0</v>
      </c>
      <c r="Z6" s="113">
        <f>COUNTIFS('BA History'!$B:$B,$A$6,'BA History'!W:W, 1)</f>
        <v>1</v>
      </c>
      <c r="AA6" s="113">
        <f>COUNTIFS('BA History'!$B:$B,$A$6,'BA History'!X:X, 1)</f>
        <v>1</v>
      </c>
      <c r="AB6" s="113">
        <f>COUNTIFS('BA History'!$B:$B,$A$6,'BA History'!Y:Y, 1)</f>
        <v>5</v>
      </c>
      <c r="AC6" s="113">
        <f>COUNTIFS('BA History'!$B:$B,$A$6,'BA History'!Z:Z, 1)</f>
        <v>1</v>
      </c>
      <c r="AD6" s="113">
        <f>COUNTIFS('BA History'!$B:$B,$A$6,'BA History'!AA:AA, 1)</f>
        <v>4</v>
      </c>
      <c r="AE6" s="113">
        <f>COUNTIFS('BA History'!$B:$B,$A$6,'BA History'!AB:AB, 1)</f>
        <v>4</v>
      </c>
      <c r="AF6" s="113">
        <f>COUNTIFS('BA History'!$B:$B,$A$6,'BA History'!AC:AC, 1)</f>
        <v>4</v>
      </c>
      <c r="AG6" s="113">
        <f>COUNTIFS('BA History'!$B:$B,$A$6,'BA History'!AD:AD, 1)</f>
        <v>1</v>
      </c>
      <c r="AH6" s="113">
        <f>COUNTIFS('BA History'!$B:$B,$A$6,'BA History'!AE:AE, 1)</f>
        <v>1</v>
      </c>
    </row>
    <row r="7" spans="1:34" x14ac:dyDescent="0.25">
      <c r="A7" s="2" t="s">
        <v>19</v>
      </c>
      <c r="B7" s="34">
        <f>SUMIFS('BA History'!C:C,'BA History'!B:B,A7)</f>
        <v>103</v>
      </c>
      <c r="C7" s="66">
        <f>AVERAGEIFS('BA History'!C:C,'BA History'!B:B,A7)</f>
        <v>7.9230769230769234</v>
      </c>
      <c r="D7" s="35">
        <f t="array" ref="D7">MAX(IF('BA History'!B:B=A7, 'BA History'!C:C))</f>
        <v>11</v>
      </c>
      <c r="E7" s="34">
        <f>COUNTIFS('BA History'!B:B,A7,'BA History'!D:D, 1)</f>
        <v>9</v>
      </c>
      <c r="F7" s="2">
        <f>COUNTIFS('BA History'!B:B,A7,'BA History'!D:D, 0)</f>
        <v>4</v>
      </c>
      <c r="G7" s="75">
        <f t="shared" si="0"/>
        <v>0.69230769230769229</v>
      </c>
      <c r="H7" s="34">
        <f>SUMIFS('BA History'!F:F,'BA History'!B:B,A7)</f>
        <v>31</v>
      </c>
      <c r="I7" s="2">
        <f>SUMIFS('BA History'!E:E,'BA History'!B:B,A7)-H7</f>
        <v>21</v>
      </c>
      <c r="J7" s="75">
        <f t="shared" si="1"/>
        <v>0.59615384615384615</v>
      </c>
      <c r="K7" s="34">
        <f>SUMIFS('BA History'!H:H,'BA History'!B:B,A7)</f>
        <v>120</v>
      </c>
      <c r="L7" s="2">
        <f>SUMIFS('BA History'!G:G,'BA History'!B:B,A7)-K7</f>
        <v>92</v>
      </c>
      <c r="M7" s="107">
        <f t="shared" si="2"/>
        <v>0.56603773584905659</v>
      </c>
      <c r="N7" s="113">
        <f>COUNTIFS('BA History'!$B:$B,$A$7,'BA History'!K:K, 1)</f>
        <v>1</v>
      </c>
      <c r="O7" s="113">
        <f>COUNTIFS('BA History'!$B:$B,$A$7,'BA History'!L:L, 1)</f>
        <v>1</v>
      </c>
      <c r="P7" s="113">
        <f>COUNTIFS('BA History'!$B:$B,$A$7,'BA History'!M:M, 1)</f>
        <v>2</v>
      </c>
      <c r="Q7" s="113">
        <f>COUNTIFS('BA History'!$B:$B,$A$7,'BA History'!N:N, 1)</f>
        <v>2</v>
      </c>
      <c r="R7" s="113">
        <f>COUNTIFS('BA History'!$B:$B,$A$7,'BA History'!O:O, 1)</f>
        <v>0</v>
      </c>
      <c r="S7" s="113">
        <f>COUNTIFS('BA History'!$B:$B,$A$7,'BA History'!P:P, 1)</f>
        <v>0</v>
      </c>
      <c r="T7" s="113">
        <f>COUNTIFS('BA History'!$B:$B,$A$7,'BA History'!Q:Q, 1)</f>
        <v>2</v>
      </c>
      <c r="U7" s="113">
        <f>COUNTIFS('BA History'!$B:$B,$A$7,'BA History'!R:R, 1)</f>
        <v>1</v>
      </c>
      <c r="V7" s="113">
        <f>COUNTIFS('BA History'!$B:$B,$A$7,'BA History'!S:S, 1)</f>
        <v>1</v>
      </c>
      <c r="W7" s="113">
        <f>COUNTIFS('BA History'!$B:$B,$A$7,'BA History'!T:T, 1)</f>
        <v>2</v>
      </c>
      <c r="X7" s="113">
        <f>COUNTIFS('BA History'!$B:$B,$A$7,'BA History'!U:U, 1)</f>
        <v>1</v>
      </c>
      <c r="Y7" s="113">
        <f>COUNTIFS('BA History'!$B:$B,$A$7,'BA History'!V:V, 1)</f>
        <v>0</v>
      </c>
      <c r="Z7" s="113">
        <f>COUNTIFS('BA History'!$B:$B,$A$7,'BA History'!W:W, 1)</f>
        <v>1</v>
      </c>
      <c r="AA7" s="113">
        <f>COUNTIFS('BA History'!$B:$B,$A$7,'BA History'!X:X, 1)</f>
        <v>2</v>
      </c>
      <c r="AB7" s="113">
        <f>COUNTIFS('BA History'!$B:$B,$A$7,'BA History'!Y:Y, 1)</f>
        <v>3</v>
      </c>
      <c r="AC7" s="113">
        <f>COUNTIFS('BA History'!$B:$B,$A$7,'BA History'!Z:Z, 1)</f>
        <v>0</v>
      </c>
      <c r="AD7" s="113">
        <f>COUNTIFS('BA History'!$B:$B,$A$7,'BA History'!AA:AA, 1)</f>
        <v>5</v>
      </c>
      <c r="AE7" s="113">
        <f>COUNTIFS('BA History'!$B:$B,$A$7,'BA History'!AB:AB, 1)</f>
        <v>3</v>
      </c>
      <c r="AF7" s="113">
        <f>COUNTIFS('BA History'!$B:$B,$A$7,'BA History'!AC:AC, 1)</f>
        <v>3</v>
      </c>
      <c r="AG7" s="113">
        <f>COUNTIFS('BA History'!$B:$B,$A$7,'BA History'!AD:AD, 1)</f>
        <v>0</v>
      </c>
      <c r="AH7" s="113">
        <f>COUNTIFS('BA History'!$B:$B,$A$7,'BA History'!AE:AE, 1)</f>
        <v>1</v>
      </c>
    </row>
    <row r="8" spans="1:34" x14ac:dyDescent="0.25">
      <c r="A8" s="2" t="s">
        <v>42</v>
      </c>
      <c r="B8" s="34">
        <f>SUMIFS('BA History'!C:C,'BA History'!B:B,A8)</f>
        <v>267</v>
      </c>
      <c r="C8" s="66">
        <f>AVERAGEIFS('BA History'!C:C,'BA History'!B:B,A8)</f>
        <v>17.8</v>
      </c>
      <c r="D8" s="35">
        <f t="array" ref="D8">MAX(IF('BA History'!B:B=A8, 'BA History'!C:C))</f>
        <v>34</v>
      </c>
      <c r="E8" s="34">
        <f>COUNTIFS('BA History'!B:B,A8,'BA History'!D:D, 1)</f>
        <v>6</v>
      </c>
      <c r="F8" s="2">
        <f>COUNTIFS('BA History'!B:B,A8,'BA History'!D:D, 0)</f>
        <v>9</v>
      </c>
      <c r="G8" s="75">
        <f t="shared" si="0"/>
        <v>0.4</v>
      </c>
      <c r="H8" s="34">
        <f>SUMIFS('BA History'!F:F,'BA History'!B:B,A8)</f>
        <v>26</v>
      </c>
      <c r="I8" s="2">
        <f>SUMIFS('BA History'!E:E,'BA History'!B:B,A8)-H8</f>
        <v>36</v>
      </c>
      <c r="J8" s="75">
        <f t="shared" si="1"/>
        <v>0.41935483870967744</v>
      </c>
      <c r="K8" s="34">
        <f>SUMIFS('BA History'!H:H,'BA History'!B:B,A8)</f>
        <v>114</v>
      </c>
      <c r="L8" s="2">
        <f>SUMIFS('BA History'!G:G,'BA History'!B:B,A8)-K8</f>
        <v>138</v>
      </c>
      <c r="M8" s="107">
        <f t="shared" si="2"/>
        <v>0.45238095238095238</v>
      </c>
      <c r="N8" s="113">
        <f>COUNTIFS('BA History'!$B:$B,$A$8,'BA History'!K:K, 1)</f>
        <v>0</v>
      </c>
      <c r="O8" s="113">
        <f>COUNTIFS('BA History'!$B:$B,$A$8,'BA History'!L:L, 1)</f>
        <v>5</v>
      </c>
      <c r="P8" s="113">
        <f>COUNTIFS('BA History'!$B:$B,$A$8,'BA History'!M:M, 1)</f>
        <v>1</v>
      </c>
      <c r="Q8" s="113">
        <f>COUNTIFS('BA History'!$B:$B,$A$8,'BA History'!N:N, 1)</f>
        <v>3</v>
      </c>
      <c r="R8" s="113">
        <f>COUNTIFS('BA History'!$B:$B,$A$8,'BA History'!O:O, 1)</f>
        <v>0</v>
      </c>
      <c r="S8" s="113">
        <f>COUNTIFS('BA History'!$B:$B,$A$8,'BA History'!P:P, 1)</f>
        <v>0</v>
      </c>
      <c r="T8" s="113">
        <f>COUNTIFS('BA History'!$B:$B,$A$8,'BA History'!Q:Q, 1)</f>
        <v>1</v>
      </c>
      <c r="U8" s="113">
        <f>COUNTIFS('BA History'!$B:$B,$A$8,'BA History'!R:R, 1)</f>
        <v>1</v>
      </c>
      <c r="V8" s="113">
        <f>COUNTIFS('BA History'!$B:$B,$A$8,'BA History'!S:S, 1)</f>
        <v>0</v>
      </c>
      <c r="W8" s="113">
        <f>COUNTIFS('BA History'!$B:$B,$A$8,'BA History'!T:T, 1)</f>
        <v>1</v>
      </c>
      <c r="X8" s="113">
        <f>COUNTIFS('BA History'!$B:$B,$A$8,'BA History'!U:U, 1)</f>
        <v>2</v>
      </c>
      <c r="Y8" s="113">
        <f>COUNTIFS('BA History'!$B:$B,$A$8,'BA History'!V:V, 1)</f>
        <v>1</v>
      </c>
      <c r="Z8" s="113">
        <f>COUNTIFS('BA History'!$B:$B,$A$8,'BA History'!W:W, 1)</f>
        <v>0</v>
      </c>
      <c r="AA8" s="113">
        <f>COUNTIFS('BA History'!$B:$B,$A$8,'BA History'!X:X, 1)</f>
        <v>2</v>
      </c>
      <c r="AB8" s="113">
        <f>COUNTIFS('BA History'!$B:$B,$A$8,'BA History'!Y:Y, 1)</f>
        <v>4</v>
      </c>
      <c r="AC8" s="113">
        <f>COUNTIFS('BA History'!$B:$B,$A$8,'BA History'!Z:Z, 1)</f>
        <v>1</v>
      </c>
      <c r="AD8" s="113">
        <f>COUNTIFS('BA History'!$B:$B,$A$8,'BA History'!AA:AA, 1)</f>
        <v>0</v>
      </c>
      <c r="AE8" s="113">
        <f>COUNTIFS('BA History'!$B:$B,$A$8,'BA History'!AB:AB, 1)</f>
        <v>1</v>
      </c>
      <c r="AF8" s="113">
        <f>COUNTIFS('BA History'!$B:$B,$A$8,'BA History'!AC:AC, 1)</f>
        <v>2</v>
      </c>
      <c r="AG8" s="113">
        <f>COUNTIFS('BA History'!$B:$B,$A$8,'BA History'!AD:AD, 1)</f>
        <v>0</v>
      </c>
      <c r="AH8" s="113">
        <f>COUNTIFS('BA History'!$B:$B,$A$8,'BA History'!AE:AE, 1)</f>
        <v>1</v>
      </c>
    </row>
    <row r="9" spans="1:34" x14ac:dyDescent="0.25">
      <c r="A9" s="2" t="s">
        <v>25</v>
      </c>
      <c r="B9" s="34">
        <f>SUMIFS('BA History'!C:C,'BA History'!B:B,A9)</f>
        <v>34</v>
      </c>
      <c r="C9" s="66">
        <f>AVERAGEIFS('BA History'!C:C,'BA History'!B:B,A9)</f>
        <v>8.5</v>
      </c>
      <c r="D9" s="35">
        <f t="array" ref="D9">MAX(IF('BA History'!B:B=A9, 'BA History'!C:C))</f>
        <v>12</v>
      </c>
      <c r="E9" s="34">
        <f>COUNTIFS('BA History'!B:B,A9,'BA History'!D:D, 1)</f>
        <v>3</v>
      </c>
      <c r="F9" s="2">
        <f>COUNTIFS('BA History'!B:B,A9,'BA History'!D:D, 0)</f>
        <v>1</v>
      </c>
      <c r="G9" s="75">
        <f t="shared" si="0"/>
        <v>0.75</v>
      </c>
      <c r="H9" s="34">
        <f>SUMIFS('BA History'!F:F,'BA History'!B:B,A9)</f>
        <v>10</v>
      </c>
      <c r="I9" s="2">
        <f>SUMIFS('BA History'!E:E,'BA History'!B:B,A9)-H9</f>
        <v>5</v>
      </c>
      <c r="J9" s="75">
        <f t="shared" si="1"/>
        <v>0.66666666666666663</v>
      </c>
      <c r="K9" s="34">
        <f>SUMIFS('BA History'!H:H,'BA History'!B:B,A9)</f>
        <v>36</v>
      </c>
      <c r="L9" s="2">
        <f>SUMIFS('BA History'!G:G,'BA History'!B:B,A9)-K9</f>
        <v>20</v>
      </c>
      <c r="M9" s="107">
        <f t="shared" si="2"/>
        <v>0.6428571428571429</v>
      </c>
      <c r="N9" s="113">
        <f>COUNTIFS('BA History'!$B:$B,$A$9,'BA History'!K:K, 1)</f>
        <v>2</v>
      </c>
      <c r="O9" s="113">
        <f>COUNTIFS('BA History'!$B:$B,$A$9,'BA History'!L:L, 1)</f>
        <v>0</v>
      </c>
      <c r="P9" s="113">
        <f>COUNTIFS('BA History'!$B:$B,$A$9,'BA History'!M:M, 1)</f>
        <v>0</v>
      </c>
      <c r="Q9" s="113">
        <f>COUNTIFS('BA History'!$B:$B,$A$9,'BA History'!N:N, 1)</f>
        <v>1</v>
      </c>
      <c r="R9" s="113">
        <f>COUNTIFS('BA History'!$B:$B,$A$9,'BA History'!O:O, 1)</f>
        <v>0</v>
      </c>
      <c r="S9" s="113">
        <f>COUNTIFS('BA History'!$B:$B,$A$9,'BA History'!P:P, 1)</f>
        <v>1</v>
      </c>
      <c r="T9" s="113">
        <f>COUNTIFS('BA History'!$B:$B,$A$9,'BA History'!Q:Q, 1)</f>
        <v>1</v>
      </c>
      <c r="U9" s="113">
        <f>COUNTIFS('BA History'!$B:$B,$A$9,'BA History'!R:R, 1)</f>
        <v>0</v>
      </c>
      <c r="V9" s="113">
        <f>COUNTIFS('BA History'!$B:$B,$A$9,'BA History'!S:S, 1)</f>
        <v>0</v>
      </c>
      <c r="W9" s="113">
        <f>COUNTIFS('BA History'!$B:$B,$A$9,'BA History'!T:T, 1)</f>
        <v>0</v>
      </c>
      <c r="X9" s="113">
        <f>COUNTIFS('BA History'!$B:$B,$A$9,'BA History'!U:U, 1)</f>
        <v>1</v>
      </c>
      <c r="Y9" s="113">
        <f>COUNTIFS('BA History'!$B:$B,$A$9,'BA History'!V:V, 1)</f>
        <v>0</v>
      </c>
      <c r="Z9" s="113">
        <f>COUNTIFS('BA History'!$B:$B,$A$9,'BA History'!W:W, 1)</f>
        <v>0</v>
      </c>
      <c r="AA9" s="113">
        <f>COUNTIFS('BA History'!$B:$B,$A$9,'BA History'!X:X, 1)</f>
        <v>1</v>
      </c>
      <c r="AB9" s="113">
        <f>COUNTIFS('BA History'!$B:$B,$A$9,'BA History'!Y:Y, 1)</f>
        <v>2</v>
      </c>
      <c r="AC9" s="113">
        <f>COUNTIFS('BA History'!$B:$B,$A$9,'BA History'!Z:Z, 1)</f>
        <v>0</v>
      </c>
      <c r="AD9" s="113">
        <f>COUNTIFS('BA History'!$B:$B,$A$9,'BA History'!AA:AA, 1)</f>
        <v>1</v>
      </c>
      <c r="AE9" s="113">
        <f>COUNTIFS('BA History'!$B:$B,$A$9,'BA History'!AB:AB, 1)</f>
        <v>0</v>
      </c>
      <c r="AF9" s="113">
        <f>COUNTIFS('BA History'!$B:$B,$A$9,'BA History'!AC:AC, 1)</f>
        <v>0</v>
      </c>
      <c r="AG9" s="113">
        <f>COUNTIFS('BA History'!$B:$B,$A$9,'BA History'!AD:AD, 1)</f>
        <v>0</v>
      </c>
      <c r="AH9" s="113">
        <f>COUNTIFS('BA History'!$B:$B,$A$9,'BA History'!AE:AE, 1)</f>
        <v>0</v>
      </c>
    </row>
    <row r="10" spans="1:34" x14ac:dyDescent="0.25">
      <c r="A10" s="2" t="s">
        <v>115</v>
      </c>
      <c r="B10" s="34">
        <f>SUMIFS('BA History'!C:C,'BA History'!B:B,A10)</f>
        <v>109</v>
      </c>
      <c r="C10" s="66">
        <f>AVERAGEIFS('BA History'!C:C,'BA History'!B:B,A10)</f>
        <v>13.625</v>
      </c>
      <c r="D10" s="35">
        <f t="array" ref="D10">MAX(IF('BA History'!B:B=A10, 'BA History'!C:C))</f>
        <v>23</v>
      </c>
      <c r="E10" s="34">
        <f>COUNTIFS('BA History'!B:B,A10,'BA History'!D:D, 1)</f>
        <v>3</v>
      </c>
      <c r="F10" s="2">
        <f>COUNTIFS('BA History'!B:B,A10,'BA History'!D:D, 0)</f>
        <v>5</v>
      </c>
      <c r="G10" s="75">
        <f t="shared" si="0"/>
        <v>0.375</v>
      </c>
      <c r="H10" s="34">
        <f>SUMIFS('BA History'!F:F,'BA History'!B:B,A10)</f>
        <v>16</v>
      </c>
      <c r="I10" s="2">
        <f>SUMIFS('BA History'!E:E,'BA History'!B:B,A10)-H10</f>
        <v>19</v>
      </c>
      <c r="J10" s="75">
        <f t="shared" si="1"/>
        <v>0.45714285714285713</v>
      </c>
      <c r="K10" s="34">
        <f>SUMIFS('BA History'!H:H,'BA History'!B:B,A10)</f>
        <v>66</v>
      </c>
      <c r="L10" s="2">
        <f>SUMIFS('BA History'!G:G,'BA History'!B:B,A10)-K10</f>
        <v>71</v>
      </c>
      <c r="M10" s="107">
        <f t="shared" si="2"/>
        <v>0.48175182481751827</v>
      </c>
      <c r="N10" s="113">
        <f>COUNTIFS('BA History'!$B:$B,$A$10,'BA History'!K:K, 1)</f>
        <v>1</v>
      </c>
      <c r="O10" s="113">
        <f>COUNTIFS('BA History'!$B:$B,$A$10,'BA History'!L:L, 1)</f>
        <v>2</v>
      </c>
      <c r="P10" s="113">
        <f>COUNTIFS('BA History'!$B:$B,$A$10,'BA History'!M:M, 1)</f>
        <v>1</v>
      </c>
      <c r="Q10" s="113">
        <f>COUNTIFS('BA History'!$B:$B,$A$10,'BA History'!N:N, 1)</f>
        <v>0</v>
      </c>
      <c r="R10" s="113">
        <f>COUNTIFS('BA History'!$B:$B,$A$10,'BA History'!O:O, 1)</f>
        <v>1</v>
      </c>
      <c r="S10" s="113">
        <f>COUNTIFS('BA History'!$B:$B,$A$10,'BA History'!P:P, 1)</f>
        <v>0</v>
      </c>
      <c r="T10" s="113">
        <f>COUNTIFS('BA History'!$B:$B,$A$10,'BA History'!Q:Q, 1)</f>
        <v>1</v>
      </c>
      <c r="U10" s="113">
        <f>COUNTIFS('BA History'!$B:$B,$A$10,'BA History'!R:R, 1)</f>
        <v>0</v>
      </c>
      <c r="V10" s="113">
        <f>COUNTIFS('BA History'!$B:$B,$A$10,'BA History'!S:S, 1)</f>
        <v>0</v>
      </c>
      <c r="W10" s="113">
        <f>COUNTIFS('BA History'!$B:$B,$A$10,'BA History'!T:T, 1)</f>
        <v>1</v>
      </c>
      <c r="X10" s="113">
        <f>COUNTIFS('BA History'!$B:$B,$A$10,'BA History'!U:U, 1)</f>
        <v>1</v>
      </c>
      <c r="Y10" s="113">
        <f>COUNTIFS('BA History'!$B:$B,$A$10,'BA History'!V:V, 1)</f>
        <v>1</v>
      </c>
      <c r="Z10" s="113">
        <f>COUNTIFS('BA History'!$B:$B,$A$10,'BA History'!W:W, 1)</f>
        <v>1</v>
      </c>
      <c r="AA10" s="113">
        <f>COUNTIFS('BA History'!$B:$B,$A$10,'BA History'!X:X, 1)</f>
        <v>1</v>
      </c>
      <c r="AB10" s="113">
        <f>COUNTIFS('BA History'!$B:$B,$A$10,'BA History'!Y:Y, 1)</f>
        <v>1</v>
      </c>
      <c r="AC10" s="113">
        <f>COUNTIFS('BA History'!$B:$B,$A$10,'BA History'!Z:Z, 1)</f>
        <v>0</v>
      </c>
      <c r="AD10" s="113">
        <f>COUNTIFS('BA History'!$B:$B,$A$10,'BA History'!AA:AA, 1)</f>
        <v>0</v>
      </c>
      <c r="AE10" s="113">
        <f>COUNTIFS('BA History'!$B:$B,$A$10,'BA History'!AB:AB, 1)</f>
        <v>2</v>
      </c>
      <c r="AF10" s="113">
        <f>COUNTIFS('BA History'!$B:$B,$A$10,'BA History'!AC:AC, 1)</f>
        <v>1</v>
      </c>
      <c r="AG10" s="113">
        <f>COUNTIFS('BA History'!$B:$B,$A$10,'BA History'!AD:AD, 1)</f>
        <v>0</v>
      </c>
      <c r="AH10" s="113">
        <f>COUNTIFS('BA History'!$B:$B,$A$10,'BA History'!AE:AE, 1)</f>
        <v>1</v>
      </c>
    </row>
    <row r="11" spans="1:34" x14ac:dyDescent="0.25">
      <c r="A11" s="2" t="s">
        <v>27</v>
      </c>
      <c r="B11" s="34">
        <f>SUMIFS('BA History'!C:C,'BA History'!B:B,A11)</f>
        <v>71</v>
      </c>
      <c r="C11" s="66">
        <f>AVERAGEIFS('BA History'!C:C,'BA History'!B:B,A11)</f>
        <v>14.2</v>
      </c>
      <c r="D11" s="35">
        <f t="array" ref="D11">MAX(IF('BA History'!B:B=A11, 'BA History'!C:C))</f>
        <v>20</v>
      </c>
      <c r="E11" s="34">
        <f>COUNTIFS('BA History'!B:B,A11,'BA History'!D:D, 1)</f>
        <v>2</v>
      </c>
      <c r="F11" s="2">
        <f>COUNTIFS('BA History'!B:B,A11,'BA History'!D:D, 0)</f>
        <v>3</v>
      </c>
      <c r="G11" s="75">
        <f t="shared" si="0"/>
        <v>0.4</v>
      </c>
      <c r="H11" s="34">
        <f>SUMIFS('BA History'!F:F,'BA History'!B:B,A11)</f>
        <v>11</v>
      </c>
      <c r="I11" s="2">
        <f>SUMIFS('BA History'!E:E,'BA History'!B:B,A11)-H11</f>
        <v>12</v>
      </c>
      <c r="J11" s="75">
        <f t="shared" si="1"/>
        <v>0.47826086956521741</v>
      </c>
      <c r="K11" s="34">
        <f>SUMIFS('BA History'!H:H,'BA History'!B:B,A11)</f>
        <v>42</v>
      </c>
      <c r="L11" s="2">
        <f>SUMIFS('BA History'!G:G,'BA History'!B:B,A11)-K11</f>
        <v>52</v>
      </c>
      <c r="M11" s="107">
        <f t="shared" si="2"/>
        <v>0.44680851063829785</v>
      </c>
      <c r="N11" s="113">
        <f>COUNTIFS('BA History'!$B:$B,$A$11,'BA History'!K:K, 1)</f>
        <v>0</v>
      </c>
      <c r="O11" s="113">
        <f>COUNTIFS('BA History'!$B:$B,$A$11,'BA History'!L:L, 1)</f>
        <v>0</v>
      </c>
      <c r="P11" s="113">
        <f>COUNTIFS('BA History'!$B:$B,$A$11,'BA History'!M:M, 1)</f>
        <v>1</v>
      </c>
      <c r="Q11" s="113">
        <f>COUNTIFS('BA History'!$B:$B,$A$11,'BA History'!N:N, 1)</f>
        <v>2</v>
      </c>
      <c r="R11" s="113">
        <f>COUNTIFS('BA History'!$B:$B,$A$11,'BA History'!O:O, 1)</f>
        <v>0</v>
      </c>
      <c r="S11" s="113">
        <f>COUNTIFS('BA History'!$B:$B,$A$11,'BA History'!P:P, 1)</f>
        <v>0</v>
      </c>
      <c r="T11" s="113">
        <f>COUNTIFS('BA History'!$B:$B,$A$11,'BA History'!Q:Q, 1)</f>
        <v>0</v>
      </c>
      <c r="U11" s="113">
        <f>COUNTIFS('BA History'!$B:$B,$A$11,'BA History'!R:R, 1)</f>
        <v>0</v>
      </c>
      <c r="V11" s="113">
        <f>COUNTIFS('BA History'!$B:$B,$A$11,'BA History'!S:S, 1)</f>
        <v>0</v>
      </c>
      <c r="W11" s="113">
        <f>COUNTIFS('BA History'!$B:$B,$A$11,'BA History'!T:T, 1)</f>
        <v>1</v>
      </c>
      <c r="X11" s="113">
        <f>COUNTIFS('BA History'!$B:$B,$A$11,'BA History'!U:U, 1)</f>
        <v>0</v>
      </c>
      <c r="Y11" s="113">
        <f>COUNTIFS('BA History'!$B:$B,$A$11,'BA History'!V:V, 1)</f>
        <v>0</v>
      </c>
      <c r="Z11" s="113">
        <f>COUNTIFS('BA History'!$B:$B,$A$11,'BA History'!W:W, 1)</f>
        <v>0</v>
      </c>
      <c r="AA11" s="113">
        <f>COUNTIFS('BA History'!$B:$B,$A$11,'BA History'!X:X, 1)</f>
        <v>1</v>
      </c>
      <c r="AB11" s="113">
        <f>COUNTIFS('BA History'!$B:$B,$A$11,'BA History'!Y:Y, 1)</f>
        <v>2</v>
      </c>
      <c r="AC11" s="113">
        <f>COUNTIFS('BA History'!$B:$B,$A$11,'BA History'!Z:Z, 1)</f>
        <v>0</v>
      </c>
      <c r="AD11" s="113">
        <f>COUNTIFS('BA History'!$B:$B,$A$11,'BA History'!AA:AA, 1)</f>
        <v>3</v>
      </c>
      <c r="AE11" s="113">
        <f>COUNTIFS('BA History'!$B:$B,$A$11,'BA History'!AB:AB, 1)</f>
        <v>1</v>
      </c>
      <c r="AF11" s="113">
        <f>COUNTIFS('BA History'!$B:$B,$A$11,'BA History'!AC:AC, 1)</f>
        <v>0</v>
      </c>
      <c r="AG11" s="113">
        <f>COUNTIFS('BA History'!$B:$B,$A$11,'BA History'!AD:AD, 1)</f>
        <v>0</v>
      </c>
      <c r="AH11" s="113">
        <f>COUNTIFS('BA History'!$B:$B,$A$11,'BA History'!AE:AE, 1)</f>
        <v>0</v>
      </c>
    </row>
    <row r="12" spans="1:34" x14ac:dyDescent="0.25">
      <c r="A12" s="2" t="s">
        <v>108</v>
      </c>
      <c r="B12" s="34">
        <f>SUMIFS('BA History'!C:C,'BA History'!B:B,A12)</f>
        <v>3</v>
      </c>
      <c r="C12" s="66">
        <f>AVERAGEIFS('BA History'!C:C,'BA History'!B:B,A12)</f>
        <v>3</v>
      </c>
      <c r="D12" s="35">
        <f t="array" ref="D12">MAX(IF('BA History'!B:B=A12, 'BA History'!C:C))</f>
        <v>3</v>
      </c>
      <c r="E12" s="34">
        <f>COUNTIFS('BA History'!B:B,A12,'BA History'!D:D, 1)</f>
        <v>0</v>
      </c>
      <c r="F12" s="2">
        <f>COUNTIFS('BA History'!B:B,A12,'BA History'!D:D, 0)</f>
        <v>1</v>
      </c>
      <c r="G12" s="75">
        <f t="shared" si="0"/>
        <v>0</v>
      </c>
      <c r="H12" s="34">
        <f>SUMIFS('BA History'!F:F,'BA History'!B:B,A12)</f>
        <v>2</v>
      </c>
      <c r="I12" s="2">
        <f>SUMIFS('BA History'!E:E,'BA History'!B:B,A12)-H12</f>
        <v>3</v>
      </c>
      <c r="J12" s="75">
        <f t="shared" si="1"/>
        <v>0.4</v>
      </c>
      <c r="K12" s="34">
        <f>SUMIFS('BA History'!H:H,'BA History'!B:B,A12)</f>
        <v>10</v>
      </c>
      <c r="L12" s="2">
        <f>SUMIFS('BA History'!G:G,'BA History'!B:B,A12)-K12</f>
        <v>13</v>
      </c>
      <c r="M12" s="107">
        <f t="shared" si="2"/>
        <v>0.43478260869565216</v>
      </c>
      <c r="N12" s="113">
        <f>COUNTIFS('BA History'!$B:$B,$A$12,'BA History'!K:K, 1)</f>
        <v>0</v>
      </c>
      <c r="O12" s="113">
        <f>COUNTIFS('BA History'!$B:$B,$A$12,'BA History'!L:L, 1)</f>
        <v>0</v>
      </c>
      <c r="P12" s="113">
        <f>COUNTIFS('BA History'!$B:$B,$A$12,'BA History'!M:M, 1)</f>
        <v>1</v>
      </c>
      <c r="Q12" s="113">
        <f>COUNTIFS('BA History'!$B:$B,$A$12,'BA History'!N:N, 1)</f>
        <v>0</v>
      </c>
      <c r="R12" s="113">
        <f>COUNTIFS('BA History'!$B:$B,$A$12,'BA History'!O:O, 1)</f>
        <v>0</v>
      </c>
      <c r="S12" s="113">
        <f>COUNTIFS('BA History'!$B:$B,$A$12,'BA History'!P:P, 1)</f>
        <v>0</v>
      </c>
      <c r="T12" s="113">
        <f>COUNTIFS('BA History'!$B:$B,$A$12,'BA History'!Q:Q, 1)</f>
        <v>0</v>
      </c>
      <c r="U12" s="113">
        <f>COUNTIFS('BA History'!$B:$B,$A$12,'BA History'!R:R, 1)</f>
        <v>0</v>
      </c>
      <c r="V12" s="113">
        <f>COUNTIFS('BA History'!$B:$B,$A$12,'BA History'!S:S, 1)</f>
        <v>0</v>
      </c>
      <c r="W12" s="113">
        <f>COUNTIFS('BA History'!$B:$B,$A$12,'BA History'!T:T, 1)</f>
        <v>0</v>
      </c>
      <c r="X12" s="113">
        <f>COUNTIFS('BA History'!$B:$B,$A$12,'BA History'!U:U, 1)</f>
        <v>0</v>
      </c>
      <c r="Y12" s="113">
        <f>COUNTIFS('BA History'!$B:$B,$A$12,'BA History'!V:V, 1)</f>
        <v>0</v>
      </c>
      <c r="Z12" s="113">
        <f>COUNTIFS('BA History'!$B:$B,$A$12,'BA History'!W:W, 1)</f>
        <v>0</v>
      </c>
      <c r="AA12" s="113">
        <f>COUNTIFS('BA History'!$B:$B,$A$12,'BA History'!X:X, 1)</f>
        <v>1</v>
      </c>
      <c r="AB12" s="113">
        <f>COUNTIFS('BA History'!$B:$B,$A$12,'BA History'!Y:Y, 1)</f>
        <v>0</v>
      </c>
      <c r="AC12" s="113">
        <f>COUNTIFS('BA History'!$B:$B,$A$12,'BA History'!Z:Z, 1)</f>
        <v>0</v>
      </c>
      <c r="AD12" s="113">
        <f>COUNTIFS('BA History'!$B:$B,$A$12,'BA History'!AA:AA, 1)</f>
        <v>0</v>
      </c>
      <c r="AE12" s="113">
        <f>COUNTIFS('BA History'!$B:$B,$A$12,'BA History'!AB:AB, 1)</f>
        <v>0</v>
      </c>
      <c r="AF12" s="113">
        <f>COUNTIFS('BA History'!$B:$B,$A$12,'BA History'!AC:AC, 1)</f>
        <v>0</v>
      </c>
      <c r="AG12" s="113">
        <f>COUNTIFS('BA History'!$B:$B,$A$12,'BA History'!AD:AD, 1)</f>
        <v>0</v>
      </c>
      <c r="AH12" s="113">
        <f>COUNTIFS('BA History'!$B:$B,$A$12,'BA History'!AE:AE, 1)</f>
        <v>0</v>
      </c>
    </row>
    <row r="13" spans="1:34" x14ac:dyDescent="0.25">
      <c r="A13" s="2" t="s">
        <v>139</v>
      </c>
      <c r="B13" s="34">
        <f>SUMIFS('BA History'!C:C,'BA History'!B:B,A13)</f>
        <v>20</v>
      </c>
      <c r="C13" s="66">
        <f>AVERAGEIFS('BA History'!C:C,'BA History'!B:B,A13)</f>
        <v>10</v>
      </c>
      <c r="D13" s="35">
        <f t="array" ref="D13">MAX(IF('BA History'!B:B=A13, 'BA History'!C:C))</f>
        <v>12</v>
      </c>
      <c r="E13" s="34">
        <f>COUNTIFS('BA History'!B:B,A13,'BA History'!D:D, 1)</f>
        <v>1</v>
      </c>
      <c r="F13" s="2">
        <f>COUNTIFS('BA History'!B:B,A13,'BA History'!D:D, 0)</f>
        <v>1</v>
      </c>
      <c r="G13" s="75">
        <f t="shared" si="0"/>
        <v>0.5</v>
      </c>
      <c r="H13" s="34">
        <f>SUMIFS('BA History'!F:F,'BA History'!B:B,A13)</f>
        <v>4</v>
      </c>
      <c r="I13" s="2">
        <f>SUMIFS('BA History'!E:E,'BA History'!B:B,A13)-H13</f>
        <v>5</v>
      </c>
      <c r="J13" s="75">
        <f t="shared" si="1"/>
        <v>0.44444444444444442</v>
      </c>
      <c r="K13" s="34">
        <f>SUMIFS('BA History'!H:H,'BA History'!B:B,A13)</f>
        <v>19</v>
      </c>
      <c r="L13" s="2">
        <f>SUMIFS('BA History'!G:G,'BA History'!B:B,A13)-K13</f>
        <v>20</v>
      </c>
      <c r="M13" s="107">
        <f t="shared" si="2"/>
        <v>0.48717948717948717</v>
      </c>
      <c r="N13" s="113">
        <f>COUNTIFS('BA History'!$B:$B,$A$13,'BA History'!K:K, 1)</f>
        <v>0</v>
      </c>
      <c r="O13" s="113">
        <f>COUNTIFS('BA History'!$B:$B,$A$13,'BA History'!L:L, 1)</f>
        <v>0</v>
      </c>
      <c r="P13" s="113">
        <f>COUNTIFS('BA History'!$B:$B,$A$13,'BA History'!M:M, 1)</f>
        <v>1</v>
      </c>
      <c r="Q13" s="113">
        <f>COUNTIFS('BA History'!$B:$B,$A$13,'BA History'!N:N, 1)</f>
        <v>1</v>
      </c>
      <c r="R13" s="113">
        <f>COUNTIFS('BA History'!$B:$B,$A$13,'BA History'!O:O, 1)</f>
        <v>0</v>
      </c>
      <c r="S13" s="113">
        <f>COUNTIFS('BA History'!$B:$B,$A$13,'BA History'!P:P, 1)</f>
        <v>0</v>
      </c>
      <c r="T13" s="113">
        <f>COUNTIFS('BA History'!$B:$B,$A$13,'BA History'!Q:Q, 1)</f>
        <v>0</v>
      </c>
      <c r="U13" s="113">
        <f>COUNTIFS('BA History'!$B:$B,$A$13,'BA History'!R:R, 1)</f>
        <v>0</v>
      </c>
      <c r="V13" s="113">
        <f>COUNTIFS('BA History'!$B:$B,$A$13,'BA History'!S:S, 1)</f>
        <v>0</v>
      </c>
      <c r="W13" s="113">
        <f>COUNTIFS('BA History'!$B:$B,$A$13,'BA History'!T:T, 1)</f>
        <v>0</v>
      </c>
      <c r="X13" s="113">
        <f>COUNTIFS('BA History'!$B:$B,$A$13,'BA History'!U:U, 1)</f>
        <v>0</v>
      </c>
      <c r="Y13" s="113">
        <f>COUNTIFS('BA History'!$B:$B,$A$13,'BA History'!V:V, 1)</f>
        <v>0</v>
      </c>
      <c r="Z13" s="113">
        <f>COUNTIFS('BA History'!$B:$B,$A$13,'BA History'!W:W, 1)</f>
        <v>0</v>
      </c>
      <c r="AA13" s="113">
        <f>COUNTIFS('BA History'!$B:$B,$A$13,'BA History'!X:X, 1)</f>
        <v>0</v>
      </c>
      <c r="AB13" s="113">
        <f>COUNTIFS('BA History'!$B:$B,$A$13,'BA History'!Y:Y, 1)</f>
        <v>1</v>
      </c>
      <c r="AC13" s="113">
        <f>COUNTIFS('BA History'!$B:$B,$A$13,'BA History'!Z:Z, 1)</f>
        <v>0</v>
      </c>
      <c r="AD13" s="113">
        <f>COUNTIFS('BA History'!$B:$B,$A$13,'BA History'!AA:AA, 1)</f>
        <v>0</v>
      </c>
      <c r="AE13" s="113">
        <f>COUNTIFS('BA History'!$B:$B,$A$13,'BA History'!AB:AB, 1)</f>
        <v>0</v>
      </c>
      <c r="AF13" s="113">
        <f>COUNTIFS('BA History'!$B:$B,$A$13,'BA History'!AC:AC, 1)</f>
        <v>0</v>
      </c>
      <c r="AG13" s="113">
        <f>COUNTIFS('BA History'!$B:$B,$A$13,'BA History'!AD:AD, 1)</f>
        <v>0</v>
      </c>
      <c r="AH13" s="113">
        <f>COUNTIFS('BA History'!$B:$B,$A$13,'BA History'!AE:AE, 1)</f>
        <v>1</v>
      </c>
    </row>
    <row r="14" spans="1:34" x14ac:dyDescent="0.25">
      <c r="A14" s="2" t="s">
        <v>74</v>
      </c>
      <c r="B14" s="34">
        <f>SUMIFS('BA History'!C:C,'BA History'!B:B,A14)</f>
        <v>9</v>
      </c>
      <c r="C14" s="66">
        <f>AVERAGEIFS('BA History'!C:C,'BA History'!B:B,A14)</f>
        <v>9</v>
      </c>
      <c r="D14" s="35">
        <f t="array" ref="D14">MAX(IF('BA History'!B:B=A14, 'BA History'!C:C))</f>
        <v>9</v>
      </c>
      <c r="E14" s="34">
        <f>COUNTIFS('BA History'!B:B,A14,'BA History'!D:D, 1)</f>
        <v>0</v>
      </c>
      <c r="F14" s="2">
        <f>COUNTIFS('BA History'!B:B,A14,'BA History'!D:D, 0)</f>
        <v>1</v>
      </c>
      <c r="G14" s="75">
        <f t="shared" ref="G14:G46" si="3">E14/(E14+F14)</f>
        <v>0</v>
      </c>
      <c r="H14" s="34">
        <f>SUMIFS('BA History'!F:F,'BA History'!B:B,A14)</f>
        <v>1</v>
      </c>
      <c r="I14" s="2">
        <f>SUMIFS('BA History'!E:E,'BA History'!B:B,A14)-H14</f>
        <v>3</v>
      </c>
      <c r="J14" s="75">
        <f t="shared" ref="J14:J46" si="4">H14/(H14+I14)</f>
        <v>0.25</v>
      </c>
      <c r="K14" s="34">
        <f>SUMIFS('BA History'!H:H,'BA History'!B:B,A14)</f>
        <v>6</v>
      </c>
      <c r="L14" s="2">
        <f>SUMIFS('BA History'!G:G,'BA History'!B:B,A14)-K14</f>
        <v>9</v>
      </c>
      <c r="M14" s="107">
        <f t="shared" ref="M14:M46" si="5">K14/(K14+L14)</f>
        <v>0.4</v>
      </c>
      <c r="N14" s="113">
        <f>COUNTIFS('BA History'!$B:$B,$A$14,'BA History'!K:K, 1)</f>
        <v>0</v>
      </c>
      <c r="O14" s="113">
        <f>COUNTIFS('BA History'!$B:$B,$A$14,'BA History'!L:L, 1)</f>
        <v>0</v>
      </c>
      <c r="P14" s="113">
        <f>COUNTIFS('BA History'!$B:$B,$A$14,'BA History'!M:M, 1)</f>
        <v>0</v>
      </c>
      <c r="Q14" s="113">
        <f>COUNTIFS('BA History'!$B:$B,$A$14,'BA History'!N:N, 1)</f>
        <v>0</v>
      </c>
      <c r="R14" s="113">
        <f>COUNTIFS('BA History'!$B:$B,$A$14,'BA History'!O:O, 1)</f>
        <v>0</v>
      </c>
      <c r="S14" s="113">
        <f>COUNTIFS('BA History'!$B:$B,$A$14,'BA History'!P:P, 1)</f>
        <v>0</v>
      </c>
      <c r="T14" s="113">
        <f>COUNTIFS('BA History'!$B:$B,$A$14,'BA History'!Q:Q, 1)</f>
        <v>0</v>
      </c>
      <c r="U14" s="113">
        <f>COUNTIFS('BA History'!$B:$B,$A$14,'BA History'!R:R, 1)</f>
        <v>0</v>
      </c>
      <c r="V14" s="113">
        <f>COUNTIFS('BA History'!$B:$B,$A$14,'BA History'!S:S, 1)</f>
        <v>0</v>
      </c>
      <c r="W14" s="113">
        <f>COUNTIFS('BA History'!$B:$B,$A$14,'BA History'!T:T, 1)</f>
        <v>0</v>
      </c>
      <c r="X14" s="113">
        <f>COUNTIFS('BA History'!$B:$B,$A$14,'BA History'!U:U, 1)</f>
        <v>0</v>
      </c>
      <c r="Y14" s="113">
        <f>COUNTIFS('BA History'!$B:$B,$A$14,'BA History'!V:V, 1)</f>
        <v>0</v>
      </c>
      <c r="Z14" s="113">
        <f>COUNTIFS('BA History'!$B:$B,$A$14,'BA History'!W:W, 1)</f>
        <v>0</v>
      </c>
      <c r="AA14" s="113">
        <f>COUNTIFS('BA History'!$B:$B,$A$14,'BA History'!X:X, 1)</f>
        <v>0</v>
      </c>
      <c r="AB14" s="113">
        <f>COUNTIFS('BA History'!$B:$B,$A$14,'BA History'!Y:Y, 1)</f>
        <v>1</v>
      </c>
      <c r="AC14" s="113">
        <f>COUNTIFS('BA History'!$B:$B,$A$14,'BA History'!Z:Z, 1)</f>
        <v>0</v>
      </c>
      <c r="AD14" s="113">
        <f>COUNTIFS('BA History'!$B:$B,$A$14,'BA History'!AA:AA, 1)</f>
        <v>0</v>
      </c>
      <c r="AE14" s="113">
        <f>COUNTIFS('BA History'!$B:$B,$A$14,'BA History'!AB:AB, 1)</f>
        <v>0</v>
      </c>
      <c r="AF14" s="113">
        <f>COUNTIFS('BA History'!$B:$B,$A$14,'BA History'!AC:AC, 1)</f>
        <v>0</v>
      </c>
      <c r="AG14" s="113">
        <f>COUNTIFS('BA History'!$B:$B,$A$14,'BA History'!AD:AD, 1)</f>
        <v>0</v>
      </c>
      <c r="AH14" s="113">
        <f>COUNTIFS('BA History'!$B:$B,$A$14,'BA History'!AE:AE, 1)</f>
        <v>0</v>
      </c>
    </row>
    <row r="15" spans="1:34" x14ac:dyDescent="0.25">
      <c r="A15" s="2" t="s">
        <v>89</v>
      </c>
      <c r="B15" s="34">
        <f>SUMIFS('BA History'!C:C,'BA History'!B:B,A15)</f>
        <v>3</v>
      </c>
      <c r="C15" s="66">
        <f>AVERAGEIFS('BA History'!C:C,'BA History'!B:B,A15)</f>
        <v>3</v>
      </c>
      <c r="D15" s="35">
        <f t="array" ref="D15">MAX(IF('BA History'!B:B=A15, 'BA History'!C:C))</f>
        <v>3</v>
      </c>
      <c r="E15" s="34">
        <f>COUNTIFS('BA History'!B:B,A15,'BA History'!D:D, 1)</f>
        <v>0</v>
      </c>
      <c r="F15" s="2">
        <f>COUNTIFS('BA History'!B:B,A15,'BA History'!D:D, 0)</f>
        <v>1</v>
      </c>
      <c r="G15" s="75">
        <f t="shared" si="3"/>
        <v>0</v>
      </c>
      <c r="H15" s="34">
        <f>SUMIFS('BA History'!F:F,'BA History'!B:B,A15)</f>
        <v>0</v>
      </c>
      <c r="I15" s="2">
        <f>SUMIFS('BA History'!E:E,'BA History'!B:B,A15)-H15</f>
        <v>3</v>
      </c>
      <c r="J15" s="75">
        <f t="shared" si="4"/>
        <v>0</v>
      </c>
      <c r="K15" s="34">
        <f>SUMIFS('BA History'!H:H,'BA History'!B:B,A15)</f>
        <v>4</v>
      </c>
      <c r="L15" s="2">
        <f>SUMIFS('BA History'!G:G,'BA History'!B:B,A15)-K15</f>
        <v>9</v>
      </c>
      <c r="M15" s="107">
        <f t="shared" si="5"/>
        <v>0.30769230769230771</v>
      </c>
      <c r="N15" s="113">
        <f>COUNTIFS('BA History'!$B:$B,$A$15,'BA History'!K:K, 1)</f>
        <v>0</v>
      </c>
      <c r="O15" s="113">
        <f>COUNTIFS('BA History'!$B:$B,$A$15,'BA History'!L:L, 1)</f>
        <v>0</v>
      </c>
      <c r="P15" s="113">
        <f>COUNTIFS('BA History'!$B:$B,$A$15,'BA History'!M:M, 1)</f>
        <v>0</v>
      </c>
      <c r="Q15" s="113">
        <f>COUNTIFS('BA History'!$B:$B,$A$15,'BA History'!N:N, 1)</f>
        <v>0</v>
      </c>
      <c r="R15" s="113">
        <f>COUNTIFS('BA History'!$B:$B,$A$15,'BA History'!O:O, 1)</f>
        <v>0</v>
      </c>
      <c r="S15" s="113">
        <f>COUNTIFS('BA History'!$B:$B,$A$15,'BA History'!P:P, 1)</f>
        <v>0</v>
      </c>
      <c r="T15" s="113">
        <f>COUNTIFS('BA History'!$B:$B,$A$15,'BA History'!Q:Q, 1)</f>
        <v>0</v>
      </c>
      <c r="U15" s="113">
        <f>COUNTIFS('BA History'!$B:$B,$A$15,'BA History'!R:R, 1)</f>
        <v>0</v>
      </c>
      <c r="V15" s="113">
        <f>COUNTIFS('BA History'!$B:$B,$A$15,'BA History'!S:S, 1)</f>
        <v>0</v>
      </c>
      <c r="W15" s="113">
        <f>COUNTIFS('BA History'!$B:$B,$A$15,'BA History'!T:T, 1)</f>
        <v>0</v>
      </c>
      <c r="X15" s="113">
        <f>COUNTIFS('BA History'!$B:$B,$A$15,'BA History'!U:U, 1)</f>
        <v>0</v>
      </c>
      <c r="Y15" s="113">
        <f>COUNTIFS('BA History'!$B:$B,$A$15,'BA History'!V:V, 1)</f>
        <v>0</v>
      </c>
      <c r="Z15" s="113">
        <f>COUNTIFS('BA History'!$B:$B,$A$15,'BA History'!W:W, 1)</f>
        <v>0</v>
      </c>
      <c r="AA15" s="113">
        <f>COUNTIFS('BA History'!$B:$B,$A$15,'BA History'!X:X, 1)</f>
        <v>0</v>
      </c>
      <c r="AB15" s="113">
        <f>COUNTIFS('BA History'!$B:$B,$A$15,'BA History'!Y:Y, 1)</f>
        <v>0</v>
      </c>
      <c r="AC15" s="113">
        <f>COUNTIFS('BA History'!$B:$B,$A$15,'BA History'!Z:Z, 1)</f>
        <v>0</v>
      </c>
      <c r="AD15" s="113">
        <f>COUNTIFS('BA History'!$B:$B,$A$15,'BA History'!AA:AA, 1)</f>
        <v>0</v>
      </c>
      <c r="AE15" s="113">
        <f>COUNTIFS('BA History'!$B:$B,$A$15,'BA History'!AB:AB, 1)</f>
        <v>0</v>
      </c>
      <c r="AF15" s="113">
        <f>COUNTIFS('BA History'!$B:$B,$A$15,'BA History'!AC:AC, 1)</f>
        <v>0</v>
      </c>
      <c r="AG15" s="113">
        <f>COUNTIFS('BA History'!$B:$B,$A$15,'BA History'!AD:AD, 1)</f>
        <v>0</v>
      </c>
      <c r="AH15" s="113">
        <f>COUNTIFS('BA History'!$B:$B,$A$15,'BA History'!AE:AE, 1)</f>
        <v>0</v>
      </c>
    </row>
    <row r="16" spans="1:34" x14ac:dyDescent="0.25">
      <c r="A16" s="2" t="s">
        <v>45</v>
      </c>
      <c r="B16" s="34">
        <f>SUMIFS('BA History'!C:C,'BA History'!B:B,A16)</f>
        <v>45</v>
      </c>
      <c r="C16" s="66">
        <f>AVERAGEIFS('BA History'!C:C,'BA History'!B:B,A16)</f>
        <v>9</v>
      </c>
      <c r="D16" s="35">
        <f t="array" ref="D16">MAX(IF('BA History'!B:B=A16, 'BA History'!C:C))</f>
        <v>13</v>
      </c>
      <c r="E16" s="34">
        <f>COUNTIFS('BA History'!B:B,A16,'BA History'!D:D, 1)</f>
        <v>3</v>
      </c>
      <c r="F16" s="2">
        <f>COUNTIFS('BA History'!B:B,A16,'BA History'!D:D, 0)</f>
        <v>2</v>
      </c>
      <c r="G16" s="75">
        <f t="shared" si="3"/>
        <v>0.6</v>
      </c>
      <c r="H16" s="34">
        <f>SUMIFS('BA History'!F:F,'BA History'!B:B,A16)</f>
        <v>12</v>
      </c>
      <c r="I16" s="2">
        <f>SUMIFS('BA History'!E:E,'BA History'!B:B,A16)-H16</f>
        <v>9</v>
      </c>
      <c r="J16" s="75">
        <f t="shared" si="4"/>
        <v>0.5714285714285714</v>
      </c>
      <c r="K16" s="34">
        <f>SUMIFS('BA History'!H:H,'BA History'!B:B,A16)</f>
        <v>50</v>
      </c>
      <c r="L16" s="2">
        <f>SUMIFS('BA History'!G:G,'BA History'!B:B,A16)-K16</f>
        <v>46</v>
      </c>
      <c r="M16" s="107">
        <f t="shared" si="5"/>
        <v>0.52083333333333337</v>
      </c>
      <c r="N16" s="113">
        <f>COUNTIFS('BA History'!$B:$B,$A$16,'BA History'!K:K, 1)</f>
        <v>0</v>
      </c>
      <c r="O16" s="113">
        <f>COUNTIFS('BA History'!$B:$B,$A$16,'BA History'!L:L, 1)</f>
        <v>0</v>
      </c>
      <c r="P16" s="113">
        <f>COUNTIFS('BA History'!$B:$B,$A$16,'BA History'!M:M, 1)</f>
        <v>1</v>
      </c>
      <c r="Q16" s="113">
        <f>COUNTIFS('BA History'!$B:$B,$A$16,'BA History'!N:N, 1)</f>
        <v>2</v>
      </c>
      <c r="R16" s="113">
        <f>COUNTIFS('BA History'!$B:$B,$A$16,'BA History'!O:O, 1)</f>
        <v>0</v>
      </c>
      <c r="S16" s="113">
        <f>COUNTIFS('BA History'!$B:$B,$A$16,'BA History'!P:P, 1)</f>
        <v>0</v>
      </c>
      <c r="T16" s="113">
        <f>COUNTIFS('BA History'!$B:$B,$A$16,'BA History'!Q:Q, 1)</f>
        <v>0</v>
      </c>
      <c r="U16" s="113">
        <f>COUNTIFS('BA History'!$B:$B,$A$16,'BA History'!R:R, 1)</f>
        <v>0</v>
      </c>
      <c r="V16" s="113">
        <f>COUNTIFS('BA History'!$B:$B,$A$16,'BA History'!S:S, 1)</f>
        <v>0</v>
      </c>
      <c r="W16" s="113">
        <f>COUNTIFS('BA History'!$B:$B,$A$16,'BA History'!T:T, 1)</f>
        <v>1</v>
      </c>
      <c r="X16" s="113">
        <f>COUNTIFS('BA History'!$B:$B,$A$16,'BA History'!U:U, 1)</f>
        <v>0</v>
      </c>
      <c r="Y16" s="113">
        <f>COUNTIFS('BA History'!$B:$B,$A$16,'BA History'!V:V, 1)</f>
        <v>0</v>
      </c>
      <c r="Z16" s="113">
        <f>COUNTIFS('BA History'!$B:$B,$A$16,'BA History'!W:W, 1)</f>
        <v>0</v>
      </c>
      <c r="AA16" s="113">
        <f>COUNTIFS('BA History'!$B:$B,$A$16,'BA History'!X:X, 1)</f>
        <v>2</v>
      </c>
      <c r="AB16" s="113">
        <f>COUNTIFS('BA History'!$B:$B,$A$16,'BA History'!Y:Y, 1)</f>
        <v>1</v>
      </c>
      <c r="AC16" s="113">
        <f>COUNTIFS('BA History'!$B:$B,$A$16,'BA History'!Z:Z, 1)</f>
        <v>1</v>
      </c>
      <c r="AD16" s="113">
        <f>COUNTIFS('BA History'!$B:$B,$A$16,'BA History'!AA:AA, 1)</f>
        <v>2</v>
      </c>
      <c r="AE16" s="113">
        <f>COUNTIFS('BA History'!$B:$B,$A$16,'BA History'!AB:AB, 1)</f>
        <v>2</v>
      </c>
      <c r="AF16" s="113">
        <f>COUNTIFS('BA History'!$B:$B,$A$16,'BA History'!AC:AC, 1)</f>
        <v>0</v>
      </c>
      <c r="AG16" s="113">
        <f>COUNTIFS('BA History'!$B:$B,$A$16,'BA History'!AD:AD, 1)</f>
        <v>0</v>
      </c>
      <c r="AH16" s="113">
        <f>COUNTIFS('BA History'!$B:$B,$A$16,'BA History'!AE:AE, 1)</f>
        <v>0</v>
      </c>
    </row>
    <row r="17" spans="1:34" x14ac:dyDescent="0.25">
      <c r="A17" s="2" t="s">
        <v>50</v>
      </c>
      <c r="B17" s="34">
        <f>SUMIFS('BA History'!C:C,'BA History'!B:B,A17)</f>
        <v>451</v>
      </c>
      <c r="C17" s="66">
        <f>AVERAGEIFS('BA History'!C:C,'BA History'!B:B,A17)</f>
        <v>19.608695652173914</v>
      </c>
      <c r="D17" s="35">
        <f t="array" ref="D17">MAX(IF('BA History'!B:B=A17, 'BA History'!C:C))</f>
        <v>31</v>
      </c>
      <c r="E17" s="34">
        <f>COUNTIFS('BA History'!B:B,A17,'BA History'!D:D, 1)</f>
        <v>13</v>
      </c>
      <c r="F17" s="2">
        <f>COUNTIFS('BA History'!B:B,A17,'BA History'!D:D, 0)</f>
        <v>10</v>
      </c>
      <c r="G17" s="75">
        <f t="shared" si="3"/>
        <v>0.56521739130434778</v>
      </c>
      <c r="H17" s="34">
        <f>SUMIFS('BA History'!F:F,'BA History'!B:B,A17)</f>
        <v>50</v>
      </c>
      <c r="I17" s="2">
        <f>SUMIFS('BA History'!E:E,'BA History'!B:B,A17)-H17</f>
        <v>43</v>
      </c>
      <c r="J17" s="75">
        <f t="shared" si="4"/>
        <v>0.5376344086021505</v>
      </c>
      <c r="K17" s="34">
        <f>SUMIFS('BA History'!H:H,'BA History'!B:B,A17)</f>
        <v>209</v>
      </c>
      <c r="L17" s="2">
        <f>SUMIFS('BA History'!G:G,'BA History'!B:B,A17)-K17</f>
        <v>190</v>
      </c>
      <c r="M17" s="107">
        <f t="shared" si="5"/>
        <v>0.52380952380952384</v>
      </c>
      <c r="N17" s="113">
        <f>COUNTIFS('BA History'!$B:$B,$A$17,'BA History'!K:K, 1)</f>
        <v>2</v>
      </c>
      <c r="O17" s="113">
        <f>COUNTIFS('BA History'!$B:$B,$A$17,'BA History'!L:L, 1)</f>
        <v>3</v>
      </c>
      <c r="P17" s="113">
        <f>COUNTIFS('BA History'!$B:$B,$A$17,'BA History'!M:M, 1)</f>
        <v>1</v>
      </c>
      <c r="Q17" s="113">
        <f>COUNTIFS('BA History'!$B:$B,$A$17,'BA History'!N:N, 1)</f>
        <v>4</v>
      </c>
      <c r="R17" s="113">
        <f>COUNTIFS('BA History'!$B:$B,$A$17,'BA History'!O:O, 1)</f>
        <v>1</v>
      </c>
      <c r="S17" s="113">
        <f>COUNTIFS('BA History'!$B:$B,$A$17,'BA History'!P:P, 1)</f>
        <v>1</v>
      </c>
      <c r="T17" s="113">
        <f>COUNTIFS('BA History'!$B:$B,$A$17,'BA History'!Q:Q, 1)</f>
        <v>3</v>
      </c>
      <c r="U17" s="113">
        <f>COUNTIFS('BA History'!$B:$B,$A$17,'BA History'!R:R, 1)</f>
        <v>1</v>
      </c>
      <c r="V17" s="113">
        <f>COUNTIFS('BA History'!$B:$B,$A$17,'BA History'!S:S, 1)</f>
        <v>1</v>
      </c>
      <c r="W17" s="113">
        <f>COUNTIFS('BA History'!$B:$B,$A$17,'BA History'!T:T, 1)</f>
        <v>0</v>
      </c>
      <c r="X17" s="113">
        <f>COUNTIFS('BA History'!$B:$B,$A$17,'BA History'!U:U, 1)</f>
        <v>5</v>
      </c>
      <c r="Y17" s="113">
        <f>COUNTIFS('BA History'!$B:$B,$A$17,'BA History'!V:V, 1)</f>
        <v>1</v>
      </c>
      <c r="Z17" s="113">
        <f>COUNTIFS('BA History'!$B:$B,$A$17,'BA History'!W:W, 1)</f>
        <v>1</v>
      </c>
      <c r="AA17" s="113">
        <f>COUNTIFS('BA History'!$B:$B,$A$17,'BA History'!X:X, 1)</f>
        <v>2</v>
      </c>
      <c r="AB17" s="113">
        <f>COUNTIFS('BA History'!$B:$B,$A$17,'BA History'!Y:Y, 1)</f>
        <v>8</v>
      </c>
      <c r="AC17" s="113">
        <f>COUNTIFS('BA History'!$B:$B,$A$17,'BA History'!Z:Z, 1)</f>
        <v>1</v>
      </c>
      <c r="AD17" s="113">
        <f>COUNTIFS('BA History'!$B:$B,$A$17,'BA History'!AA:AA, 1)</f>
        <v>5</v>
      </c>
      <c r="AE17" s="113">
        <f>COUNTIFS('BA History'!$B:$B,$A$17,'BA History'!AB:AB, 1)</f>
        <v>1</v>
      </c>
      <c r="AF17" s="113">
        <f>COUNTIFS('BA History'!$B:$B,$A$17,'BA History'!AC:AC, 1)</f>
        <v>7</v>
      </c>
      <c r="AG17" s="113">
        <f>COUNTIFS('BA History'!$B:$B,$A$17,'BA History'!AD:AD, 1)</f>
        <v>1</v>
      </c>
      <c r="AH17" s="113">
        <f>COUNTIFS('BA History'!$B:$B,$A$17,'BA History'!AE:AE, 1)</f>
        <v>1</v>
      </c>
    </row>
    <row r="18" spans="1:34" x14ac:dyDescent="0.25">
      <c r="A18" s="2" t="s">
        <v>52</v>
      </c>
      <c r="B18" s="34">
        <f>SUMIFS('BA History'!C:C,'BA History'!B:B,A18)</f>
        <v>108</v>
      </c>
      <c r="C18" s="66">
        <f>AVERAGEIFS('BA History'!C:C,'BA History'!B:B,A18)</f>
        <v>13.5</v>
      </c>
      <c r="D18" s="35">
        <f t="array" ref="D18">MAX(IF('BA History'!B:B=A18, 'BA History'!C:C))</f>
        <v>19</v>
      </c>
      <c r="E18" s="34">
        <f>COUNTIFS('BA History'!B:B,A18,'BA History'!D:D, 1)</f>
        <v>2</v>
      </c>
      <c r="F18" s="2">
        <f>COUNTIFS('BA History'!B:B,A18,'BA History'!D:D, 0)</f>
        <v>6</v>
      </c>
      <c r="G18" s="75">
        <f t="shared" si="3"/>
        <v>0.25</v>
      </c>
      <c r="H18" s="34">
        <f>SUMIFS('BA History'!F:F,'BA History'!B:B,A18)</f>
        <v>14</v>
      </c>
      <c r="I18" s="2">
        <f>SUMIFS('BA History'!E:E,'BA History'!B:B,A18)-H18</f>
        <v>21</v>
      </c>
      <c r="J18" s="75">
        <f t="shared" si="4"/>
        <v>0.4</v>
      </c>
      <c r="K18" s="34">
        <f>SUMIFS('BA History'!H:H,'BA History'!B:B,A18)</f>
        <v>60</v>
      </c>
      <c r="L18" s="2">
        <f>SUMIFS('BA History'!G:G,'BA History'!B:B,A18)-K18</f>
        <v>79</v>
      </c>
      <c r="M18" s="107">
        <f t="shared" si="5"/>
        <v>0.43165467625899279</v>
      </c>
      <c r="N18" s="113">
        <f>COUNTIFS('BA History'!$B:$B,$A$18,'BA History'!K:K, 1)</f>
        <v>0</v>
      </c>
      <c r="O18" s="113">
        <f>COUNTIFS('BA History'!$B:$B,$A$18,'BA History'!L:L, 1)</f>
        <v>2</v>
      </c>
      <c r="P18" s="113">
        <f>COUNTIFS('BA History'!$B:$B,$A$18,'BA History'!M:M, 1)</f>
        <v>0</v>
      </c>
      <c r="Q18" s="113">
        <f>COUNTIFS('BA History'!$B:$B,$A$18,'BA History'!N:N, 1)</f>
        <v>1</v>
      </c>
      <c r="R18" s="113">
        <f>COUNTIFS('BA History'!$B:$B,$A$18,'BA History'!O:O, 1)</f>
        <v>0</v>
      </c>
      <c r="S18" s="113">
        <f>COUNTIFS('BA History'!$B:$B,$A$18,'BA History'!P:P, 1)</f>
        <v>0</v>
      </c>
      <c r="T18" s="113">
        <f>COUNTIFS('BA History'!$B:$B,$A$18,'BA History'!Q:Q, 1)</f>
        <v>0</v>
      </c>
      <c r="U18" s="113">
        <f>COUNTIFS('BA History'!$B:$B,$A$18,'BA History'!R:R, 1)</f>
        <v>0</v>
      </c>
      <c r="V18" s="113">
        <f>COUNTIFS('BA History'!$B:$B,$A$18,'BA History'!S:S, 1)</f>
        <v>0</v>
      </c>
      <c r="W18" s="113">
        <f>COUNTIFS('BA History'!$B:$B,$A$18,'BA History'!T:T, 1)</f>
        <v>3</v>
      </c>
      <c r="X18" s="113">
        <f>COUNTIFS('BA History'!$B:$B,$A$18,'BA History'!U:U, 1)</f>
        <v>0</v>
      </c>
      <c r="Y18" s="113">
        <f>COUNTIFS('BA History'!$B:$B,$A$18,'BA History'!V:V, 1)</f>
        <v>0</v>
      </c>
      <c r="Z18" s="113">
        <f>COUNTIFS('BA History'!$B:$B,$A$18,'BA History'!W:W, 1)</f>
        <v>0</v>
      </c>
      <c r="AA18" s="113">
        <f>COUNTIFS('BA History'!$B:$B,$A$18,'BA History'!X:X, 1)</f>
        <v>0</v>
      </c>
      <c r="AB18" s="113">
        <f>COUNTIFS('BA History'!$B:$B,$A$18,'BA History'!Y:Y, 1)</f>
        <v>2</v>
      </c>
      <c r="AC18" s="113">
        <f>COUNTIFS('BA History'!$B:$B,$A$18,'BA History'!Z:Z, 1)</f>
        <v>0</v>
      </c>
      <c r="AD18" s="113">
        <f>COUNTIFS('BA History'!$B:$B,$A$18,'BA History'!AA:AA, 1)</f>
        <v>3</v>
      </c>
      <c r="AE18" s="113">
        <f>COUNTIFS('BA History'!$B:$B,$A$18,'BA History'!AB:AB, 1)</f>
        <v>2</v>
      </c>
      <c r="AF18" s="113">
        <f>COUNTIFS('BA History'!$B:$B,$A$18,'BA History'!AC:AC, 1)</f>
        <v>1</v>
      </c>
      <c r="AG18" s="113">
        <f>COUNTIFS('BA History'!$B:$B,$A$18,'BA History'!AD:AD, 1)</f>
        <v>0</v>
      </c>
      <c r="AH18" s="113">
        <f>COUNTIFS('BA History'!$B:$B,$A$18,'BA History'!AE:AE, 1)</f>
        <v>0</v>
      </c>
    </row>
    <row r="19" spans="1:34" x14ac:dyDescent="0.25">
      <c r="A19" s="2" t="s">
        <v>44</v>
      </c>
      <c r="B19" s="34">
        <f>SUMIFS('BA History'!C:C,'BA History'!B:B,A19)</f>
        <v>220</v>
      </c>
      <c r="C19" s="66">
        <f>AVERAGEIFS('BA History'!C:C,'BA History'!B:B,A19)</f>
        <v>18.333333333333332</v>
      </c>
      <c r="D19" s="35">
        <f t="array" ref="D19">MAX(IF('BA History'!B:B=A19, 'BA History'!C:C))</f>
        <v>31</v>
      </c>
      <c r="E19" s="34">
        <f>COUNTIFS('BA History'!B:B,A19,'BA History'!D:D, 1)</f>
        <v>9</v>
      </c>
      <c r="F19" s="2">
        <f>COUNTIFS('BA History'!B:B,A19,'BA History'!D:D, 0)</f>
        <v>3</v>
      </c>
      <c r="G19" s="75">
        <f t="shared" si="3"/>
        <v>0.75</v>
      </c>
      <c r="H19" s="34">
        <f>SUMIFS('BA History'!F:F,'BA History'!B:B,A19)</f>
        <v>30</v>
      </c>
      <c r="I19" s="2">
        <f>SUMIFS('BA History'!E:E,'BA History'!B:B,A19)-H19</f>
        <v>20</v>
      </c>
      <c r="J19" s="75">
        <f t="shared" si="4"/>
        <v>0.6</v>
      </c>
      <c r="K19" s="34">
        <f>SUMIFS('BA History'!H:H,'BA History'!B:B,A19)</f>
        <v>115</v>
      </c>
      <c r="L19" s="2">
        <f>SUMIFS('BA History'!G:G,'BA History'!B:B,A19)-K19</f>
        <v>88</v>
      </c>
      <c r="M19" s="107">
        <f t="shared" si="5"/>
        <v>0.56650246305418717</v>
      </c>
      <c r="N19" s="113">
        <f>COUNTIFS('BA History'!$B:$B,$A$19,'BA History'!K:K, 1)</f>
        <v>3</v>
      </c>
      <c r="O19" s="113">
        <f>COUNTIFS('BA History'!$B:$B,$A$19,'BA History'!L:L, 1)</f>
        <v>1</v>
      </c>
      <c r="P19" s="113">
        <f>COUNTIFS('BA History'!$B:$B,$A$19,'BA History'!M:M, 1)</f>
        <v>3</v>
      </c>
      <c r="Q19" s="113">
        <f>COUNTIFS('BA History'!$B:$B,$A$19,'BA History'!N:N, 1)</f>
        <v>1</v>
      </c>
      <c r="R19" s="113">
        <f>COUNTIFS('BA History'!$B:$B,$A$19,'BA History'!O:O, 1)</f>
        <v>0</v>
      </c>
      <c r="S19" s="113">
        <f>COUNTIFS('BA History'!$B:$B,$A$19,'BA History'!P:P, 1)</f>
        <v>0</v>
      </c>
      <c r="T19" s="113">
        <f>COUNTIFS('BA History'!$B:$B,$A$19,'BA History'!Q:Q, 1)</f>
        <v>1</v>
      </c>
      <c r="U19" s="113">
        <f>COUNTIFS('BA History'!$B:$B,$A$19,'BA History'!R:R, 1)</f>
        <v>1</v>
      </c>
      <c r="V19" s="113">
        <f>COUNTIFS('BA History'!$B:$B,$A$19,'BA History'!S:S, 1)</f>
        <v>0</v>
      </c>
      <c r="W19" s="113">
        <f>COUNTIFS('BA History'!$B:$B,$A$19,'BA History'!T:T, 1)</f>
        <v>0</v>
      </c>
      <c r="X19" s="113">
        <f>COUNTIFS('BA History'!$B:$B,$A$19,'BA History'!U:U, 1)</f>
        <v>2</v>
      </c>
      <c r="Y19" s="113">
        <f>COUNTIFS('BA History'!$B:$B,$A$19,'BA History'!V:V, 1)</f>
        <v>3</v>
      </c>
      <c r="Z19" s="113">
        <f>COUNTIFS('BA History'!$B:$B,$A$19,'BA History'!W:W, 1)</f>
        <v>1</v>
      </c>
      <c r="AA19" s="113">
        <f>COUNTIFS('BA History'!$B:$B,$A$19,'BA History'!X:X, 1)</f>
        <v>1</v>
      </c>
      <c r="AB19" s="113">
        <f>COUNTIFS('BA History'!$B:$B,$A$19,'BA History'!Y:Y, 1)</f>
        <v>4</v>
      </c>
      <c r="AC19" s="113">
        <f>COUNTIFS('BA History'!$B:$B,$A$19,'BA History'!Z:Z, 1)</f>
        <v>1</v>
      </c>
      <c r="AD19" s="113">
        <f>COUNTIFS('BA History'!$B:$B,$A$19,'BA History'!AA:AA, 1)</f>
        <v>1</v>
      </c>
      <c r="AE19" s="113">
        <f>COUNTIFS('BA History'!$B:$B,$A$19,'BA History'!AB:AB, 1)</f>
        <v>1</v>
      </c>
      <c r="AF19" s="113">
        <f>COUNTIFS('BA History'!$B:$B,$A$19,'BA History'!AC:AC, 1)</f>
        <v>2</v>
      </c>
      <c r="AG19" s="113">
        <f>COUNTIFS('BA History'!$B:$B,$A$19,'BA History'!AD:AD, 1)</f>
        <v>1</v>
      </c>
      <c r="AH19" s="113">
        <f>COUNTIFS('BA History'!$B:$B,$A$19,'BA History'!AE:AE, 1)</f>
        <v>3</v>
      </c>
    </row>
    <row r="20" spans="1:34" x14ac:dyDescent="0.25">
      <c r="A20" s="2" t="s">
        <v>1</v>
      </c>
      <c r="B20" s="34">
        <f>SUMIFS('BA History'!C:C,'BA History'!B:B,A20)</f>
        <v>325</v>
      </c>
      <c r="C20" s="66">
        <f>AVERAGEIFS('BA History'!C:C,'BA History'!B:B,A20)</f>
        <v>29.545454545454547</v>
      </c>
      <c r="D20" s="35">
        <f t="array" ref="D20">MAX(IF('BA History'!B:B=A20, 'BA History'!C:C))</f>
        <v>50</v>
      </c>
      <c r="E20" s="34">
        <f>COUNTIFS('BA History'!B:B,A20,'BA History'!D:D, 1)</f>
        <v>5</v>
      </c>
      <c r="F20" s="2">
        <f>COUNTIFS('BA History'!B:B,A20,'BA History'!D:D, 0)</f>
        <v>6</v>
      </c>
      <c r="G20" s="75">
        <f t="shared" si="3"/>
        <v>0.45454545454545453</v>
      </c>
      <c r="H20" s="34">
        <f>SUMIFS('BA History'!F:F,'BA History'!B:B,A20)</f>
        <v>19</v>
      </c>
      <c r="I20" s="2">
        <f>SUMIFS('BA History'!E:E,'BA History'!B:B,A20)-H20</f>
        <v>26</v>
      </c>
      <c r="J20" s="75">
        <f t="shared" si="4"/>
        <v>0.42222222222222222</v>
      </c>
      <c r="K20" s="34">
        <f>SUMIFS('BA History'!H:H,'BA History'!B:B,A20)</f>
        <v>88</v>
      </c>
      <c r="L20" s="2">
        <f>SUMIFS('BA History'!G:G,'BA History'!B:B,A20)-K20</f>
        <v>105</v>
      </c>
      <c r="M20" s="107">
        <f t="shared" si="5"/>
        <v>0.45595854922279794</v>
      </c>
      <c r="N20" s="113">
        <f>COUNTIFS('BA History'!$B:$B,$A$20,'BA History'!K:K, 1)</f>
        <v>1</v>
      </c>
      <c r="O20" s="113">
        <f>COUNTIFS('BA History'!$B:$B,$A$20,'BA History'!L:L, 1)</f>
        <v>2</v>
      </c>
      <c r="P20" s="113">
        <f>COUNTIFS('BA History'!$B:$B,$A$20,'BA History'!M:M, 1)</f>
        <v>1</v>
      </c>
      <c r="Q20" s="113">
        <f>COUNTIFS('BA History'!$B:$B,$A$20,'BA History'!N:N, 1)</f>
        <v>1</v>
      </c>
      <c r="R20" s="113">
        <f>COUNTIFS('BA History'!$B:$B,$A$20,'BA History'!O:O, 1)</f>
        <v>1</v>
      </c>
      <c r="S20" s="113">
        <f>COUNTIFS('BA History'!$B:$B,$A$20,'BA History'!P:P, 1)</f>
        <v>0</v>
      </c>
      <c r="T20" s="113">
        <f>COUNTIFS('BA History'!$B:$B,$A$20,'BA History'!Q:Q, 1)</f>
        <v>0</v>
      </c>
      <c r="U20" s="113">
        <f>COUNTIFS('BA History'!$B:$B,$A$20,'BA History'!R:R, 1)</f>
        <v>0</v>
      </c>
      <c r="V20" s="113">
        <f>COUNTIFS('BA History'!$B:$B,$A$20,'BA History'!S:S, 1)</f>
        <v>0</v>
      </c>
      <c r="W20" s="113">
        <f>COUNTIFS('BA History'!$B:$B,$A$20,'BA History'!T:T, 1)</f>
        <v>0</v>
      </c>
      <c r="X20" s="113">
        <f>COUNTIFS('BA History'!$B:$B,$A$20,'BA History'!U:U, 1)</f>
        <v>2</v>
      </c>
      <c r="Y20" s="113">
        <f>COUNTIFS('BA History'!$B:$B,$A$20,'BA History'!V:V, 1)</f>
        <v>1</v>
      </c>
      <c r="Z20" s="113">
        <f>COUNTIFS('BA History'!$B:$B,$A$20,'BA History'!W:W, 1)</f>
        <v>0</v>
      </c>
      <c r="AA20" s="113">
        <f>COUNTIFS('BA History'!$B:$B,$A$20,'BA History'!X:X, 1)</f>
        <v>2</v>
      </c>
      <c r="AB20" s="113">
        <f>COUNTIFS('BA History'!$B:$B,$A$20,'BA History'!Y:Y, 1)</f>
        <v>1</v>
      </c>
      <c r="AC20" s="113">
        <f>COUNTIFS('BA History'!$B:$B,$A$20,'BA History'!Z:Z, 1)</f>
        <v>1</v>
      </c>
      <c r="AD20" s="113">
        <f>COUNTIFS('BA History'!$B:$B,$A$20,'BA History'!AA:AA, 1)</f>
        <v>1</v>
      </c>
      <c r="AE20" s="113">
        <f>COUNTIFS('BA History'!$B:$B,$A$20,'BA History'!AB:AB, 1)</f>
        <v>1</v>
      </c>
      <c r="AF20" s="113">
        <f>COUNTIFS('BA History'!$B:$B,$A$20,'BA History'!AC:AC, 1)</f>
        <v>3</v>
      </c>
      <c r="AG20" s="113">
        <f>COUNTIFS('BA History'!$B:$B,$A$20,'BA History'!AD:AD, 1)</f>
        <v>1</v>
      </c>
      <c r="AH20" s="113">
        <f>COUNTIFS('BA History'!$B:$B,$A$20,'BA History'!AE:AE, 1)</f>
        <v>0</v>
      </c>
    </row>
    <row r="21" spans="1:34" x14ac:dyDescent="0.25">
      <c r="A21" s="2" t="s">
        <v>46</v>
      </c>
      <c r="B21" s="34">
        <f>SUMIFS('BA History'!C:C,'BA History'!B:B,A21)</f>
        <v>331</v>
      </c>
      <c r="C21" s="66">
        <f>AVERAGEIFS('BA History'!C:C,'BA History'!B:B,A21)</f>
        <v>19.470588235294116</v>
      </c>
      <c r="D21" s="35">
        <f t="array" ref="D21">MAX(IF('BA History'!B:B=A21, 'BA History'!C:C))</f>
        <v>27</v>
      </c>
      <c r="E21" s="34">
        <f>COUNTIFS('BA History'!B:B,A21,'BA History'!D:D, 1)</f>
        <v>7</v>
      </c>
      <c r="F21" s="2">
        <f>COUNTIFS('BA History'!B:B,A21,'BA History'!D:D, 0)</f>
        <v>10</v>
      </c>
      <c r="G21" s="75">
        <f t="shared" si="3"/>
        <v>0.41176470588235292</v>
      </c>
      <c r="H21" s="34">
        <f>SUMIFS('BA History'!F:F,'BA History'!B:B,A21)</f>
        <v>36</v>
      </c>
      <c r="I21" s="2">
        <f>SUMIFS('BA History'!E:E,'BA History'!B:B,A21)-H21</f>
        <v>39</v>
      </c>
      <c r="J21" s="75">
        <f t="shared" si="4"/>
        <v>0.48</v>
      </c>
      <c r="K21" s="34">
        <f>SUMIFS('BA History'!H:H,'BA History'!B:B,A21)</f>
        <v>154</v>
      </c>
      <c r="L21" s="2">
        <f>SUMIFS('BA History'!G:G,'BA History'!B:B,A21)-K21</f>
        <v>162</v>
      </c>
      <c r="M21" s="107">
        <f t="shared" si="5"/>
        <v>0.48734177215189872</v>
      </c>
      <c r="N21" s="113">
        <f>COUNTIFS('BA History'!$B:$B,$A$21,'BA History'!K:K, 1)</f>
        <v>4</v>
      </c>
      <c r="O21" s="113">
        <f>COUNTIFS('BA History'!$B:$B,$A$21,'BA History'!L:L, 1)</f>
        <v>1</v>
      </c>
      <c r="P21" s="113">
        <f>COUNTIFS('BA History'!$B:$B,$A$21,'BA History'!M:M, 1)</f>
        <v>2</v>
      </c>
      <c r="Q21" s="113">
        <f>COUNTIFS('BA History'!$B:$B,$A$21,'BA History'!N:N, 1)</f>
        <v>3</v>
      </c>
      <c r="R21" s="113">
        <f>COUNTIFS('BA History'!$B:$B,$A$21,'BA History'!O:O, 1)</f>
        <v>1</v>
      </c>
      <c r="S21" s="113">
        <f>COUNTIFS('BA History'!$B:$B,$A$21,'BA History'!P:P, 1)</f>
        <v>0</v>
      </c>
      <c r="T21" s="113">
        <f>COUNTIFS('BA History'!$B:$B,$A$21,'BA History'!Q:Q, 1)</f>
        <v>0</v>
      </c>
      <c r="U21" s="113">
        <f>COUNTIFS('BA History'!$B:$B,$A$21,'BA History'!R:R, 1)</f>
        <v>1</v>
      </c>
      <c r="V21" s="113">
        <f>COUNTIFS('BA History'!$B:$B,$A$21,'BA History'!S:S, 1)</f>
        <v>0</v>
      </c>
      <c r="W21" s="113">
        <f>COUNTIFS('BA History'!$B:$B,$A$21,'BA History'!T:T, 1)</f>
        <v>1</v>
      </c>
      <c r="X21" s="113">
        <f>COUNTIFS('BA History'!$B:$B,$A$21,'BA History'!U:U, 1)</f>
        <v>1</v>
      </c>
      <c r="Y21" s="113">
        <f>COUNTIFS('BA History'!$B:$B,$A$21,'BA History'!V:V, 1)</f>
        <v>2</v>
      </c>
      <c r="Z21" s="113">
        <f>COUNTIFS('BA History'!$B:$B,$A$21,'BA History'!W:W, 1)</f>
        <v>1</v>
      </c>
      <c r="AA21" s="113">
        <f>COUNTIFS('BA History'!$B:$B,$A$21,'BA History'!X:X, 1)</f>
        <v>0</v>
      </c>
      <c r="AB21" s="113">
        <f>COUNTIFS('BA History'!$B:$B,$A$21,'BA History'!Y:Y, 1)</f>
        <v>6</v>
      </c>
      <c r="AC21" s="113">
        <f>COUNTIFS('BA History'!$B:$B,$A$21,'BA History'!Z:Z, 1)</f>
        <v>1</v>
      </c>
      <c r="AD21" s="113">
        <f>COUNTIFS('BA History'!$B:$B,$A$21,'BA History'!AA:AA, 1)</f>
        <v>5</v>
      </c>
      <c r="AE21" s="113">
        <f>COUNTIFS('BA History'!$B:$B,$A$21,'BA History'!AB:AB, 1)</f>
        <v>0</v>
      </c>
      <c r="AF21" s="113">
        <f>COUNTIFS('BA History'!$B:$B,$A$21,'BA History'!AC:AC, 1)</f>
        <v>3</v>
      </c>
      <c r="AG21" s="113">
        <f>COUNTIFS('BA History'!$B:$B,$A$21,'BA History'!AD:AD, 1)</f>
        <v>2</v>
      </c>
      <c r="AH21" s="113">
        <f>COUNTIFS('BA History'!$B:$B,$A$21,'BA History'!AE:AE, 1)</f>
        <v>2</v>
      </c>
    </row>
    <row r="22" spans="1:34" x14ac:dyDescent="0.25">
      <c r="A22" s="2" t="s">
        <v>28</v>
      </c>
      <c r="B22" s="34">
        <f>SUMIFS('BA History'!C:C,'BA History'!B:B,A22)</f>
        <v>248</v>
      </c>
      <c r="C22" s="66">
        <f>AVERAGEIFS('BA History'!C:C,'BA History'!B:B,A22)</f>
        <v>16.533333333333335</v>
      </c>
      <c r="D22" s="35">
        <f t="array" ref="D22">MAX(IF('BA History'!B:B=A22, 'BA History'!C:C))</f>
        <v>25</v>
      </c>
      <c r="E22" s="34">
        <f>COUNTIFS('BA History'!B:B,A22,'BA History'!D:D, 1)</f>
        <v>5</v>
      </c>
      <c r="F22" s="2">
        <f>COUNTIFS('BA History'!B:B,A22,'BA History'!D:D, 0)</f>
        <v>10</v>
      </c>
      <c r="G22" s="75">
        <f t="shared" si="3"/>
        <v>0.33333333333333331</v>
      </c>
      <c r="H22" s="34">
        <f>SUMIFS('BA History'!F:F,'BA History'!B:B,A22)</f>
        <v>24</v>
      </c>
      <c r="I22" s="2">
        <f>SUMIFS('BA History'!E:E,'BA History'!B:B,A22)-H22</f>
        <v>34</v>
      </c>
      <c r="J22" s="75">
        <f t="shared" si="4"/>
        <v>0.41379310344827586</v>
      </c>
      <c r="K22" s="34">
        <f>SUMIFS('BA History'!H:H,'BA History'!B:B,A22)</f>
        <v>116</v>
      </c>
      <c r="L22" s="2">
        <f>SUMIFS('BA History'!G:G,'BA History'!B:B,A22)-K22</f>
        <v>127</v>
      </c>
      <c r="M22" s="107">
        <f t="shared" si="5"/>
        <v>0.47736625514403291</v>
      </c>
      <c r="N22" s="113">
        <f>COUNTIFS('BA History'!$B:$B,$A$22,'BA History'!K:K, 1)</f>
        <v>0</v>
      </c>
      <c r="O22" s="113">
        <f>COUNTIFS('BA History'!$B:$B,$A$22,'BA History'!L:L, 1)</f>
        <v>2</v>
      </c>
      <c r="P22" s="113">
        <f>COUNTIFS('BA History'!$B:$B,$A$22,'BA History'!M:M, 1)</f>
        <v>1</v>
      </c>
      <c r="Q22" s="113">
        <f>COUNTIFS('BA History'!$B:$B,$A$22,'BA History'!N:N, 1)</f>
        <v>2</v>
      </c>
      <c r="R22" s="113">
        <f>COUNTIFS('BA History'!$B:$B,$A$22,'BA History'!O:O, 1)</f>
        <v>1</v>
      </c>
      <c r="S22" s="113">
        <f>COUNTIFS('BA History'!$B:$B,$A$22,'BA History'!P:P, 1)</f>
        <v>0</v>
      </c>
      <c r="T22" s="113">
        <f>COUNTIFS('BA History'!$B:$B,$A$22,'BA History'!Q:Q, 1)</f>
        <v>2</v>
      </c>
      <c r="U22" s="113">
        <f>COUNTIFS('BA History'!$B:$B,$A$22,'BA History'!R:R, 1)</f>
        <v>1</v>
      </c>
      <c r="V22" s="113">
        <f>COUNTIFS('BA History'!$B:$B,$A$22,'BA History'!S:S, 1)</f>
        <v>1</v>
      </c>
      <c r="W22" s="113">
        <f>COUNTIFS('BA History'!$B:$B,$A$22,'BA History'!T:T, 1)</f>
        <v>2</v>
      </c>
      <c r="X22" s="113">
        <f>COUNTIFS('BA History'!$B:$B,$A$22,'BA History'!U:U, 1)</f>
        <v>1</v>
      </c>
      <c r="Y22" s="113">
        <f>COUNTIFS('BA History'!$B:$B,$A$22,'BA History'!V:V, 1)</f>
        <v>0</v>
      </c>
      <c r="Z22" s="113">
        <f>COUNTIFS('BA History'!$B:$B,$A$22,'BA History'!W:W, 1)</f>
        <v>1</v>
      </c>
      <c r="AA22" s="113">
        <f>COUNTIFS('BA History'!$B:$B,$A$22,'BA History'!X:X, 1)</f>
        <v>1</v>
      </c>
      <c r="AB22" s="113">
        <f>COUNTIFS('BA History'!$B:$B,$A$22,'BA History'!Y:Y, 1)</f>
        <v>3</v>
      </c>
      <c r="AC22" s="113">
        <f>COUNTIFS('BA History'!$B:$B,$A$22,'BA History'!Z:Z, 1)</f>
        <v>0</v>
      </c>
      <c r="AD22" s="113">
        <f>COUNTIFS('BA History'!$B:$B,$A$22,'BA History'!AA:AA, 1)</f>
        <v>3</v>
      </c>
      <c r="AE22" s="113">
        <f>COUNTIFS('BA History'!$B:$B,$A$22,'BA History'!AB:AB, 1)</f>
        <v>1</v>
      </c>
      <c r="AF22" s="113">
        <f>COUNTIFS('BA History'!$B:$B,$A$22,'BA History'!AC:AC, 1)</f>
        <v>2</v>
      </c>
      <c r="AG22" s="113">
        <f>COUNTIFS('BA History'!$B:$B,$A$22,'BA History'!AD:AD, 1)</f>
        <v>0</v>
      </c>
      <c r="AH22" s="113">
        <f>COUNTIFS('BA History'!$B:$B,$A$22,'BA History'!AE:AE, 1)</f>
        <v>0</v>
      </c>
    </row>
    <row r="23" spans="1:34" x14ac:dyDescent="0.25">
      <c r="A23" s="2" t="s">
        <v>53</v>
      </c>
      <c r="B23" s="34">
        <f>SUMIFS('BA History'!C:C,'BA History'!B:B,A23)</f>
        <v>178</v>
      </c>
      <c r="C23" s="66">
        <f>AVERAGEIFS('BA History'!C:C,'BA History'!B:B,A23)</f>
        <v>17.8</v>
      </c>
      <c r="D23" s="35">
        <f t="array" ref="D23">MAX(IF('BA History'!B:B=A23, 'BA History'!C:C))</f>
        <v>36</v>
      </c>
      <c r="E23" s="34">
        <f>COUNTIFS('BA History'!B:B,A23,'BA History'!D:D, 1)</f>
        <v>5</v>
      </c>
      <c r="F23" s="2">
        <f>COUNTIFS('BA History'!B:B,A23,'BA History'!D:D, 0)</f>
        <v>5</v>
      </c>
      <c r="G23" s="75">
        <f t="shared" si="3"/>
        <v>0.5</v>
      </c>
      <c r="H23" s="34">
        <f>SUMIFS('BA History'!F:F,'BA History'!B:B,A23)</f>
        <v>21</v>
      </c>
      <c r="I23" s="2">
        <f>SUMIFS('BA History'!E:E,'BA History'!B:B,A23)-H23</f>
        <v>18</v>
      </c>
      <c r="J23" s="75">
        <f t="shared" si="4"/>
        <v>0.53846153846153844</v>
      </c>
      <c r="K23" s="34">
        <f>SUMIFS('BA History'!H:H,'BA History'!B:B,A23)</f>
        <v>81</v>
      </c>
      <c r="L23" s="2">
        <f>SUMIFS('BA History'!G:G,'BA History'!B:B,A23)-K23</f>
        <v>78</v>
      </c>
      <c r="M23" s="107">
        <f t="shared" si="5"/>
        <v>0.50943396226415094</v>
      </c>
      <c r="N23" s="113">
        <f>COUNTIFS('BA History'!$B:$B,$A$23,'BA History'!K:K, 1)</f>
        <v>1</v>
      </c>
      <c r="O23" s="113">
        <f>COUNTIFS('BA History'!$B:$B,$A$23,'BA History'!L:L, 1)</f>
        <v>1</v>
      </c>
      <c r="P23" s="113">
        <f>COUNTIFS('BA History'!$B:$B,$A$23,'BA History'!M:M, 1)</f>
        <v>0</v>
      </c>
      <c r="Q23" s="113">
        <f>COUNTIFS('BA History'!$B:$B,$A$23,'BA History'!N:N, 1)</f>
        <v>3</v>
      </c>
      <c r="R23" s="113">
        <f>COUNTIFS('BA History'!$B:$B,$A$23,'BA History'!O:O, 1)</f>
        <v>0</v>
      </c>
      <c r="S23" s="113">
        <f>COUNTIFS('BA History'!$B:$B,$A$23,'BA History'!P:P, 1)</f>
        <v>0</v>
      </c>
      <c r="T23" s="113">
        <f>COUNTIFS('BA History'!$B:$B,$A$23,'BA History'!Q:Q, 1)</f>
        <v>1</v>
      </c>
      <c r="U23" s="113">
        <f>COUNTIFS('BA History'!$B:$B,$A$23,'BA History'!R:R, 1)</f>
        <v>0</v>
      </c>
      <c r="V23" s="113">
        <f>COUNTIFS('BA History'!$B:$B,$A$23,'BA History'!S:S, 1)</f>
        <v>0</v>
      </c>
      <c r="W23" s="113">
        <f>COUNTIFS('BA History'!$B:$B,$A$23,'BA History'!T:T, 1)</f>
        <v>0</v>
      </c>
      <c r="X23" s="113">
        <f>COUNTIFS('BA History'!$B:$B,$A$23,'BA History'!U:U, 1)</f>
        <v>2</v>
      </c>
      <c r="Y23" s="113">
        <f>COUNTIFS('BA History'!$B:$B,$A$23,'BA History'!V:V, 1)</f>
        <v>1</v>
      </c>
      <c r="Z23" s="113">
        <f>COUNTIFS('BA History'!$B:$B,$A$23,'BA History'!W:W, 1)</f>
        <v>1</v>
      </c>
      <c r="AA23" s="113">
        <f>COUNTIFS('BA History'!$B:$B,$A$23,'BA History'!X:X, 1)</f>
        <v>0</v>
      </c>
      <c r="AB23" s="113">
        <f>COUNTIFS('BA History'!$B:$B,$A$23,'BA History'!Y:Y, 1)</f>
        <v>4</v>
      </c>
      <c r="AC23" s="113">
        <f>COUNTIFS('BA History'!$B:$B,$A$23,'BA History'!Z:Z, 1)</f>
        <v>0</v>
      </c>
      <c r="AD23" s="113">
        <f>COUNTIFS('BA History'!$B:$B,$A$23,'BA History'!AA:AA, 1)</f>
        <v>4</v>
      </c>
      <c r="AE23" s="113">
        <f>COUNTIFS('BA History'!$B:$B,$A$23,'BA History'!AB:AB, 1)</f>
        <v>1</v>
      </c>
      <c r="AF23" s="113">
        <f>COUNTIFS('BA History'!$B:$B,$A$23,'BA History'!AC:AC, 1)</f>
        <v>2</v>
      </c>
      <c r="AG23" s="113">
        <f>COUNTIFS('BA History'!$B:$B,$A$23,'BA History'!AD:AD, 1)</f>
        <v>0</v>
      </c>
      <c r="AH23" s="113">
        <f>COUNTIFS('BA History'!$B:$B,$A$23,'BA History'!AE:AE, 1)</f>
        <v>0</v>
      </c>
    </row>
    <row r="24" spans="1:34" x14ac:dyDescent="0.25">
      <c r="A24" s="2" t="s">
        <v>51</v>
      </c>
      <c r="B24" s="34">
        <f>SUMIFS('BA History'!C:C,'BA History'!B:B,A24)</f>
        <v>21</v>
      </c>
      <c r="C24" s="66">
        <f>AVERAGEIFS('BA History'!C:C,'BA History'!B:B,A24)</f>
        <v>10.5</v>
      </c>
      <c r="D24" s="35">
        <f t="array" ref="D24">MAX(IF('BA History'!B:B=A24, 'BA History'!C:C))</f>
        <v>16</v>
      </c>
      <c r="E24" s="34">
        <f>COUNTIFS('BA History'!B:B,A24,'BA History'!D:D, 1)</f>
        <v>1</v>
      </c>
      <c r="F24" s="2">
        <f>COUNTIFS('BA History'!B:B,A24,'BA History'!D:D, 0)</f>
        <v>1</v>
      </c>
      <c r="G24" s="75">
        <f t="shared" si="3"/>
        <v>0.5</v>
      </c>
      <c r="H24" s="34">
        <f>SUMIFS('BA History'!F:F,'BA History'!B:B,A24)</f>
        <v>2</v>
      </c>
      <c r="I24" s="2">
        <f>SUMIFS('BA History'!E:E,'BA History'!B:B,A24)-H24</f>
        <v>4</v>
      </c>
      <c r="J24" s="75">
        <f t="shared" si="4"/>
        <v>0.33333333333333331</v>
      </c>
      <c r="K24" s="34">
        <f>SUMIFS('BA History'!H:H,'BA History'!B:B,A24)</f>
        <v>10</v>
      </c>
      <c r="L24" s="2">
        <f>SUMIFS('BA History'!G:G,'BA History'!B:B,A24)-K24</f>
        <v>16</v>
      </c>
      <c r="M24" s="107">
        <f t="shared" si="5"/>
        <v>0.38461538461538464</v>
      </c>
      <c r="N24" s="113">
        <f>COUNTIFS('BA History'!$B:$B,$A$24,'BA History'!K:K, 1)</f>
        <v>0</v>
      </c>
      <c r="O24" s="113">
        <f>COUNTIFS('BA History'!$B:$B,$A$24,'BA History'!L:L, 1)</f>
        <v>0</v>
      </c>
      <c r="P24" s="113">
        <f>COUNTIFS('BA History'!$B:$B,$A$24,'BA History'!M:M, 1)</f>
        <v>0</v>
      </c>
      <c r="Q24" s="113">
        <f>COUNTIFS('BA History'!$B:$B,$A$24,'BA History'!N:N, 1)</f>
        <v>0</v>
      </c>
      <c r="R24" s="113">
        <f>COUNTIFS('BA History'!$B:$B,$A$24,'BA History'!O:O, 1)</f>
        <v>0</v>
      </c>
      <c r="S24" s="113">
        <f>COUNTIFS('BA History'!$B:$B,$A$24,'BA History'!P:P, 1)</f>
        <v>0</v>
      </c>
      <c r="T24" s="113">
        <f>COUNTIFS('BA History'!$B:$B,$A$24,'BA History'!Q:Q, 1)</f>
        <v>0</v>
      </c>
      <c r="U24" s="113">
        <f>COUNTIFS('BA History'!$B:$B,$A$24,'BA History'!R:R, 1)</f>
        <v>0</v>
      </c>
      <c r="V24" s="113">
        <f>COUNTIFS('BA History'!$B:$B,$A$24,'BA History'!S:S, 1)</f>
        <v>0</v>
      </c>
      <c r="W24" s="113">
        <f>COUNTIFS('BA History'!$B:$B,$A$24,'BA History'!T:T, 1)</f>
        <v>0</v>
      </c>
      <c r="X24" s="113">
        <f>COUNTIFS('BA History'!$B:$B,$A$24,'BA History'!U:U, 1)</f>
        <v>0</v>
      </c>
      <c r="Y24" s="113">
        <f>COUNTIFS('BA History'!$B:$B,$A$24,'BA History'!V:V, 1)</f>
        <v>0</v>
      </c>
      <c r="Z24" s="113">
        <f>COUNTIFS('BA History'!$B:$B,$A$24,'BA History'!W:W, 1)</f>
        <v>0</v>
      </c>
      <c r="AA24" s="113">
        <f>COUNTIFS('BA History'!$B:$B,$A$24,'BA History'!X:X, 1)</f>
        <v>1</v>
      </c>
      <c r="AB24" s="113">
        <f>COUNTIFS('BA History'!$B:$B,$A$24,'BA History'!Y:Y, 1)</f>
        <v>0</v>
      </c>
      <c r="AC24" s="113">
        <f>COUNTIFS('BA History'!$B:$B,$A$24,'BA History'!Z:Z, 1)</f>
        <v>0</v>
      </c>
      <c r="AD24" s="113">
        <f>COUNTIFS('BA History'!$B:$B,$A$24,'BA History'!AA:AA, 1)</f>
        <v>0</v>
      </c>
      <c r="AE24" s="113">
        <f>COUNTIFS('BA History'!$B:$B,$A$24,'BA History'!AB:AB, 1)</f>
        <v>1</v>
      </c>
      <c r="AF24" s="113">
        <f>COUNTIFS('BA History'!$B:$B,$A$24,'BA History'!AC:AC, 1)</f>
        <v>0</v>
      </c>
      <c r="AG24" s="113">
        <f>COUNTIFS('BA History'!$B:$B,$A$24,'BA History'!AD:AD, 1)</f>
        <v>0</v>
      </c>
      <c r="AH24" s="113">
        <f>COUNTIFS('BA History'!$B:$B,$A$24,'BA History'!AE:AE, 1)</f>
        <v>0</v>
      </c>
    </row>
    <row r="25" spans="1:34" x14ac:dyDescent="0.25">
      <c r="A25" s="2" t="s">
        <v>47</v>
      </c>
      <c r="B25" s="34">
        <f>SUMIFS('BA History'!C:C,'BA History'!B:B,A25)</f>
        <v>21</v>
      </c>
      <c r="C25" s="66">
        <f>AVERAGEIFS('BA History'!C:C,'BA History'!B:B,A25)</f>
        <v>5.25</v>
      </c>
      <c r="D25" s="35">
        <f t="array" ref="D25">MAX(IF('BA History'!B:B=A25, 'BA History'!C:C))</f>
        <v>8</v>
      </c>
      <c r="E25" s="34">
        <f>COUNTIFS('BA History'!B:B,A25,'BA History'!D:D, 1)</f>
        <v>1</v>
      </c>
      <c r="F25" s="2">
        <f>COUNTIFS('BA History'!B:B,A25,'BA History'!D:D, 0)</f>
        <v>3</v>
      </c>
      <c r="G25" s="75">
        <f t="shared" si="3"/>
        <v>0.25</v>
      </c>
      <c r="H25" s="34">
        <f>SUMIFS('BA History'!F:F,'BA History'!B:B,A25)</f>
        <v>8</v>
      </c>
      <c r="I25" s="2">
        <f>SUMIFS('BA History'!E:E,'BA History'!B:B,A25)-H25</f>
        <v>11</v>
      </c>
      <c r="J25" s="75">
        <f t="shared" si="4"/>
        <v>0.42105263157894735</v>
      </c>
      <c r="K25" s="34">
        <f>SUMIFS('BA History'!H:H,'BA History'!B:B,A25)</f>
        <v>31</v>
      </c>
      <c r="L25" s="2">
        <f>SUMIFS('BA History'!G:G,'BA History'!B:B,A25)-K25</f>
        <v>41</v>
      </c>
      <c r="M25" s="107">
        <f t="shared" si="5"/>
        <v>0.43055555555555558</v>
      </c>
      <c r="N25" s="113">
        <f>COUNTIFS('BA History'!$B:$B,$A$25,'BA History'!K:K, 1)</f>
        <v>1</v>
      </c>
      <c r="O25" s="113">
        <f>COUNTIFS('BA History'!$B:$B,$A$25,'BA History'!L:L, 1)</f>
        <v>1</v>
      </c>
      <c r="P25" s="113">
        <f>COUNTIFS('BA History'!$B:$B,$A$25,'BA History'!M:M, 1)</f>
        <v>0</v>
      </c>
      <c r="Q25" s="113">
        <f>COUNTIFS('BA History'!$B:$B,$A$25,'BA History'!N:N, 1)</f>
        <v>1</v>
      </c>
      <c r="R25" s="113">
        <f>COUNTIFS('BA History'!$B:$B,$A$25,'BA History'!O:O, 1)</f>
        <v>0</v>
      </c>
      <c r="S25" s="113">
        <f>COUNTIFS('BA History'!$B:$B,$A$25,'BA History'!P:P, 1)</f>
        <v>0</v>
      </c>
      <c r="T25" s="113">
        <f>COUNTIFS('BA History'!$B:$B,$A$25,'BA History'!Q:Q, 1)</f>
        <v>0</v>
      </c>
      <c r="U25" s="113">
        <f>COUNTIFS('BA History'!$B:$B,$A$25,'BA History'!R:R, 1)</f>
        <v>0</v>
      </c>
      <c r="V25" s="113">
        <f>COUNTIFS('BA History'!$B:$B,$A$25,'BA History'!S:S, 1)</f>
        <v>0</v>
      </c>
      <c r="W25" s="113">
        <f>COUNTIFS('BA History'!$B:$B,$A$25,'BA History'!T:T, 1)</f>
        <v>0</v>
      </c>
      <c r="X25" s="113">
        <f>COUNTIFS('BA History'!$B:$B,$A$25,'BA History'!U:U, 1)</f>
        <v>0</v>
      </c>
      <c r="Y25" s="113">
        <f>COUNTIFS('BA History'!$B:$B,$A$25,'BA History'!V:V, 1)</f>
        <v>1</v>
      </c>
      <c r="Z25" s="113">
        <f>COUNTIFS('BA History'!$B:$B,$A$25,'BA History'!W:W, 1)</f>
        <v>0</v>
      </c>
      <c r="AA25" s="113">
        <f>COUNTIFS('BA History'!$B:$B,$A$25,'BA History'!X:X, 1)</f>
        <v>1</v>
      </c>
      <c r="AB25" s="113">
        <f>COUNTIFS('BA History'!$B:$B,$A$25,'BA History'!Y:Y, 1)</f>
        <v>1</v>
      </c>
      <c r="AC25" s="113">
        <f>COUNTIFS('BA History'!$B:$B,$A$25,'BA History'!Z:Z, 1)</f>
        <v>0</v>
      </c>
      <c r="AD25" s="113">
        <f>COUNTIFS('BA History'!$B:$B,$A$25,'BA History'!AA:AA, 1)</f>
        <v>0</v>
      </c>
      <c r="AE25" s="113">
        <f>COUNTIFS('BA History'!$B:$B,$A$25,'BA History'!AB:AB, 1)</f>
        <v>0</v>
      </c>
      <c r="AF25" s="113">
        <f>COUNTIFS('BA History'!$B:$B,$A$25,'BA History'!AC:AC, 1)</f>
        <v>1</v>
      </c>
      <c r="AG25" s="113">
        <f>COUNTIFS('BA History'!$B:$B,$A$25,'BA History'!AD:AD, 1)</f>
        <v>0</v>
      </c>
      <c r="AH25" s="113">
        <f>COUNTIFS('BA History'!$B:$B,$A$25,'BA History'!AE:AE, 1)</f>
        <v>1</v>
      </c>
    </row>
    <row r="26" spans="1:34" x14ac:dyDescent="0.25">
      <c r="A26" s="2" t="s">
        <v>3</v>
      </c>
      <c r="B26" s="34">
        <f>SUMIFS('BA History'!C:C,'BA History'!B:B,A26)</f>
        <v>157</v>
      </c>
      <c r="C26" s="66">
        <f>AVERAGEIFS('BA History'!C:C,'BA History'!B:B,A26)</f>
        <v>19.625</v>
      </c>
      <c r="D26" s="35">
        <f t="array" ref="D26">MAX(IF('BA History'!B:B=A26, 'BA History'!C:C))</f>
        <v>27</v>
      </c>
      <c r="E26" s="34">
        <f>COUNTIFS('BA History'!B:B,A26,'BA History'!D:D, 1)</f>
        <v>3</v>
      </c>
      <c r="F26" s="2">
        <f>COUNTIFS('BA History'!B:B,A26,'BA History'!D:D, 0)</f>
        <v>5</v>
      </c>
      <c r="G26" s="75">
        <f t="shared" si="3"/>
        <v>0.375</v>
      </c>
      <c r="H26" s="34">
        <f>SUMIFS('BA History'!F:F,'BA History'!B:B,A26)</f>
        <v>16</v>
      </c>
      <c r="I26" s="2">
        <f>SUMIFS('BA History'!E:E,'BA History'!B:B,A26)-H26</f>
        <v>20</v>
      </c>
      <c r="J26" s="75">
        <f t="shared" si="4"/>
        <v>0.44444444444444442</v>
      </c>
      <c r="K26" s="34">
        <f>SUMIFS('BA History'!H:H,'BA History'!B:B,A26)</f>
        <v>74</v>
      </c>
      <c r="L26" s="2">
        <f>SUMIFS('BA History'!G:G,'BA History'!B:B,A26)-K26</f>
        <v>83</v>
      </c>
      <c r="M26" s="107">
        <f t="shared" si="5"/>
        <v>0.4713375796178344</v>
      </c>
      <c r="N26" s="113">
        <f>COUNTIFS('BA History'!$B:$B,$A$26,'BA History'!K:K, 1)</f>
        <v>0</v>
      </c>
      <c r="O26" s="113">
        <f>COUNTIFS('BA History'!$B:$B,$A$26,'BA History'!L:L, 1)</f>
        <v>2</v>
      </c>
      <c r="P26" s="113">
        <f>COUNTIFS('BA History'!$B:$B,$A$26,'BA History'!M:M, 1)</f>
        <v>2</v>
      </c>
      <c r="Q26" s="113">
        <f>COUNTIFS('BA History'!$B:$B,$A$26,'BA History'!N:N, 1)</f>
        <v>1</v>
      </c>
      <c r="R26" s="113">
        <f>COUNTIFS('BA History'!$B:$B,$A$26,'BA History'!O:O, 1)</f>
        <v>0</v>
      </c>
      <c r="S26" s="113">
        <f>COUNTIFS('BA History'!$B:$B,$A$26,'BA History'!P:P, 1)</f>
        <v>1</v>
      </c>
      <c r="T26" s="113">
        <f>COUNTIFS('BA History'!$B:$B,$A$26,'BA History'!Q:Q, 1)</f>
        <v>0</v>
      </c>
      <c r="U26" s="113">
        <f>COUNTIFS('BA History'!$B:$B,$A$26,'BA History'!R:R, 1)</f>
        <v>0</v>
      </c>
      <c r="V26" s="113">
        <f>COUNTIFS('BA History'!$B:$B,$A$26,'BA History'!S:S, 1)</f>
        <v>0</v>
      </c>
      <c r="W26" s="113">
        <f>COUNTIFS('BA History'!$B:$B,$A$26,'BA History'!T:T, 1)</f>
        <v>1</v>
      </c>
      <c r="X26" s="113">
        <f>COUNTIFS('BA History'!$B:$B,$A$26,'BA History'!U:U, 1)</f>
        <v>0</v>
      </c>
      <c r="Y26" s="113">
        <f>COUNTIFS('BA History'!$B:$B,$A$26,'BA History'!V:V, 1)</f>
        <v>0</v>
      </c>
      <c r="Z26" s="113">
        <f>COUNTIFS('BA History'!$B:$B,$A$26,'BA History'!W:W, 1)</f>
        <v>0</v>
      </c>
      <c r="AA26" s="113">
        <f>COUNTIFS('BA History'!$B:$B,$A$26,'BA History'!X:X, 1)</f>
        <v>2</v>
      </c>
      <c r="AB26" s="113">
        <f>COUNTIFS('BA History'!$B:$B,$A$26,'BA History'!Y:Y, 1)</f>
        <v>1</v>
      </c>
      <c r="AC26" s="113">
        <f>COUNTIFS('BA History'!$B:$B,$A$26,'BA History'!Z:Z, 1)</f>
        <v>0</v>
      </c>
      <c r="AD26" s="113">
        <f>COUNTIFS('BA History'!$B:$B,$A$26,'BA History'!AA:AA, 1)</f>
        <v>1</v>
      </c>
      <c r="AE26" s="113">
        <f>COUNTIFS('BA History'!$B:$B,$A$26,'BA History'!AB:AB, 1)</f>
        <v>3</v>
      </c>
      <c r="AF26" s="113">
        <f>COUNTIFS('BA History'!$B:$B,$A$26,'BA History'!AC:AC, 1)</f>
        <v>2</v>
      </c>
      <c r="AG26" s="113">
        <f>COUNTIFS('BA History'!$B:$B,$A$26,'BA History'!AD:AD, 1)</f>
        <v>0</v>
      </c>
      <c r="AH26" s="113">
        <f>COUNTIFS('BA History'!$B:$B,$A$26,'BA History'!AE:AE, 1)</f>
        <v>0</v>
      </c>
    </row>
    <row r="27" spans="1:34" x14ac:dyDescent="0.25">
      <c r="A27" s="2" t="s">
        <v>15</v>
      </c>
      <c r="B27" s="34">
        <f>SUMIFS('BA History'!C:C,'BA History'!B:B,A27)</f>
        <v>4</v>
      </c>
      <c r="C27" s="66">
        <f>AVERAGEIFS('BA History'!C:C,'BA History'!B:B,A27)</f>
        <v>4</v>
      </c>
      <c r="D27" s="35">
        <f t="array" ref="D27">MAX(IF('BA History'!B:B=A27, 'BA History'!C:C))</f>
        <v>4</v>
      </c>
      <c r="E27" s="34">
        <f>COUNTIFS('BA History'!B:B,A27,'BA History'!D:D, 1)</f>
        <v>0</v>
      </c>
      <c r="F27" s="2">
        <f>COUNTIFS('BA History'!B:B,A27,'BA History'!D:D, 0)</f>
        <v>1</v>
      </c>
      <c r="G27" s="75">
        <f t="shared" si="3"/>
        <v>0</v>
      </c>
      <c r="H27" s="34">
        <f>SUMIFS('BA History'!F:F,'BA History'!B:B,A27)</f>
        <v>0</v>
      </c>
      <c r="I27" s="2">
        <f>SUMIFS('BA History'!E:E,'BA History'!B:B,A27)-H27</f>
        <v>3</v>
      </c>
      <c r="J27" s="75">
        <f t="shared" si="4"/>
        <v>0</v>
      </c>
      <c r="K27" s="34">
        <f>SUMIFS('BA History'!H:H,'BA History'!B:B,A27)</f>
        <v>1</v>
      </c>
      <c r="L27" s="2">
        <f>SUMIFS('BA History'!G:G,'BA History'!B:B,A27)-K27</f>
        <v>9</v>
      </c>
      <c r="M27" s="107">
        <f t="shared" si="5"/>
        <v>0.1</v>
      </c>
      <c r="N27" s="113">
        <f>COUNTIFS('BA History'!$B:$B,$A$27,'BA History'!K:K, 1)</f>
        <v>0</v>
      </c>
      <c r="O27" s="113">
        <f>COUNTIFS('BA History'!$B:$B,$A$27,'BA History'!L:L, 1)</f>
        <v>0</v>
      </c>
      <c r="P27" s="113">
        <f>COUNTIFS('BA History'!$B:$B,$A$27,'BA History'!M:M, 1)</f>
        <v>0</v>
      </c>
      <c r="Q27" s="113">
        <f>COUNTIFS('BA History'!$B:$B,$A$27,'BA History'!N:N, 1)</f>
        <v>0</v>
      </c>
      <c r="R27" s="113">
        <f>COUNTIFS('BA History'!$B:$B,$A$27,'BA History'!O:O, 1)</f>
        <v>0</v>
      </c>
      <c r="S27" s="113">
        <f>COUNTIFS('BA History'!$B:$B,$A$27,'BA History'!P:P, 1)</f>
        <v>0</v>
      </c>
      <c r="T27" s="113">
        <f>COUNTIFS('BA History'!$B:$B,$A$27,'BA History'!Q:Q, 1)</f>
        <v>0</v>
      </c>
      <c r="U27" s="113">
        <f>COUNTIFS('BA History'!$B:$B,$A$27,'BA History'!R:R, 1)</f>
        <v>0</v>
      </c>
      <c r="V27" s="113">
        <f>COUNTIFS('BA History'!$B:$B,$A$27,'BA History'!S:S, 1)</f>
        <v>0</v>
      </c>
      <c r="W27" s="113">
        <f>COUNTIFS('BA History'!$B:$B,$A$27,'BA History'!T:T, 1)</f>
        <v>0</v>
      </c>
      <c r="X27" s="113">
        <f>COUNTIFS('BA History'!$B:$B,$A$27,'BA History'!U:U, 1)</f>
        <v>0</v>
      </c>
      <c r="Y27" s="113">
        <f>COUNTIFS('BA History'!$B:$B,$A$27,'BA History'!V:V, 1)</f>
        <v>0</v>
      </c>
      <c r="Z27" s="113">
        <f>COUNTIFS('BA History'!$B:$B,$A$27,'BA History'!W:W, 1)</f>
        <v>0</v>
      </c>
      <c r="AA27" s="113">
        <f>COUNTIFS('BA History'!$B:$B,$A$27,'BA History'!X:X, 1)</f>
        <v>0</v>
      </c>
      <c r="AB27" s="113">
        <f>COUNTIFS('BA History'!$B:$B,$A$27,'BA History'!Y:Y, 1)</f>
        <v>0</v>
      </c>
      <c r="AC27" s="113">
        <f>COUNTIFS('BA History'!$B:$B,$A$27,'BA History'!Z:Z, 1)</f>
        <v>0</v>
      </c>
      <c r="AD27" s="113">
        <f>COUNTIFS('BA History'!$B:$B,$A$27,'BA History'!AA:AA, 1)</f>
        <v>0</v>
      </c>
      <c r="AE27" s="113">
        <f>COUNTIFS('BA History'!$B:$B,$A$27,'BA History'!AB:AB, 1)</f>
        <v>0</v>
      </c>
      <c r="AF27" s="113">
        <f>COUNTIFS('BA History'!$B:$B,$A$27,'BA History'!AC:AC, 1)</f>
        <v>0</v>
      </c>
      <c r="AG27" s="113">
        <f>COUNTIFS('BA History'!$B:$B,$A$27,'BA History'!AD:AD, 1)</f>
        <v>0</v>
      </c>
      <c r="AH27" s="113">
        <f>COUNTIFS('BA History'!$B:$B,$A$27,'BA History'!AE:AE, 1)</f>
        <v>0</v>
      </c>
    </row>
    <row r="28" spans="1:34" x14ac:dyDescent="0.25">
      <c r="A28" s="2" t="s">
        <v>90</v>
      </c>
      <c r="B28" s="34">
        <f>SUMIFS('BA History'!C:C,'BA History'!B:B,A28)</f>
        <v>3</v>
      </c>
      <c r="C28" s="66">
        <f>AVERAGEIFS('BA History'!C:C,'BA History'!B:B,A28)</f>
        <v>3</v>
      </c>
      <c r="D28" s="35">
        <f t="array" ref="D28">MAX(IF('BA History'!B:B=A28, 'BA History'!C:C))</f>
        <v>3</v>
      </c>
      <c r="E28" s="34">
        <f>COUNTIFS('BA History'!B:B,A28,'BA History'!D:D, 1)</f>
        <v>1</v>
      </c>
      <c r="F28" s="2">
        <f>COUNTIFS('BA History'!B:B,A28,'BA History'!D:D, 0)</f>
        <v>0</v>
      </c>
      <c r="G28" s="75">
        <f t="shared" si="3"/>
        <v>1</v>
      </c>
      <c r="H28" s="34">
        <f>SUMIFS('BA History'!F:F,'BA History'!B:B,A28)</f>
        <v>3</v>
      </c>
      <c r="I28" s="2">
        <f>SUMIFS('BA History'!E:E,'BA History'!B:B,A28)-H28</f>
        <v>0</v>
      </c>
      <c r="J28" s="75">
        <f t="shared" si="4"/>
        <v>1</v>
      </c>
      <c r="K28" s="34">
        <f>SUMIFS('BA History'!H:H,'BA History'!B:B,A28)</f>
        <v>9</v>
      </c>
      <c r="L28" s="2">
        <f>SUMIFS('BA History'!G:G,'BA History'!B:B,A28)-K28</f>
        <v>5</v>
      </c>
      <c r="M28" s="107">
        <f t="shared" si="5"/>
        <v>0.6428571428571429</v>
      </c>
      <c r="N28" s="113">
        <f>COUNTIFS('BA History'!$B:$B,$A$28,'BA History'!K:K, 1)</f>
        <v>0</v>
      </c>
      <c r="O28" s="113">
        <f>COUNTIFS('BA History'!$B:$B,$A$28,'BA History'!L:L, 1)</f>
        <v>0</v>
      </c>
      <c r="P28" s="113">
        <f>COUNTIFS('BA History'!$B:$B,$A$28,'BA History'!M:M, 1)</f>
        <v>0</v>
      </c>
      <c r="Q28" s="113">
        <f>COUNTIFS('BA History'!$B:$B,$A$28,'BA History'!N:N, 1)</f>
        <v>0</v>
      </c>
      <c r="R28" s="113">
        <f>COUNTIFS('BA History'!$B:$B,$A$28,'BA History'!O:O, 1)</f>
        <v>0</v>
      </c>
      <c r="S28" s="113">
        <f>COUNTIFS('BA History'!$B:$B,$A$28,'BA History'!P:P, 1)</f>
        <v>0</v>
      </c>
      <c r="T28" s="113">
        <f>COUNTIFS('BA History'!$B:$B,$A$28,'BA History'!Q:Q, 1)</f>
        <v>0</v>
      </c>
      <c r="U28" s="113">
        <f>COUNTIFS('BA History'!$B:$B,$A$28,'BA History'!R:R, 1)</f>
        <v>0</v>
      </c>
      <c r="V28" s="113">
        <f>COUNTIFS('BA History'!$B:$B,$A$28,'BA History'!S:S, 1)</f>
        <v>0</v>
      </c>
      <c r="W28" s="113">
        <f>COUNTIFS('BA History'!$B:$B,$A$28,'BA History'!T:T, 1)</f>
        <v>0</v>
      </c>
      <c r="X28" s="113">
        <f>COUNTIFS('BA History'!$B:$B,$A$28,'BA History'!U:U, 1)</f>
        <v>1</v>
      </c>
      <c r="Y28" s="113">
        <f>COUNTIFS('BA History'!$B:$B,$A$28,'BA History'!V:V, 1)</f>
        <v>0</v>
      </c>
      <c r="Z28" s="113">
        <f>COUNTIFS('BA History'!$B:$B,$A$28,'BA History'!W:W, 1)</f>
        <v>0</v>
      </c>
      <c r="AA28" s="113">
        <f>COUNTIFS('BA History'!$B:$B,$A$28,'BA History'!X:X, 1)</f>
        <v>0</v>
      </c>
      <c r="AB28" s="113">
        <f>COUNTIFS('BA History'!$B:$B,$A$28,'BA History'!Y:Y, 1)</f>
        <v>0</v>
      </c>
      <c r="AC28" s="113">
        <f>COUNTIFS('BA History'!$B:$B,$A$28,'BA History'!Z:Z, 1)</f>
        <v>0</v>
      </c>
      <c r="AD28" s="113">
        <f>COUNTIFS('BA History'!$B:$B,$A$28,'BA History'!AA:AA, 1)</f>
        <v>1</v>
      </c>
      <c r="AE28" s="113">
        <f>COUNTIFS('BA History'!$B:$B,$A$28,'BA History'!AB:AB, 1)</f>
        <v>1</v>
      </c>
      <c r="AF28" s="113">
        <f>COUNTIFS('BA History'!$B:$B,$A$28,'BA History'!AC:AC, 1)</f>
        <v>0</v>
      </c>
      <c r="AG28" s="113">
        <f>COUNTIFS('BA History'!$B:$B,$A$28,'BA History'!AD:AD, 1)</f>
        <v>0</v>
      </c>
      <c r="AH28" s="113">
        <f>COUNTIFS('BA History'!$B:$B,$A$28,'BA History'!AE:AE, 1)</f>
        <v>0</v>
      </c>
    </row>
    <row r="29" spans="1:34" x14ac:dyDescent="0.25">
      <c r="A29" s="2" t="s">
        <v>13</v>
      </c>
      <c r="B29" s="34">
        <f>SUMIFS('BA History'!C:C,'BA History'!B:B,A29)</f>
        <v>34</v>
      </c>
      <c r="C29" s="66">
        <f>AVERAGEIFS('BA History'!C:C,'BA History'!B:B,A29)</f>
        <v>8.5</v>
      </c>
      <c r="D29" s="35">
        <f t="array" ref="D29">MAX(IF('BA History'!B:B=A29, 'BA History'!C:C))</f>
        <v>12</v>
      </c>
      <c r="E29" s="34">
        <f>COUNTIFS('BA History'!B:B,A29,'BA History'!D:D, 1)</f>
        <v>2</v>
      </c>
      <c r="F29" s="2">
        <f>COUNTIFS('BA History'!B:B,A29,'BA History'!D:D, 0)</f>
        <v>2</v>
      </c>
      <c r="G29" s="75">
        <f t="shared" si="3"/>
        <v>0.5</v>
      </c>
      <c r="H29" s="34">
        <f>SUMIFS('BA History'!F:F,'BA History'!B:B,A29)</f>
        <v>10</v>
      </c>
      <c r="I29" s="2">
        <f>SUMIFS('BA History'!E:E,'BA History'!B:B,A29)-H29</f>
        <v>8</v>
      </c>
      <c r="J29" s="75">
        <f t="shared" si="4"/>
        <v>0.55555555555555558</v>
      </c>
      <c r="K29" s="34">
        <f>SUMIFS('BA History'!H:H,'BA History'!B:B,A29)</f>
        <v>36</v>
      </c>
      <c r="L29" s="2">
        <f>SUMIFS('BA History'!G:G,'BA History'!B:B,A29)-K29</f>
        <v>37</v>
      </c>
      <c r="M29" s="107">
        <f t="shared" si="5"/>
        <v>0.49315068493150682</v>
      </c>
      <c r="N29" s="113">
        <f>COUNTIFS('BA History'!$B:$B,$A$29,'BA History'!K:K, 1)</f>
        <v>1</v>
      </c>
      <c r="O29" s="113">
        <f>COUNTIFS('BA History'!$B:$B,$A$29,'BA History'!L:L, 1)</f>
        <v>0</v>
      </c>
      <c r="P29" s="113">
        <f>COUNTIFS('BA History'!$B:$B,$A$29,'BA History'!M:M, 1)</f>
        <v>1</v>
      </c>
      <c r="Q29" s="113">
        <f>COUNTIFS('BA History'!$B:$B,$A$29,'BA History'!N:N, 1)</f>
        <v>1</v>
      </c>
      <c r="R29" s="113">
        <f>COUNTIFS('BA History'!$B:$B,$A$29,'BA History'!O:O, 1)</f>
        <v>0</v>
      </c>
      <c r="S29" s="113">
        <f>COUNTIFS('BA History'!$B:$B,$A$29,'BA History'!P:P, 1)</f>
        <v>0</v>
      </c>
      <c r="T29" s="113">
        <f>COUNTIFS('BA History'!$B:$B,$A$29,'BA History'!Q:Q, 1)</f>
        <v>1</v>
      </c>
      <c r="U29" s="113">
        <f>COUNTIFS('BA History'!$B:$B,$A$29,'BA History'!R:R, 1)</f>
        <v>0</v>
      </c>
      <c r="V29" s="113">
        <f>COUNTIFS('BA History'!$B:$B,$A$29,'BA History'!S:S, 1)</f>
        <v>0</v>
      </c>
      <c r="W29" s="113">
        <f>COUNTIFS('BA History'!$B:$B,$A$29,'BA History'!T:T, 1)</f>
        <v>0</v>
      </c>
      <c r="X29" s="113">
        <f>COUNTIFS('BA History'!$B:$B,$A$29,'BA History'!U:U, 1)</f>
        <v>0</v>
      </c>
      <c r="Y29" s="113">
        <f>COUNTIFS('BA History'!$B:$B,$A$29,'BA History'!V:V, 1)</f>
        <v>0</v>
      </c>
      <c r="Z29" s="113">
        <f>COUNTIFS('BA History'!$B:$B,$A$29,'BA History'!W:W, 1)</f>
        <v>0</v>
      </c>
      <c r="AA29" s="113">
        <f>COUNTIFS('BA History'!$B:$B,$A$29,'BA History'!X:X, 1)</f>
        <v>2</v>
      </c>
      <c r="AB29" s="113">
        <f>COUNTIFS('BA History'!$B:$B,$A$29,'BA History'!Y:Y, 1)</f>
        <v>2</v>
      </c>
      <c r="AC29" s="113">
        <f>COUNTIFS('BA History'!$B:$B,$A$29,'BA History'!Z:Z, 1)</f>
        <v>0</v>
      </c>
      <c r="AD29" s="113">
        <f>COUNTIFS('BA History'!$B:$B,$A$29,'BA History'!AA:AA, 1)</f>
        <v>0</v>
      </c>
      <c r="AE29" s="113">
        <f>COUNTIFS('BA History'!$B:$B,$A$29,'BA History'!AB:AB, 1)</f>
        <v>1</v>
      </c>
      <c r="AF29" s="113">
        <f>COUNTIFS('BA History'!$B:$B,$A$29,'BA History'!AC:AC, 1)</f>
        <v>1</v>
      </c>
      <c r="AG29" s="113">
        <f>COUNTIFS('BA History'!$B:$B,$A$29,'BA History'!AD:AD, 1)</f>
        <v>0</v>
      </c>
      <c r="AH29" s="113">
        <f>COUNTIFS('BA History'!$B:$B,$A$29,'BA History'!AE:AE, 1)</f>
        <v>0</v>
      </c>
    </row>
    <row r="30" spans="1:34" x14ac:dyDescent="0.25">
      <c r="A30" s="2" t="s">
        <v>2</v>
      </c>
      <c r="B30" s="34">
        <f>SUMIFS('BA History'!C:C,'BA History'!B:B,A30)</f>
        <v>490</v>
      </c>
      <c r="C30" s="66">
        <f>AVERAGEIFS('BA History'!C:C,'BA History'!B:B,A30)</f>
        <v>24.5</v>
      </c>
      <c r="D30" s="35">
        <f t="array" ref="D30">MAX(IF('BA History'!B:B=A30, 'BA History'!C:C))</f>
        <v>35</v>
      </c>
      <c r="E30" s="34">
        <f>COUNTIFS('BA History'!B:B,A30,'BA History'!D:D, 1)</f>
        <v>9</v>
      </c>
      <c r="F30" s="2">
        <f>COUNTIFS('BA History'!B:B,A30,'BA History'!D:D, 0)</f>
        <v>11</v>
      </c>
      <c r="G30" s="75">
        <f t="shared" si="3"/>
        <v>0.45</v>
      </c>
      <c r="H30" s="34">
        <f>SUMIFS('BA History'!F:F,'BA History'!B:B,A30)</f>
        <v>39</v>
      </c>
      <c r="I30" s="2">
        <f>SUMIFS('BA History'!E:E,'BA History'!B:B,A30)-H30</f>
        <v>42</v>
      </c>
      <c r="J30" s="75">
        <f t="shared" si="4"/>
        <v>0.48148148148148145</v>
      </c>
      <c r="K30" s="34">
        <f>SUMIFS('BA History'!H:H,'BA History'!B:B,A30)</f>
        <v>169</v>
      </c>
      <c r="L30" s="2">
        <f>SUMIFS('BA History'!G:G,'BA History'!B:B,A30)-K30</f>
        <v>167</v>
      </c>
      <c r="M30" s="107">
        <f t="shared" si="5"/>
        <v>0.50297619047619047</v>
      </c>
      <c r="N30" s="113">
        <f>COUNTIFS('BA History'!$B:$B,$A$30,'BA History'!K:K, 1)</f>
        <v>2</v>
      </c>
      <c r="O30" s="113">
        <f>COUNTIFS('BA History'!$B:$B,$A$30,'BA History'!L:L, 1)</f>
        <v>1</v>
      </c>
      <c r="P30" s="113">
        <f>COUNTIFS('BA History'!$B:$B,$A$30,'BA History'!M:M, 1)</f>
        <v>3</v>
      </c>
      <c r="Q30" s="113">
        <f>COUNTIFS('BA History'!$B:$B,$A$30,'BA History'!N:N, 1)</f>
        <v>4</v>
      </c>
      <c r="R30" s="113">
        <f>COUNTIFS('BA History'!$B:$B,$A$30,'BA History'!O:O, 1)</f>
        <v>0</v>
      </c>
      <c r="S30" s="113">
        <f>COUNTIFS('BA History'!$B:$B,$A$30,'BA History'!P:P, 1)</f>
        <v>1</v>
      </c>
      <c r="T30" s="113">
        <f>COUNTIFS('BA History'!$B:$B,$A$30,'BA History'!Q:Q, 1)</f>
        <v>1</v>
      </c>
      <c r="U30" s="113">
        <f>COUNTIFS('BA History'!$B:$B,$A$30,'BA History'!R:R, 1)</f>
        <v>0</v>
      </c>
      <c r="V30" s="113">
        <f>COUNTIFS('BA History'!$B:$B,$A$30,'BA History'!S:S, 1)</f>
        <v>0</v>
      </c>
      <c r="W30" s="113">
        <f>COUNTIFS('BA History'!$B:$B,$A$30,'BA History'!T:T, 1)</f>
        <v>2</v>
      </c>
      <c r="X30" s="113">
        <f>COUNTIFS('BA History'!$B:$B,$A$30,'BA History'!U:U, 1)</f>
        <v>2</v>
      </c>
      <c r="Y30" s="113">
        <f>COUNTIFS('BA History'!$B:$B,$A$30,'BA History'!V:V, 1)</f>
        <v>1</v>
      </c>
      <c r="Z30" s="113">
        <f>COUNTIFS('BA History'!$B:$B,$A$30,'BA History'!W:W, 1)</f>
        <v>1</v>
      </c>
      <c r="AA30" s="113">
        <f>COUNTIFS('BA History'!$B:$B,$A$30,'BA History'!X:X, 1)</f>
        <v>3</v>
      </c>
      <c r="AB30" s="113">
        <f>COUNTIFS('BA History'!$B:$B,$A$30,'BA History'!Y:Y, 1)</f>
        <v>5</v>
      </c>
      <c r="AC30" s="113">
        <f>COUNTIFS('BA History'!$B:$B,$A$30,'BA History'!Z:Z, 1)</f>
        <v>0</v>
      </c>
      <c r="AD30" s="113">
        <f>COUNTIFS('BA History'!$B:$B,$A$30,'BA History'!AA:AA, 1)</f>
        <v>6</v>
      </c>
      <c r="AE30" s="113">
        <f>COUNTIFS('BA History'!$B:$B,$A$30,'BA History'!AB:AB, 1)</f>
        <v>3</v>
      </c>
      <c r="AF30" s="113">
        <f>COUNTIFS('BA History'!$B:$B,$A$30,'BA History'!AC:AC, 1)</f>
        <v>2</v>
      </c>
      <c r="AG30" s="113">
        <f>COUNTIFS('BA History'!$B:$B,$A$30,'BA History'!AD:AD, 1)</f>
        <v>0</v>
      </c>
      <c r="AH30" s="113">
        <f>COUNTIFS('BA History'!$B:$B,$A$30,'BA History'!AE:AE, 1)</f>
        <v>2</v>
      </c>
    </row>
    <row r="31" spans="1:34" x14ac:dyDescent="0.25">
      <c r="A31" s="2" t="s">
        <v>54</v>
      </c>
      <c r="B31" s="34">
        <f>SUMIFS('BA History'!C:C,'BA History'!B:B,A31)</f>
        <v>645</v>
      </c>
      <c r="C31" s="66">
        <f>AVERAGEIFS('BA History'!C:C,'BA History'!B:B,A31)</f>
        <v>24.807692307692307</v>
      </c>
      <c r="D31" s="35">
        <f t="array" ref="D31">MAX(IF('BA History'!B:B=A31, 'BA History'!C:C))</f>
        <v>37</v>
      </c>
      <c r="E31" s="34">
        <f>COUNTIFS('BA History'!B:B,A31,'BA History'!D:D, 1)</f>
        <v>12</v>
      </c>
      <c r="F31" s="2">
        <f>COUNTIFS('BA History'!B:B,A31,'BA History'!D:D, 0)</f>
        <v>14</v>
      </c>
      <c r="G31" s="75">
        <f t="shared" si="3"/>
        <v>0.46153846153846156</v>
      </c>
      <c r="H31" s="34">
        <f>SUMIFS('BA History'!F:F,'BA History'!B:B,A31)</f>
        <v>54</v>
      </c>
      <c r="I31" s="2">
        <f>SUMIFS('BA History'!E:E,'BA History'!B:B,A31)-H31</f>
        <v>56</v>
      </c>
      <c r="J31" s="75">
        <f t="shared" si="4"/>
        <v>0.49090909090909091</v>
      </c>
      <c r="K31" s="34">
        <f>SUMIFS('BA History'!H:H,'BA History'!B:B,A31)</f>
        <v>223</v>
      </c>
      <c r="L31" s="2">
        <f>SUMIFS('BA History'!G:G,'BA History'!B:B,A31)-K31</f>
        <v>239</v>
      </c>
      <c r="M31" s="107">
        <f t="shared" si="5"/>
        <v>0.48268398268398266</v>
      </c>
      <c r="N31" s="113">
        <f>COUNTIFS('BA History'!$B:$B,$A$31,'BA History'!K:K, 1)</f>
        <v>3</v>
      </c>
      <c r="O31" s="113">
        <f>COUNTIFS('BA History'!$B:$B,$A$31,'BA History'!L:L, 1)</f>
        <v>5</v>
      </c>
      <c r="P31" s="113">
        <f>COUNTIFS('BA History'!$B:$B,$A$31,'BA History'!M:M, 1)</f>
        <v>4</v>
      </c>
      <c r="Q31" s="113">
        <f>COUNTIFS('BA History'!$B:$B,$A$31,'BA History'!N:N, 1)</f>
        <v>1</v>
      </c>
      <c r="R31" s="113">
        <f>COUNTIFS('BA History'!$B:$B,$A$31,'BA History'!O:O, 1)</f>
        <v>1</v>
      </c>
      <c r="S31" s="113">
        <f>COUNTIFS('BA History'!$B:$B,$A$31,'BA History'!P:P, 1)</f>
        <v>0</v>
      </c>
      <c r="T31" s="113">
        <f>COUNTIFS('BA History'!$B:$B,$A$31,'BA History'!Q:Q, 1)</f>
        <v>2</v>
      </c>
      <c r="U31" s="113">
        <f>COUNTIFS('BA History'!$B:$B,$A$31,'BA History'!R:R, 1)</f>
        <v>2</v>
      </c>
      <c r="V31" s="113">
        <f>COUNTIFS('BA History'!$B:$B,$A$31,'BA History'!S:S, 1)</f>
        <v>1</v>
      </c>
      <c r="W31" s="113">
        <f>COUNTIFS('BA History'!$B:$B,$A$31,'BA History'!T:T, 1)</f>
        <v>3</v>
      </c>
      <c r="X31" s="113">
        <f>COUNTIFS('BA History'!$B:$B,$A$31,'BA History'!U:U, 1)</f>
        <v>4</v>
      </c>
      <c r="Y31" s="113">
        <f>COUNTIFS('BA History'!$B:$B,$A$31,'BA History'!V:V, 1)</f>
        <v>0</v>
      </c>
      <c r="Z31" s="113">
        <f>COUNTIFS('BA History'!$B:$B,$A$31,'BA History'!W:W, 1)</f>
        <v>0</v>
      </c>
      <c r="AA31" s="113">
        <f>COUNTIFS('BA History'!$B:$B,$A$31,'BA History'!X:X, 1)</f>
        <v>3</v>
      </c>
      <c r="AB31" s="113">
        <f>COUNTIFS('BA History'!$B:$B,$A$31,'BA History'!Y:Y, 1)</f>
        <v>5</v>
      </c>
      <c r="AC31" s="113">
        <f>COUNTIFS('BA History'!$B:$B,$A$31,'BA History'!Z:Z, 1)</f>
        <v>1</v>
      </c>
      <c r="AD31" s="113">
        <f>COUNTIFS('BA History'!$B:$B,$A$31,'BA History'!AA:AA, 1)</f>
        <v>5</v>
      </c>
      <c r="AE31" s="113">
        <f>COUNTIFS('BA History'!$B:$B,$A$31,'BA History'!AB:AB, 1)</f>
        <v>6</v>
      </c>
      <c r="AF31" s="113">
        <f>COUNTIFS('BA History'!$B:$B,$A$31,'BA History'!AC:AC, 1)</f>
        <v>4</v>
      </c>
      <c r="AG31" s="113">
        <f>COUNTIFS('BA History'!$B:$B,$A$31,'BA History'!AD:AD, 1)</f>
        <v>2</v>
      </c>
      <c r="AH31" s="113">
        <f>COUNTIFS('BA History'!$B:$B,$A$31,'BA History'!AE:AE, 1)</f>
        <v>2</v>
      </c>
    </row>
    <row r="32" spans="1:34" x14ac:dyDescent="0.25">
      <c r="A32" s="2" t="s">
        <v>5</v>
      </c>
      <c r="B32" s="34">
        <f>SUMIFS('BA History'!C:C,'BA History'!B:B,A32)</f>
        <v>207</v>
      </c>
      <c r="C32" s="66">
        <f>AVERAGEIFS('BA History'!C:C,'BA History'!B:B,A32)</f>
        <v>20.7</v>
      </c>
      <c r="D32" s="35">
        <f t="array" ref="D32">MAX(IF('BA History'!B:B=A32, 'BA History'!C:C))</f>
        <v>36</v>
      </c>
      <c r="E32" s="34">
        <f>COUNTIFS('BA History'!B:B,A32,'BA History'!D:D, 1)</f>
        <v>7</v>
      </c>
      <c r="F32" s="2">
        <f>COUNTIFS('BA History'!B:B,A32,'BA History'!D:D, 0)</f>
        <v>3</v>
      </c>
      <c r="G32" s="75">
        <f t="shared" si="3"/>
        <v>0.7</v>
      </c>
      <c r="H32" s="34">
        <f>SUMIFS('BA History'!F:F,'BA History'!B:B,A32)</f>
        <v>22</v>
      </c>
      <c r="I32" s="2">
        <f>SUMIFS('BA History'!E:E,'BA History'!B:B,A32)-H32</f>
        <v>15</v>
      </c>
      <c r="J32" s="75">
        <f t="shared" si="4"/>
        <v>0.59459459459459463</v>
      </c>
      <c r="K32" s="34">
        <f>SUMIFS('BA History'!H:H,'BA History'!B:B,A32)</f>
        <v>87</v>
      </c>
      <c r="L32" s="2">
        <f>SUMIFS('BA History'!G:G,'BA History'!B:B,A32)-K32</f>
        <v>73</v>
      </c>
      <c r="M32" s="107">
        <f t="shared" si="5"/>
        <v>0.54374999999999996</v>
      </c>
      <c r="N32" s="113">
        <f>COUNTIFS('BA History'!$B:$B,$A$32,'BA History'!K:K, 1)</f>
        <v>1</v>
      </c>
      <c r="O32" s="113">
        <f>COUNTIFS('BA History'!$B:$B,$A$32,'BA History'!L:L, 1)</f>
        <v>2</v>
      </c>
      <c r="P32" s="113">
        <f>COUNTIFS('BA History'!$B:$B,$A$32,'BA History'!M:M, 1)</f>
        <v>1</v>
      </c>
      <c r="Q32" s="113">
        <f>COUNTIFS('BA History'!$B:$B,$A$32,'BA History'!N:N, 1)</f>
        <v>1</v>
      </c>
      <c r="R32" s="113">
        <f>COUNTIFS('BA History'!$B:$B,$A$32,'BA History'!O:O, 1)</f>
        <v>0</v>
      </c>
      <c r="S32" s="113">
        <f>COUNTIFS('BA History'!$B:$B,$A$32,'BA History'!P:P, 1)</f>
        <v>0</v>
      </c>
      <c r="T32" s="113">
        <f>COUNTIFS('BA History'!$B:$B,$A$32,'BA History'!Q:Q, 1)</f>
        <v>0</v>
      </c>
      <c r="U32" s="113">
        <f>COUNTIFS('BA History'!$B:$B,$A$32,'BA History'!R:R, 1)</f>
        <v>0</v>
      </c>
      <c r="V32" s="113">
        <f>COUNTIFS('BA History'!$B:$B,$A$32,'BA History'!S:S, 1)</f>
        <v>0</v>
      </c>
      <c r="W32" s="113">
        <f>COUNTIFS('BA History'!$B:$B,$A$32,'BA History'!T:T, 1)</f>
        <v>1</v>
      </c>
      <c r="X32" s="113">
        <f>COUNTIFS('BA History'!$B:$B,$A$32,'BA History'!U:U, 1)</f>
        <v>2</v>
      </c>
      <c r="Y32" s="113">
        <f>COUNTIFS('BA History'!$B:$B,$A$32,'BA History'!V:V, 1)</f>
        <v>1</v>
      </c>
      <c r="Z32" s="113">
        <f>COUNTIFS('BA History'!$B:$B,$A$32,'BA History'!W:W, 1)</f>
        <v>1</v>
      </c>
      <c r="AA32" s="113">
        <f>COUNTIFS('BA History'!$B:$B,$A$32,'BA History'!X:X, 1)</f>
        <v>1</v>
      </c>
      <c r="AB32" s="113">
        <f>COUNTIFS('BA History'!$B:$B,$A$32,'BA History'!Y:Y, 1)</f>
        <v>0</v>
      </c>
      <c r="AC32" s="113">
        <f>COUNTIFS('BA History'!$B:$B,$A$32,'BA History'!Z:Z, 1)</f>
        <v>1</v>
      </c>
      <c r="AD32" s="113">
        <f>COUNTIFS('BA History'!$B:$B,$A$32,'BA History'!AA:AA, 1)</f>
        <v>3</v>
      </c>
      <c r="AE32" s="113">
        <f>COUNTIFS('BA History'!$B:$B,$A$32,'BA History'!AB:AB, 1)</f>
        <v>4</v>
      </c>
      <c r="AF32" s="113">
        <f>COUNTIFS('BA History'!$B:$B,$A$32,'BA History'!AC:AC, 1)</f>
        <v>2</v>
      </c>
      <c r="AG32" s="113">
        <f>COUNTIFS('BA History'!$B:$B,$A$32,'BA History'!AD:AD, 1)</f>
        <v>0</v>
      </c>
      <c r="AH32" s="113">
        <f>COUNTIFS('BA History'!$B:$B,$A$32,'BA History'!AE:AE, 1)</f>
        <v>1</v>
      </c>
    </row>
    <row r="33" spans="1:34" x14ac:dyDescent="0.25">
      <c r="A33" s="2" t="s">
        <v>38</v>
      </c>
      <c r="B33" s="34">
        <f>SUMIFS('BA History'!C:C,'BA History'!B:B,A33)</f>
        <v>9</v>
      </c>
      <c r="C33" s="66">
        <f>AVERAGEIFS('BA History'!C:C,'BA History'!B:B,A33)</f>
        <v>3</v>
      </c>
      <c r="D33" s="35">
        <f t="array" ref="D33">MAX(IF('BA History'!B:B=A33, 'BA History'!C:C))</f>
        <v>4</v>
      </c>
      <c r="E33" s="34">
        <f>COUNTIFS('BA History'!B:B,A33,'BA History'!D:D, 1)</f>
        <v>2</v>
      </c>
      <c r="F33" s="2">
        <f>COUNTIFS('BA History'!B:B,A33,'BA History'!D:D, 0)</f>
        <v>1</v>
      </c>
      <c r="G33" s="75">
        <f t="shared" si="3"/>
        <v>0.66666666666666663</v>
      </c>
      <c r="H33" s="34">
        <f>SUMIFS('BA History'!F:F,'BA History'!B:B,A33)</f>
        <v>6</v>
      </c>
      <c r="I33" s="2">
        <f>SUMIFS('BA History'!E:E,'BA History'!B:B,A33)-H33</f>
        <v>6</v>
      </c>
      <c r="J33" s="75">
        <f t="shared" si="4"/>
        <v>0.5</v>
      </c>
      <c r="K33" s="34">
        <f>SUMIFS('BA History'!H:H,'BA History'!B:B,A33)</f>
        <v>22</v>
      </c>
      <c r="L33" s="2">
        <f>SUMIFS('BA History'!G:G,'BA History'!B:B,A33)-K33</f>
        <v>25</v>
      </c>
      <c r="M33" s="107">
        <f t="shared" si="5"/>
        <v>0.46808510638297873</v>
      </c>
      <c r="N33" s="113">
        <f>COUNTIFS('BA History'!$B:$B,$A$33,'BA History'!K:K, 1)</f>
        <v>1</v>
      </c>
      <c r="O33" s="113">
        <f>COUNTIFS('BA History'!$B:$B,$A$33,'BA History'!L:L, 1)</f>
        <v>1</v>
      </c>
      <c r="P33" s="113">
        <f>COUNTIFS('BA History'!$B:$B,$A$33,'BA History'!M:M, 1)</f>
        <v>0</v>
      </c>
      <c r="Q33" s="113">
        <f>COUNTIFS('BA History'!$B:$B,$A$33,'BA History'!N:N, 1)</f>
        <v>0</v>
      </c>
      <c r="R33" s="113">
        <f>COUNTIFS('BA History'!$B:$B,$A$33,'BA History'!O:O, 1)</f>
        <v>0</v>
      </c>
      <c r="S33" s="113">
        <f>COUNTIFS('BA History'!$B:$B,$A$33,'BA History'!P:P, 1)</f>
        <v>0</v>
      </c>
      <c r="T33" s="113">
        <f>COUNTIFS('BA History'!$B:$B,$A$33,'BA History'!Q:Q, 1)</f>
        <v>0</v>
      </c>
      <c r="U33" s="113">
        <f>COUNTIFS('BA History'!$B:$B,$A$33,'BA History'!R:R, 1)</f>
        <v>0</v>
      </c>
      <c r="V33" s="113">
        <f>COUNTIFS('BA History'!$B:$B,$A$33,'BA History'!S:S, 1)</f>
        <v>0</v>
      </c>
      <c r="W33" s="113">
        <f>COUNTIFS('BA History'!$B:$B,$A$33,'BA History'!T:T, 1)</f>
        <v>0</v>
      </c>
      <c r="X33" s="113">
        <f>COUNTIFS('BA History'!$B:$B,$A$33,'BA History'!U:U, 1)</f>
        <v>2</v>
      </c>
      <c r="Y33" s="113">
        <f>COUNTIFS('BA History'!$B:$B,$A$33,'BA History'!V:V, 1)</f>
        <v>0</v>
      </c>
      <c r="Z33" s="113">
        <f>COUNTIFS('BA History'!$B:$B,$A$33,'BA History'!W:W, 1)</f>
        <v>0</v>
      </c>
      <c r="AA33" s="113">
        <f>COUNTIFS('BA History'!$B:$B,$A$33,'BA History'!X:X, 1)</f>
        <v>0</v>
      </c>
      <c r="AB33" s="113">
        <f>COUNTIFS('BA History'!$B:$B,$A$33,'BA History'!Y:Y, 1)</f>
        <v>0</v>
      </c>
      <c r="AC33" s="113">
        <f>COUNTIFS('BA History'!$B:$B,$A$33,'BA History'!Z:Z, 1)</f>
        <v>0</v>
      </c>
      <c r="AD33" s="113">
        <f>COUNTIFS('BA History'!$B:$B,$A$33,'BA History'!AA:AA, 1)</f>
        <v>1</v>
      </c>
      <c r="AE33" s="113">
        <f>COUNTIFS('BA History'!$B:$B,$A$33,'BA History'!AB:AB, 1)</f>
        <v>0</v>
      </c>
      <c r="AF33" s="113">
        <f>COUNTIFS('BA History'!$B:$B,$A$33,'BA History'!AC:AC, 1)</f>
        <v>1</v>
      </c>
      <c r="AG33" s="113">
        <f>COUNTIFS('BA History'!$B:$B,$A$33,'BA History'!AD:AD, 1)</f>
        <v>0</v>
      </c>
      <c r="AH33" s="113">
        <f>COUNTIFS('BA History'!$B:$B,$A$33,'BA History'!AE:AE, 1)</f>
        <v>0</v>
      </c>
    </row>
    <row r="34" spans="1:34" x14ac:dyDescent="0.25">
      <c r="A34" s="2" t="s">
        <v>40</v>
      </c>
      <c r="B34" s="34">
        <f>SUMIFS('BA History'!C:C,'BA History'!B:B,A34)</f>
        <v>375</v>
      </c>
      <c r="C34" s="66">
        <f>AVERAGEIFS('BA History'!C:C,'BA History'!B:B,A34)</f>
        <v>17.857142857142858</v>
      </c>
      <c r="D34" s="35">
        <f t="array" ref="D34">MAX(IF('BA History'!B:B=A34, 'BA History'!C:C))</f>
        <v>29</v>
      </c>
      <c r="E34" s="34">
        <f>COUNTIFS('BA History'!B:B,A34,'BA History'!D:D, 1)</f>
        <v>9</v>
      </c>
      <c r="F34" s="2">
        <f>COUNTIFS('BA History'!B:B,A34,'BA History'!D:D, 0)</f>
        <v>12</v>
      </c>
      <c r="G34" s="75">
        <f t="shared" si="3"/>
        <v>0.42857142857142855</v>
      </c>
      <c r="H34" s="34">
        <f>SUMIFS('BA History'!F:F,'BA History'!B:B,A34)</f>
        <v>42</v>
      </c>
      <c r="I34" s="2">
        <f>SUMIFS('BA History'!E:E,'BA History'!B:B,A34)-H34</f>
        <v>49</v>
      </c>
      <c r="J34" s="75">
        <f t="shared" si="4"/>
        <v>0.46153846153846156</v>
      </c>
      <c r="K34" s="34">
        <f>SUMIFS('BA History'!H:H,'BA History'!B:B,A34)</f>
        <v>181</v>
      </c>
      <c r="L34" s="2">
        <f>SUMIFS('BA History'!G:G,'BA History'!B:B,A34)-K34</f>
        <v>194</v>
      </c>
      <c r="M34" s="107">
        <f t="shared" si="5"/>
        <v>0.48266666666666669</v>
      </c>
      <c r="N34" s="113">
        <f>COUNTIFS('BA History'!$B:$B,$A$34,'BA History'!K:K, 1)</f>
        <v>0</v>
      </c>
      <c r="O34" s="113">
        <f>COUNTIFS('BA History'!$B:$B,$A$34,'BA History'!L:L, 1)</f>
        <v>5</v>
      </c>
      <c r="P34" s="113">
        <f>COUNTIFS('BA History'!$B:$B,$A$34,'BA History'!M:M, 1)</f>
        <v>4</v>
      </c>
      <c r="Q34" s="113">
        <f>COUNTIFS('BA History'!$B:$B,$A$34,'BA History'!N:N, 1)</f>
        <v>6</v>
      </c>
      <c r="R34" s="113">
        <f>COUNTIFS('BA History'!$B:$B,$A$34,'BA History'!O:O, 1)</f>
        <v>0</v>
      </c>
      <c r="S34" s="113">
        <f>COUNTIFS('BA History'!$B:$B,$A$34,'BA History'!P:P, 1)</f>
        <v>1</v>
      </c>
      <c r="T34" s="113">
        <f>COUNTIFS('BA History'!$B:$B,$A$34,'BA History'!Q:Q, 1)</f>
        <v>1</v>
      </c>
      <c r="U34" s="113">
        <f>COUNTIFS('BA History'!$B:$B,$A$34,'BA History'!R:R, 1)</f>
        <v>2</v>
      </c>
      <c r="V34" s="113">
        <f>COUNTIFS('BA History'!$B:$B,$A$34,'BA History'!S:S, 1)</f>
        <v>0</v>
      </c>
      <c r="W34" s="113">
        <f>COUNTIFS('BA History'!$B:$B,$A$34,'BA History'!T:T, 1)</f>
        <v>2</v>
      </c>
      <c r="X34" s="113">
        <f>COUNTIFS('BA History'!$B:$B,$A$34,'BA History'!U:U, 1)</f>
        <v>4</v>
      </c>
      <c r="Y34" s="113">
        <f>COUNTIFS('BA History'!$B:$B,$A$34,'BA History'!V:V, 1)</f>
        <v>1</v>
      </c>
      <c r="Z34" s="113">
        <f>COUNTIFS('BA History'!$B:$B,$A$34,'BA History'!W:W, 1)</f>
        <v>1</v>
      </c>
      <c r="AA34" s="113">
        <f>COUNTIFS('BA History'!$B:$B,$A$34,'BA History'!X:X, 1)</f>
        <v>1</v>
      </c>
      <c r="AB34" s="113">
        <f>COUNTIFS('BA History'!$B:$B,$A$34,'BA History'!Y:Y, 1)</f>
        <v>2</v>
      </c>
      <c r="AC34" s="113">
        <f>COUNTIFS('BA History'!$B:$B,$A$34,'BA History'!Z:Z, 1)</f>
        <v>0</v>
      </c>
      <c r="AD34" s="113">
        <f>COUNTIFS('BA History'!$B:$B,$A$34,'BA History'!AA:AA, 1)</f>
        <v>1</v>
      </c>
      <c r="AE34" s="113">
        <f>COUNTIFS('BA History'!$B:$B,$A$34,'BA History'!AB:AB, 1)</f>
        <v>3</v>
      </c>
      <c r="AF34" s="113">
        <f>COUNTIFS('BA History'!$B:$B,$A$34,'BA History'!AC:AC, 1)</f>
        <v>6</v>
      </c>
      <c r="AG34" s="113">
        <f>COUNTIFS('BA History'!$B:$B,$A$34,'BA History'!AD:AD, 1)</f>
        <v>0</v>
      </c>
      <c r="AH34" s="113">
        <f>COUNTIFS('BA History'!$B:$B,$A$34,'BA History'!AE:AE, 1)</f>
        <v>2</v>
      </c>
    </row>
    <row r="35" spans="1:34" x14ac:dyDescent="0.25">
      <c r="A35" s="2" t="s">
        <v>17</v>
      </c>
      <c r="B35" s="34">
        <f>SUMIFS('BA History'!C:C,'BA History'!B:B,A35)</f>
        <v>402</v>
      </c>
      <c r="C35" s="66">
        <f>AVERAGEIFS('BA History'!C:C,'BA History'!B:B,A35)</f>
        <v>21.157894736842106</v>
      </c>
      <c r="D35" s="35">
        <f t="array" ref="D35">MAX(IF('BA History'!B:B=A35, 'BA History'!C:C))</f>
        <v>32</v>
      </c>
      <c r="E35" s="34">
        <f>COUNTIFS('BA History'!B:B,A35,'BA History'!D:D, 1)</f>
        <v>7</v>
      </c>
      <c r="F35" s="2">
        <f>COUNTIFS('BA History'!B:B,A35,'BA History'!D:D, 0)</f>
        <v>12</v>
      </c>
      <c r="G35" s="75">
        <f t="shared" si="3"/>
        <v>0.36842105263157893</v>
      </c>
      <c r="H35" s="34">
        <f>SUMIFS('BA History'!F:F,'BA History'!B:B,A35)</f>
        <v>35</v>
      </c>
      <c r="I35" s="2">
        <f>SUMIFS('BA History'!E:E,'BA History'!B:B,A35)-H35</f>
        <v>43</v>
      </c>
      <c r="J35" s="75">
        <f t="shared" si="4"/>
        <v>0.44871794871794873</v>
      </c>
      <c r="K35" s="34">
        <f>SUMIFS('BA History'!H:H,'BA History'!B:B,A35)</f>
        <v>149</v>
      </c>
      <c r="L35" s="2">
        <f>SUMIFS('BA History'!G:G,'BA History'!B:B,A35)-K35</f>
        <v>168</v>
      </c>
      <c r="M35" s="107">
        <f t="shared" si="5"/>
        <v>0.47003154574132494</v>
      </c>
      <c r="N35" s="113">
        <f>COUNTIFS('BA History'!$B:$B,$A$35,'BA History'!K:K, 1)</f>
        <v>3</v>
      </c>
      <c r="O35" s="113">
        <f>COUNTIFS('BA History'!$B:$B,$A$35,'BA History'!L:L, 1)</f>
        <v>1</v>
      </c>
      <c r="P35" s="113">
        <f>COUNTIFS('BA History'!$B:$B,$A$35,'BA History'!M:M, 1)</f>
        <v>3</v>
      </c>
      <c r="Q35" s="113">
        <f>COUNTIFS('BA History'!$B:$B,$A$35,'BA History'!N:N, 1)</f>
        <v>4</v>
      </c>
      <c r="R35" s="113">
        <f>COUNTIFS('BA History'!$B:$B,$A$35,'BA History'!O:O, 1)</f>
        <v>0</v>
      </c>
      <c r="S35" s="113">
        <f>COUNTIFS('BA History'!$B:$B,$A$35,'BA History'!P:P, 1)</f>
        <v>0</v>
      </c>
      <c r="T35" s="113">
        <f>COUNTIFS('BA History'!$B:$B,$A$35,'BA History'!Q:Q, 1)</f>
        <v>0</v>
      </c>
      <c r="U35" s="113">
        <f>COUNTIFS('BA History'!$B:$B,$A$35,'BA History'!R:R, 1)</f>
        <v>1</v>
      </c>
      <c r="V35" s="113">
        <f>COUNTIFS('BA History'!$B:$B,$A$35,'BA History'!S:S, 1)</f>
        <v>0</v>
      </c>
      <c r="W35" s="113">
        <f>COUNTIFS('BA History'!$B:$B,$A$35,'BA History'!T:T, 1)</f>
        <v>2</v>
      </c>
      <c r="X35" s="113">
        <f>COUNTIFS('BA History'!$B:$B,$A$35,'BA History'!U:U, 1)</f>
        <v>2</v>
      </c>
      <c r="Y35" s="113">
        <f>COUNTIFS('BA History'!$B:$B,$A$35,'BA History'!V:V, 1)</f>
        <v>0</v>
      </c>
      <c r="Z35" s="113">
        <f>COUNTIFS('BA History'!$B:$B,$A$35,'BA History'!W:W, 1)</f>
        <v>0</v>
      </c>
      <c r="AA35" s="113">
        <f>COUNTIFS('BA History'!$B:$B,$A$35,'BA History'!X:X, 1)</f>
        <v>1</v>
      </c>
      <c r="AB35" s="113">
        <f>COUNTIFS('BA History'!$B:$B,$A$35,'BA History'!Y:Y, 1)</f>
        <v>5</v>
      </c>
      <c r="AC35" s="113">
        <f>COUNTIFS('BA History'!$B:$B,$A$35,'BA History'!Z:Z, 1)</f>
        <v>0</v>
      </c>
      <c r="AD35" s="113">
        <f>COUNTIFS('BA History'!$B:$B,$A$35,'BA History'!AA:AA, 1)</f>
        <v>4</v>
      </c>
      <c r="AE35" s="113">
        <f>COUNTIFS('BA History'!$B:$B,$A$35,'BA History'!AB:AB, 1)</f>
        <v>4</v>
      </c>
      <c r="AF35" s="113">
        <f>COUNTIFS('BA History'!$B:$B,$A$35,'BA History'!AC:AC, 1)</f>
        <v>3</v>
      </c>
      <c r="AG35" s="113">
        <f>COUNTIFS('BA History'!$B:$B,$A$35,'BA History'!AD:AD, 1)</f>
        <v>1</v>
      </c>
      <c r="AH35" s="113">
        <f>COUNTIFS('BA History'!$B:$B,$A$35,'BA History'!AE:AE, 1)</f>
        <v>1</v>
      </c>
    </row>
    <row r="36" spans="1:34" x14ac:dyDescent="0.25">
      <c r="A36" s="1" t="s">
        <v>105</v>
      </c>
      <c r="B36" s="34">
        <f>SUMIFS('BA History'!C:C,'BA History'!B:B,A36)</f>
        <v>12</v>
      </c>
      <c r="C36" s="66">
        <f>AVERAGEIFS('BA History'!C:C,'BA History'!B:B,A36)</f>
        <v>12</v>
      </c>
      <c r="D36" s="35">
        <f t="array" ref="D36">MAX(IF('BA History'!B:B=A36, 'BA History'!C:C))</f>
        <v>12</v>
      </c>
      <c r="E36" s="34">
        <f>COUNTIFS('BA History'!B:B,A36,'BA History'!D:D, 1)</f>
        <v>1</v>
      </c>
      <c r="F36" s="2">
        <f>COUNTIFS('BA History'!B:B,A36,'BA History'!D:D, 0)</f>
        <v>0</v>
      </c>
      <c r="G36" s="75">
        <f t="shared" si="3"/>
        <v>1</v>
      </c>
      <c r="H36" s="34">
        <f>SUMIFS('BA History'!F:F,'BA History'!B:B,A36)</f>
        <v>3</v>
      </c>
      <c r="I36" s="2">
        <f>SUMIFS('BA History'!E:E,'BA History'!B:B,A36)-H36</f>
        <v>2</v>
      </c>
      <c r="J36" s="75">
        <f t="shared" si="4"/>
        <v>0.6</v>
      </c>
      <c r="K36" s="34">
        <f>SUMIFS('BA History'!H:H,'BA History'!B:B,A36)</f>
        <v>9</v>
      </c>
      <c r="L36" s="2">
        <f>SUMIFS('BA History'!G:G,'BA History'!B:B,A36)-K36</f>
        <v>10</v>
      </c>
      <c r="M36" s="107">
        <f t="shared" si="5"/>
        <v>0.47368421052631576</v>
      </c>
      <c r="N36" s="113">
        <f>COUNTIFS('BA History'!$B:$B,$A$36,'BA History'!K:K, 1)</f>
        <v>0</v>
      </c>
      <c r="O36" s="113">
        <f>COUNTIFS('BA History'!$B:$B,$A$36,'BA History'!L:L, 1)</f>
        <v>0</v>
      </c>
      <c r="P36" s="113">
        <f>COUNTIFS('BA History'!$B:$B,$A$36,'BA History'!M:M, 1)</f>
        <v>0</v>
      </c>
      <c r="Q36" s="113">
        <f>COUNTIFS('BA History'!$B:$B,$A$36,'BA History'!N:N, 1)</f>
        <v>0</v>
      </c>
      <c r="R36" s="113">
        <f>COUNTIFS('BA History'!$B:$B,$A$36,'BA History'!O:O, 1)</f>
        <v>0</v>
      </c>
      <c r="S36" s="113">
        <f>COUNTIFS('BA History'!$B:$B,$A$36,'BA History'!P:P, 1)</f>
        <v>0</v>
      </c>
      <c r="T36" s="113">
        <f>COUNTIFS('BA History'!$B:$B,$A$36,'BA History'!Q:Q, 1)</f>
        <v>0</v>
      </c>
      <c r="U36" s="113">
        <f>COUNTIFS('BA History'!$B:$B,$A$36,'BA History'!R:R, 1)</f>
        <v>0</v>
      </c>
      <c r="V36" s="113">
        <f>COUNTIFS('BA History'!$B:$B,$A$36,'BA History'!S:S, 1)</f>
        <v>0</v>
      </c>
      <c r="W36" s="113">
        <f>COUNTIFS('BA History'!$B:$B,$A$36,'BA History'!T:T, 1)</f>
        <v>1</v>
      </c>
      <c r="X36" s="113">
        <f>COUNTIFS('BA History'!$B:$B,$A$36,'BA History'!U:U, 1)</f>
        <v>0</v>
      </c>
      <c r="Y36" s="113">
        <f>COUNTIFS('BA History'!$B:$B,$A$36,'BA History'!V:V, 1)</f>
        <v>0</v>
      </c>
      <c r="Z36" s="113">
        <f>COUNTIFS('BA History'!$B:$B,$A$36,'BA History'!W:W, 1)</f>
        <v>0</v>
      </c>
      <c r="AA36" s="113">
        <f>COUNTIFS('BA History'!$B:$B,$A$36,'BA History'!X:X, 1)</f>
        <v>0</v>
      </c>
      <c r="AB36" s="113">
        <f>COUNTIFS('BA History'!$B:$B,$A$36,'BA History'!Y:Y, 1)</f>
        <v>0</v>
      </c>
      <c r="AC36" s="113">
        <f>COUNTIFS('BA History'!$B:$B,$A$36,'BA History'!Z:Z, 1)</f>
        <v>0</v>
      </c>
      <c r="AD36" s="113">
        <f>COUNTIFS('BA History'!$B:$B,$A$36,'BA History'!AA:AA, 1)</f>
        <v>1</v>
      </c>
      <c r="AE36" s="113">
        <f>COUNTIFS('BA History'!$B:$B,$A$36,'BA History'!AB:AB, 1)</f>
        <v>1</v>
      </c>
      <c r="AF36" s="113">
        <f>COUNTIFS('BA History'!$B:$B,$A$36,'BA History'!AC:AC, 1)</f>
        <v>0</v>
      </c>
      <c r="AG36" s="113">
        <f>COUNTIFS('BA History'!$B:$B,$A$36,'BA History'!AD:AD, 1)</f>
        <v>0</v>
      </c>
      <c r="AH36" s="113">
        <f>COUNTIFS('BA History'!$B:$B,$A$36,'BA History'!AE:AE, 1)</f>
        <v>0</v>
      </c>
    </row>
    <row r="37" spans="1:34" x14ac:dyDescent="0.25">
      <c r="A37" s="1" t="s">
        <v>118</v>
      </c>
      <c r="B37" s="34">
        <f>SUMIFS('BA History'!C:C,'BA History'!B:B,A37)</f>
        <v>10</v>
      </c>
      <c r="C37" s="66">
        <f>AVERAGEIFS('BA History'!C:C,'BA History'!B:B,A37)</f>
        <v>10</v>
      </c>
      <c r="D37" s="35">
        <f t="array" ref="D37">MAX(IF('BA History'!B:B=A37, 'BA History'!C:C))</f>
        <v>10</v>
      </c>
      <c r="E37" s="34">
        <f>COUNTIFS('BA History'!B:B,A37,'BA History'!D:D, 1)</f>
        <v>1</v>
      </c>
      <c r="F37" s="2">
        <f>COUNTIFS('BA History'!B:B,A37,'BA History'!D:D, 0)</f>
        <v>0</v>
      </c>
      <c r="G37" s="75">
        <f t="shared" si="3"/>
        <v>1</v>
      </c>
      <c r="H37" s="34">
        <f>SUMIFS('BA History'!F:F,'BA History'!B:B,A37)</f>
        <v>3</v>
      </c>
      <c r="I37" s="2">
        <f>SUMIFS('BA History'!E:E,'BA History'!B:B,A37)-H37</f>
        <v>1</v>
      </c>
      <c r="J37" s="75">
        <f t="shared" si="4"/>
        <v>0.75</v>
      </c>
      <c r="K37" s="34">
        <f>SUMIFS('BA History'!H:H,'BA History'!B:B,A37)</f>
        <v>9</v>
      </c>
      <c r="L37" s="2">
        <f>SUMIFS('BA History'!G:G,'BA History'!B:B,A37)-K37</f>
        <v>5</v>
      </c>
      <c r="M37" s="107">
        <f t="shared" si="5"/>
        <v>0.6428571428571429</v>
      </c>
      <c r="N37" s="113">
        <f>COUNTIFS('BA History'!$B:$B,$A$37,'BA History'!K:K, 1)</f>
        <v>0</v>
      </c>
      <c r="O37" s="113">
        <f>COUNTIFS('BA History'!$B:$B,$A$37,'BA History'!L:L, 1)</f>
        <v>0</v>
      </c>
      <c r="P37" s="113">
        <f>COUNTIFS('BA History'!$B:$B,$A$37,'BA History'!M:M, 1)</f>
        <v>0</v>
      </c>
      <c r="Q37" s="113">
        <f>COUNTIFS('BA History'!$B:$B,$A$37,'BA History'!N:N, 1)</f>
        <v>0</v>
      </c>
      <c r="R37" s="113">
        <f>COUNTIFS('BA History'!$B:$B,$A$37,'BA History'!O:O, 1)</f>
        <v>0</v>
      </c>
      <c r="S37" s="113">
        <f>COUNTIFS('BA History'!$B:$B,$A$37,'BA History'!P:P, 1)</f>
        <v>0</v>
      </c>
      <c r="T37" s="113">
        <f>COUNTIFS('BA History'!$B:$B,$A$37,'BA History'!Q:Q, 1)</f>
        <v>0</v>
      </c>
      <c r="U37" s="113">
        <f>COUNTIFS('BA History'!$B:$B,$A$37,'BA History'!R:R, 1)</f>
        <v>0</v>
      </c>
      <c r="V37" s="113">
        <f>COUNTIFS('BA History'!$B:$B,$A$37,'BA History'!S:S, 1)</f>
        <v>0</v>
      </c>
      <c r="W37" s="113">
        <f>COUNTIFS('BA History'!$B:$B,$A$37,'BA History'!T:T, 1)</f>
        <v>0</v>
      </c>
      <c r="X37" s="113">
        <f>COUNTIFS('BA History'!$B:$B,$A$37,'BA History'!U:U, 1)</f>
        <v>1</v>
      </c>
      <c r="Y37" s="113">
        <f>COUNTIFS('BA History'!$B:$B,$A$37,'BA History'!V:V, 1)</f>
        <v>0</v>
      </c>
      <c r="Z37" s="113">
        <f>COUNTIFS('BA History'!$B:$B,$A$37,'BA History'!W:W, 1)</f>
        <v>0</v>
      </c>
      <c r="AA37" s="113">
        <f>COUNTIFS('BA History'!$B:$B,$A$37,'BA History'!X:X, 1)</f>
        <v>0</v>
      </c>
      <c r="AB37" s="113">
        <f>COUNTIFS('BA History'!$B:$B,$A$37,'BA History'!Y:Y, 1)</f>
        <v>1</v>
      </c>
      <c r="AC37" s="113">
        <f>COUNTIFS('BA History'!$B:$B,$A$37,'BA History'!Z:Z, 1)</f>
        <v>0</v>
      </c>
      <c r="AD37" s="113">
        <f>COUNTIFS('BA History'!$B:$B,$A$37,'BA History'!AA:AA, 1)</f>
        <v>0</v>
      </c>
      <c r="AE37" s="113">
        <f>COUNTIFS('BA History'!$B:$B,$A$37,'BA History'!AB:AB, 1)</f>
        <v>1</v>
      </c>
      <c r="AF37" s="113">
        <f>COUNTIFS('BA History'!$B:$B,$A$37,'BA History'!AC:AC, 1)</f>
        <v>0</v>
      </c>
      <c r="AG37" s="113">
        <f>COUNTIFS('BA History'!$B:$B,$A$37,'BA History'!AD:AD, 1)</f>
        <v>0</v>
      </c>
      <c r="AH37" s="113">
        <f>COUNTIFS('BA History'!$B:$B,$A$37,'BA History'!AE:AE, 1)</f>
        <v>0</v>
      </c>
    </row>
    <row r="38" spans="1:34" x14ac:dyDescent="0.25">
      <c r="A38" s="2" t="s">
        <v>6</v>
      </c>
      <c r="B38" s="34">
        <f>SUMIFS('BA History'!C:C,'BA History'!B:B,A38)</f>
        <v>595</v>
      </c>
      <c r="C38" s="66">
        <f>AVERAGEIFS('BA History'!C:C,'BA History'!B:B,A38)</f>
        <v>22.884615384615383</v>
      </c>
      <c r="D38" s="35">
        <f t="array" ref="D38">MAX(IF('BA History'!B:B=A38, 'BA History'!C:C))</f>
        <v>37</v>
      </c>
      <c r="E38" s="34">
        <f>COUNTIFS('BA History'!B:B,A38,'BA History'!D:D, 1)</f>
        <v>20</v>
      </c>
      <c r="F38" s="2">
        <f>COUNTIFS('BA History'!B:B,A38,'BA History'!D:D, 0)</f>
        <v>6</v>
      </c>
      <c r="G38" s="75">
        <f t="shared" si="3"/>
        <v>0.76923076923076927</v>
      </c>
      <c r="H38" s="34">
        <f>SUMIFS('BA History'!F:F,'BA History'!B:B,A38)</f>
        <v>68</v>
      </c>
      <c r="I38" s="2">
        <f>SUMIFS('BA History'!E:E,'BA History'!B:B,A38)-H38</f>
        <v>39</v>
      </c>
      <c r="J38" s="75">
        <f t="shared" si="4"/>
        <v>0.63551401869158874</v>
      </c>
      <c r="K38" s="34">
        <f>SUMIFS('BA History'!H:H,'BA History'!B:B,A38)</f>
        <v>251</v>
      </c>
      <c r="L38" s="2">
        <f>SUMIFS('BA History'!G:G,'BA History'!B:B,A38)-K38</f>
        <v>192</v>
      </c>
      <c r="M38" s="107">
        <f t="shared" si="5"/>
        <v>0.56659142212189617</v>
      </c>
      <c r="N38" s="113">
        <f>COUNTIFS('BA History'!$B:$B,$A$38,'BA History'!K:K, 1)</f>
        <v>5</v>
      </c>
      <c r="O38" s="113">
        <f>COUNTIFS('BA History'!$B:$B,$A$38,'BA History'!L:L, 1)</f>
        <v>2</v>
      </c>
      <c r="P38" s="113">
        <f>COUNTIFS('BA History'!$B:$B,$A$38,'BA History'!M:M, 1)</f>
        <v>5</v>
      </c>
      <c r="Q38" s="113">
        <f>COUNTIFS('BA History'!$B:$B,$A$38,'BA History'!N:N, 1)</f>
        <v>4</v>
      </c>
      <c r="R38" s="113">
        <f>COUNTIFS('BA History'!$B:$B,$A$38,'BA History'!O:O, 1)</f>
        <v>0</v>
      </c>
      <c r="S38" s="113">
        <f>COUNTIFS('BA History'!$B:$B,$A$38,'BA History'!P:P, 1)</f>
        <v>0</v>
      </c>
      <c r="T38" s="113">
        <f>COUNTIFS('BA History'!$B:$B,$A$38,'BA History'!Q:Q, 1)</f>
        <v>2</v>
      </c>
      <c r="U38" s="113">
        <f>COUNTIFS('BA History'!$B:$B,$A$38,'BA History'!R:R, 1)</f>
        <v>2</v>
      </c>
      <c r="V38" s="113">
        <f>COUNTIFS('BA History'!$B:$B,$A$38,'BA History'!S:S, 1)</f>
        <v>0</v>
      </c>
      <c r="W38" s="113">
        <f>COUNTIFS('BA History'!$B:$B,$A$38,'BA History'!T:T, 1)</f>
        <v>2</v>
      </c>
      <c r="X38" s="113">
        <f>COUNTIFS('BA History'!$B:$B,$A$38,'BA History'!U:U, 1)</f>
        <v>7</v>
      </c>
      <c r="Y38" s="113">
        <f>COUNTIFS('BA History'!$B:$B,$A$38,'BA History'!V:V, 1)</f>
        <v>3</v>
      </c>
      <c r="Z38" s="113">
        <f>COUNTIFS('BA History'!$B:$B,$A$38,'BA History'!W:W, 1)</f>
        <v>2</v>
      </c>
      <c r="AA38" s="113">
        <f>COUNTIFS('BA History'!$B:$B,$A$38,'BA History'!X:X, 1)</f>
        <v>2</v>
      </c>
      <c r="AB38" s="113">
        <f>COUNTIFS('BA History'!$B:$B,$A$38,'BA History'!Y:Y, 1)</f>
        <v>8</v>
      </c>
      <c r="AC38" s="113">
        <f>COUNTIFS('BA History'!$B:$B,$A$38,'BA History'!Z:Z, 1)</f>
        <v>1</v>
      </c>
      <c r="AD38" s="113">
        <f>COUNTIFS('BA History'!$B:$B,$A$38,'BA History'!AA:AA, 1)</f>
        <v>7</v>
      </c>
      <c r="AE38" s="113">
        <f>COUNTIFS('BA History'!$B:$B,$A$38,'BA History'!AB:AB, 1)</f>
        <v>4</v>
      </c>
      <c r="AF38" s="113">
        <f>COUNTIFS('BA History'!$B:$B,$A$38,'BA History'!AC:AC, 1)</f>
        <v>7</v>
      </c>
      <c r="AG38" s="113">
        <f>COUNTIFS('BA History'!$B:$B,$A$38,'BA History'!AD:AD, 1)</f>
        <v>1</v>
      </c>
      <c r="AH38" s="113">
        <f>COUNTIFS('BA History'!$B:$B,$A$38,'BA History'!AE:AE, 1)</f>
        <v>4</v>
      </c>
    </row>
    <row r="39" spans="1:34" x14ac:dyDescent="0.25">
      <c r="A39" s="2" t="s">
        <v>18</v>
      </c>
      <c r="B39" s="34">
        <f>SUMIFS('BA History'!C:C,'BA History'!B:B,A39)</f>
        <v>55</v>
      </c>
      <c r="C39" s="66">
        <f>AVERAGEIFS('BA History'!C:C,'BA History'!B:B,A39)</f>
        <v>18.333333333333332</v>
      </c>
      <c r="D39" s="35">
        <f t="array" ref="D39">MAX(IF('BA History'!B:B=A39, 'BA History'!C:C))</f>
        <v>24</v>
      </c>
      <c r="E39" s="34">
        <f>COUNTIFS('BA History'!B:B,A39,'BA History'!D:D, 1)</f>
        <v>2</v>
      </c>
      <c r="F39" s="2">
        <f>COUNTIFS('BA History'!B:B,A39,'BA History'!D:D, 0)</f>
        <v>1</v>
      </c>
      <c r="G39" s="75">
        <f t="shared" si="3"/>
        <v>0.66666666666666663</v>
      </c>
      <c r="H39" s="34">
        <f>SUMIFS('BA History'!F:F,'BA History'!B:B,A39)</f>
        <v>7</v>
      </c>
      <c r="I39" s="2">
        <f>SUMIFS('BA History'!E:E,'BA History'!B:B,A39)-H39</f>
        <v>5</v>
      </c>
      <c r="J39" s="75">
        <f t="shared" si="4"/>
        <v>0.58333333333333337</v>
      </c>
      <c r="K39" s="34">
        <f>SUMIFS('BA History'!H:H,'BA History'!B:B,A39)</f>
        <v>26</v>
      </c>
      <c r="L39" s="2">
        <f>SUMIFS('BA History'!G:G,'BA History'!B:B,A39)-K39</f>
        <v>23</v>
      </c>
      <c r="M39" s="107">
        <f t="shared" si="5"/>
        <v>0.53061224489795922</v>
      </c>
      <c r="N39" s="113">
        <f>COUNTIFS('BA History'!$B:$B,$A$39,'BA History'!K:K, 1)</f>
        <v>0</v>
      </c>
      <c r="O39" s="113">
        <f>COUNTIFS('BA History'!$B:$B,$A$39,'BA History'!L:L, 1)</f>
        <v>2</v>
      </c>
      <c r="P39" s="113">
        <f>COUNTIFS('BA History'!$B:$B,$A$39,'BA History'!M:M, 1)</f>
        <v>0</v>
      </c>
      <c r="Q39" s="113">
        <f>COUNTIFS('BA History'!$B:$B,$A$39,'BA History'!N:N, 1)</f>
        <v>1</v>
      </c>
      <c r="R39" s="113">
        <f>COUNTIFS('BA History'!$B:$B,$A$39,'BA History'!O:O, 1)</f>
        <v>0</v>
      </c>
      <c r="S39" s="113">
        <f>COUNTIFS('BA History'!$B:$B,$A$39,'BA History'!P:P, 1)</f>
        <v>0</v>
      </c>
      <c r="T39" s="113">
        <f>COUNTIFS('BA History'!$B:$B,$A$39,'BA History'!Q:Q, 1)</f>
        <v>0</v>
      </c>
      <c r="U39" s="113">
        <f>COUNTIFS('BA History'!$B:$B,$A$39,'BA History'!R:R, 1)</f>
        <v>0</v>
      </c>
      <c r="V39" s="113">
        <f>COUNTIFS('BA History'!$B:$B,$A$39,'BA History'!S:S, 1)</f>
        <v>0</v>
      </c>
      <c r="W39" s="113">
        <f>COUNTIFS('BA History'!$B:$B,$A$39,'BA History'!T:T, 1)</f>
        <v>0</v>
      </c>
      <c r="X39" s="113">
        <f>COUNTIFS('BA History'!$B:$B,$A$39,'BA History'!U:U, 1)</f>
        <v>0</v>
      </c>
      <c r="Y39" s="113">
        <f>COUNTIFS('BA History'!$B:$B,$A$39,'BA History'!V:V, 1)</f>
        <v>1</v>
      </c>
      <c r="Z39" s="113">
        <f>COUNTIFS('BA History'!$B:$B,$A$39,'BA History'!W:W, 1)</f>
        <v>1</v>
      </c>
      <c r="AA39" s="113">
        <f>COUNTIFS('BA History'!$B:$B,$A$39,'BA History'!X:X, 1)</f>
        <v>0</v>
      </c>
      <c r="AB39" s="113">
        <f>COUNTIFS('BA History'!$B:$B,$A$39,'BA History'!Y:Y, 1)</f>
        <v>1</v>
      </c>
      <c r="AC39" s="113">
        <f>COUNTIFS('BA History'!$B:$B,$A$39,'BA History'!Z:Z, 1)</f>
        <v>0</v>
      </c>
      <c r="AD39" s="113">
        <f>COUNTIFS('BA History'!$B:$B,$A$39,'BA History'!AA:AA, 1)</f>
        <v>0</v>
      </c>
      <c r="AE39" s="113">
        <f>COUNTIFS('BA History'!$B:$B,$A$39,'BA History'!AB:AB, 1)</f>
        <v>0</v>
      </c>
      <c r="AF39" s="113">
        <f>COUNTIFS('BA History'!$B:$B,$A$39,'BA History'!AC:AC, 1)</f>
        <v>1</v>
      </c>
      <c r="AG39" s="113">
        <f>COUNTIFS('BA History'!$B:$B,$A$39,'BA History'!AD:AD, 1)</f>
        <v>0</v>
      </c>
      <c r="AH39" s="113">
        <f>COUNTIFS('BA History'!$B:$B,$A$39,'BA History'!AE:AE, 1)</f>
        <v>0</v>
      </c>
    </row>
    <row r="40" spans="1:34" x14ac:dyDescent="0.25">
      <c r="A40" s="2" t="s">
        <v>113</v>
      </c>
      <c r="B40" s="34">
        <f>SUMIFS('BA History'!C:C,'BA History'!B:B,A40)</f>
        <v>100</v>
      </c>
      <c r="C40" s="66">
        <f>AVERAGEIFS('BA History'!C:C,'BA History'!B:B,A40)</f>
        <v>20</v>
      </c>
      <c r="D40" s="35">
        <f t="array" ref="D40">MAX(IF('BA History'!B:B=A40, 'BA History'!C:C))</f>
        <v>28</v>
      </c>
      <c r="E40" s="34">
        <f>COUNTIFS('BA History'!B:B,A40,'BA History'!D:D, 1)</f>
        <v>3</v>
      </c>
      <c r="F40" s="2">
        <f>COUNTIFS('BA History'!B:B,A40,'BA History'!D:D, 0)</f>
        <v>2</v>
      </c>
      <c r="G40" s="75">
        <f t="shared" si="3"/>
        <v>0.6</v>
      </c>
      <c r="H40" s="34">
        <f>SUMIFS('BA History'!F:F,'BA History'!B:B,A40)</f>
        <v>13</v>
      </c>
      <c r="I40" s="2">
        <f>SUMIFS('BA History'!E:E,'BA History'!B:B,A40)-H40</f>
        <v>11</v>
      </c>
      <c r="J40" s="75">
        <f t="shared" si="4"/>
        <v>0.54166666666666663</v>
      </c>
      <c r="K40" s="34">
        <f>SUMIFS('BA History'!H:H,'BA History'!B:B,A40)</f>
        <v>50</v>
      </c>
      <c r="L40" s="2">
        <f>SUMIFS('BA History'!G:G,'BA History'!B:B,A40)-K40</f>
        <v>50</v>
      </c>
      <c r="M40" s="107">
        <f t="shared" si="5"/>
        <v>0.5</v>
      </c>
      <c r="N40" s="113">
        <f>COUNTIFS('BA History'!$B:$B,$A$40,'BA History'!K:K, 1)</f>
        <v>0</v>
      </c>
      <c r="O40" s="113">
        <f>COUNTIFS('BA History'!$B:$B,$A$40,'BA History'!L:L, 1)</f>
        <v>1</v>
      </c>
      <c r="P40" s="113">
        <f>COUNTIFS('BA History'!$B:$B,$A$40,'BA History'!M:M, 1)</f>
        <v>3</v>
      </c>
      <c r="Q40" s="113">
        <f>COUNTIFS('BA History'!$B:$B,$A$40,'BA History'!N:N, 1)</f>
        <v>1</v>
      </c>
      <c r="R40" s="113">
        <f>COUNTIFS('BA History'!$B:$B,$A$40,'BA History'!O:O, 1)</f>
        <v>0</v>
      </c>
      <c r="S40" s="113">
        <f>COUNTIFS('BA History'!$B:$B,$A$40,'BA History'!P:P, 1)</f>
        <v>0</v>
      </c>
      <c r="T40" s="113">
        <f>COUNTIFS('BA History'!$B:$B,$A$40,'BA History'!Q:Q, 1)</f>
        <v>1</v>
      </c>
      <c r="U40" s="113">
        <f>COUNTIFS('BA History'!$B:$B,$A$40,'BA History'!R:R, 1)</f>
        <v>0</v>
      </c>
      <c r="V40" s="113">
        <f>COUNTIFS('BA History'!$B:$B,$A$40,'BA History'!S:S, 1)</f>
        <v>0</v>
      </c>
      <c r="W40" s="113">
        <f>COUNTIFS('BA History'!$B:$B,$A$40,'BA History'!T:T, 1)</f>
        <v>1</v>
      </c>
      <c r="X40" s="113">
        <f>COUNTIFS('BA History'!$B:$B,$A$40,'BA History'!U:U, 1)</f>
        <v>1</v>
      </c>
      <c r="Y40" s="113">
        <f>COUNTIFS('BA History'!$B:$B,$A$40,'BA History'!V:V, 1)</f>
        <v>0</v>
      </c>
      <c r="Z40" s="113">
        <f>COUNTIFS('BA History'!$B:$B,$A$40,'BA History'!W:W, 1)</f>
        <v>0</v>
      </c>
      <c r="AA40" s="113">
        <f>COUNTIFS('BA History'!$B:$B,$A$40,'BA History'!X:X, 1)</f>
        <v>2</v>
      </c>
      <c r="AB40" s="113">
        <f>COUNTIFS('BA History'!$B:$B,$A$40,'BA History'!Y:Y, 1)</f>
        <v>0</v>
      </c>
      <c r="AC40" s="113">
        <f>COUNTIFS('BA History'!$B:$B,$A$40,'BA History'!Z:Z, 1)</f>
        <v>0</v>
      </c>
      <c r="AD40" s="113">
        <f>COUNTIFS('BA History'!$B:$B,$A$40,'BA History'!AA:AA, 1)</f>
        <v>1</v>
      </c>
      <c r="AE40" s="113">
        <f>COUNTIFS('BA History'!$B:$B,$A$40,'BA History'!AB:AB, 1)</f>
        <v>1</v>
      </c>
      <c r="AF40" s="113">
        <f>COUNTIFS('BA History'!$B:$B,$A$40,'BA History'!AC:AC, 1)</f>
        <v>1</v>
      </c>
      <c r="AG40" s="113">
        <f>COUNTIFS('BA History'!$B:$B,$A$40,'BA History'!AD:AD, 1)</f>
        <v>0</v>
      </c>
      <c r="AH40" s="113">
        <f>COUNTIFS('BA History'!$B:$B,$A$40,'BA History'!AE:AE, 1)</f>
        <v>0</v>
      </c>
    </row>
    <row r="41" spans="1:34" x14ac:dyDescent="0.25">
      <c r="A41" s="2" t="s">
        <v>14</v>
      </c>
      <c r="B41" s="34">
        <f>SUMIFS('BA History'!C:C,'BA History'!B:B,A41)</f>
        <v>200</v>
      </c>
      <c r="C41" s="66">
        <f>AVERAGEIFS('BA History'!C:C,'BA History'!B:B,A41)</f>
        <v>16.666666666666668</v>
      </c>
      <c r="D41" s="35">
        <f t="array" ref="D41">MAX(IF('BA History'!B:B=A41, 'BA History'!C:C))</f>
        <v>27</v>
      </c>
      <c r="E41" s="34">
        <f>COUNTIFS('BA History'!B:B,A41,'BA History'!D:D, 1)</f>
        <v>6</v>
      </c>
      <c r="F41" s="2">
        <f>COUNTIFS('BA History'!B:B,A41,'BA History'!D:D, 0)</f>
        <v>6</v>
      </c>
      <c r="G41" s="75">
        <f t="shared" si="3"/>
        <v>0.5</v>
      </c>
      <c r="H41" s="34">
        <f>SUMIFS('BA History'!F:F,'BA History'!B:B,A41)</f>
        <v>24</v>
      </c>
      <c r="I41" s="2">
        <f>SUMIFS('BA History'!E:E,'BA History'!B:B,A41)-H41</f>
        <v>27</v>
      </c>
      <c r="J41" s="75">
        <f t="shared" si="4"/>
        <v>0.47058823529411764</v>
      </c>
      <c r="K41" s="34">
        <f>SUMIFS('BA History'!H:H,'BA History'!B:B,A41)</f>
        <v>103</v>
      </c>
      <c r="L41" s="2">
        <f>SUMIFS('BA History'!G:G,'BA History'!B:B,A41)-K41</f>
        <v>103</v>
      </c>
      <c r="M41" s="107">
        <f t="shared" si="5"/>
        <v>0.5</v>
      </c>
      <c r="N41" s="113">
        <f>COUNTIFS('BA History'!$B:$B,$A$41,'BA History'!K:K, 1)</f>
        <v>1</v>
      </c>
      <c r="O41" s="113">
        <f>COUNTIFS('BA History'!$B:$B,$A$41,'BA History'!L:L, 1)</f>
        <v>1</v>
      </c>
      <c r="P41" s="113">
        <f>COUNTIFS('BA History'!$B:$B,$A$41,'BA History'!M:M, 1)</f>
        <v>0</v>
      </c>
      <c r="Q41" s="113">
        <f>COUNTIFS('BA History'!$B:$B,$A$41,'BA History'!N:N, 1)</f>
        <v>0</v>
      </c>
      <c r="R41" s="113">
        <f>COUNTIFS('BA History'!$B:$B,$A$41,'BA History'!O:O, 1)</f>
        <v>0</v>
      </c>
      <c r="S41" s="113">
        <f>COUNTIFS('BA History'!$B:$B,$A$41,'BA History'!P:P, 1)</f>
        <v>0</v>
      </c>
      <c r="T41" s="113">
        <f>COUNTIFS('BA History'!$B:$B,$A$41,'BA History'!Q:Q, 1)</f>
        <v>2</v>
      </c>
      <c r="U41" s="113">
        <f>COUNTIFS('BA History'!$B:$B,$A$41,'BA History'!R:R, 1)</f>
        <v>1</v>
      </c>
      <c r="V41" s="113">
        <f>COUNTIFS('BA History'!$B:$B,$A$41,'BA History'!S:S, 1)</f>
        <v>1</v>
      </c>
      <c r="W41" s="113">
        <f>COUNTIFS('BA History'!$B:$B,$A$41,'BA History'!T:T, 1)</f>
        <v>1</v>
      </c>
      <c r="X41" s="113">
        <f>COUNTIFS('BA History'!$B:$B,$A$41,'BA History'!U:U, 1)</f>
        <v>0</v>
      </c>
      <c r="Y41" s="113">
        <f>COUNTIFS('BA History'!$B:$B,$A$41,'BA History'!V:V, 1)</f>
        <v>2</v>
      </c>
      <c r="Z41" s="113">
        <f>COUNTIFS('BA History'!$B:$B,$A$41,'BA History'!W:W, 1)</f>
        <v>1</v>
      </c>
      <c r="AA41" s="113">
        <f>COUNTIFS('BA History'!$B:$B,$A$41,'BA History'!X:X, 1)</f>
        <v>2</v>
      </c>
      <c r="AB41" s="113">
        <f>COUNTIFS('BA History'!$B:$B,$A$41,'BA History'!Y:Y, 1)</f>
        <v>5</v>
      </c>
      <c r="AC41" s="113">
        <f>COUNTIFS('BA History'!$B:$B,$A$41,'BA History'!Z:Z, 1)</f>
        <v>1</v>
      </c>
      <c r="AD41" s="113">
        <f>COUNTIFS('BA History'!$B:$B,$A$41,'BA History'!AA:AA, 1)</f>
        <v>3</v>
      </c>
      <c r="AE41" s="113">
        <f>COUNTIFS('BA History'!$B:$B,$A$41,'BA History'!AB:AB, 1)</f>
        <v>3</v>
      </c>
      <c r="AF41" s="113">
        <f>COUNTIFS('BA History'!$B:$B,$A$41,'BA History'!AC:AC, 1)</f>
        <v>0</v>
      </c>
      <c r="AG41" s="113">
        <f>COUNTIFS('BA History'!$B:$B,$A$41,'BA History'!AD:AD, 1)</f>
        <v>0</v>
      </c>
      <c r="AH41" s="113">
        <f>COUNTIFS('BA History'!$B:$B,$A$41,'BA History'!AE:AE, 1)</f>
        <v>0</v>
      </c>
    </row>
    <row r="42" spans="1:34" x14ac:dyDescent="0.25">
      <c r="A42" s="2" t="s">
        <v>70</v>
      </c>
      <c r="B42" s="34">
        <f>SUMIFS('BA History'!C:C,'BA History'!B:B,A42)</f>
        <v>63</v>
      </c>
      <c r="C42" s="66">
        <f>AVERAGEIFS('BA History'!C:C,'BA History'!B:B,A42)</f>
        <v>12.6</v>
      </c>
      <c r="D42" s="35">
        <f t="array" ref="D42">MAX(IF('BA History'!B:B=A42, 'BA History'!C:C))</f>
        <v>19</v>
      </c>
      <c r="E42" s="34">
        <f>COUNTIFS('BA History'!B:B,A42,'BA History'!D:D, 1)</f>
        <v>5</v>
      </c>
      <c r="F42" s="2">
        <f>COUNTIFS('BA History'!B:B,A42,'BA History'!D:D, 0)</f>
        <v>0</v>
      </c>
      <c r="G42" s="75">
        <f t="shared" si="3"/>
        <v>1</v>
      </c>
      <c r="H42" s="34">
        <f>SUMIFS('BA History'!F:F,'BA History'!B:B,A42)</f>
        <v>15</v>
      </c>
      <c r="I42" s="2">
        <f>SUMIFS('BA History'!E:E,'BA History'!B:B,A42)-H42</f>
        <v>7</v>
      </c>
      <c r="J42" s="75">
        <f t="shared" si="4"/>
        <v>0.68181818181818177</v>
      </c>
      <c r="K42" s="34">
        <f>SUMIFS('BA History'!H:H,'BA History'!B:B,A42)</f>
        <v>52</v>
      </c>
      <c r="L42" s="2">
        <f>SUMIFS('BA History'!G:G,'BA History'!B:B,A42)-K42</f>
        <v>40</v>
      </c>
      <c r="M42" s="107">
        <f t="shared" si="5"/>
        <v>0.56521739130434778</v>
      </c>
      <c r="N42" s="113">
        <f>COUNTIFS('BA History'!$B:$B,$A$42,'BA History'!K:K, 1)</f>
        <v>1</v>
      </c>
      <c r="O42" s="113">
        <f>COUNTIFS('BA History'!$B:$B,$A$42,'BA History'!L:L, 1)</f>
        <v>1</v>
      </c>
      <c r="P42" s="113">
        <f>COUNTIFS('BA History'!$B:$B,$A$42,'BA History'!M:M, 1)</f>
        <v>2</v>
      </c>
      <c r="Q42" s="113">
        <f>COUNTIFS('BA History'!$B:$B,$A$42,'BA History'!N:N, 1)</f>
        <v>2</v>
      </c>
      <c r="R42" s="113">
        <f>COUNTIFS('BA History'!$B:$B,$A$42,'BA History'!O:O, 1)</f>
        <v>0</v>
      </c>
      <c r="S42" s="113">
        <f>COUNTIFS('BA History'!$B:$B,$A$42,'BA History'!P:P, 1)</f>
        <v>0</v>
      </c>
      <c r="T42" s="113">
        <f>COUNTIFS('BA History'!$B:$B,$A$42,'BA History'!Q:Q, 1)</f>
        <v>0</v>
      </c>
      <c r="U42" s="113">
        <f>COUNTIFS('BA History'!$B:$B,$A$42,'BA History'!R:R, 1)</f>
        <v>1</v>
      </c>
      <c r="V42" s="113">
        <f>COUNTIFS('BA History'!$B:$B,$A$42,'BA History'!S:S, 1)</f>
        <v>0</v>
      </c>
      <c r="W42" s="113">
        <f>COUNTIFS('BA History'!$B:$B,$A$42,'BA History'!T:T, 1)</f>
        <v>0</v>
      </c>
      <c r="X42" s="113">
        <f>COUNTIFS('BA History'!$B:$B,$A$42,'BA History'!U:U, 1)</f>
        <v>1</v>
      </c>
      <c r="Y42" s="113">
        <f>COUNTIFS('BA History'!$B:$B,$A$42,'BA History'!V:V, 1)</f>
        <v>1</v>
      </c>
      <c r="Z42" s="113">
        <f>COUNTIFS('BA History'!$B:$B,$A$42,'BA History'!W:W, 1)</f>
        <v>0</v>
      </c>
      <c r="AA42" s="113">
        <f>COUNTIFS('BA History'!$B:$B,$A$42,'BA History'!X:X, 1)</f>
        <v>1</v>
      </c>
      <c r="AB42" s="113">
        <f>COUNTIFS('BA History'!$B:$B,$A$42,'BA History'!Y:Y, 1)</f>
        <v>0</v>
      </c>
      <c r="AC42" s="113">
        <f>COUNTIFS('BA History'!$B:$B,$A$42,'BA History'!Z:Z, 1)</f>
        <v>0</v>
      </c>
      <c r="AD42" s="113">
        <f>COUNTIFS('BA History'!$B:$B,$A$42,'BA History'!AA:AA, 1)</f>
        <v>0</v>
      </c>
      <c r="AE42" s="113">
        <f>COUNTIFS('BA History'!$B:$B,$A$42,'BA History'!AB:AB, 1)</f>
        <v>0</v>
      </c>
      <c r="AF42" s="113">
        <f>COUNTIFS('BA History'!$B:$B,$A$42,'BA History'!AC:AC, 1)</f>
        <v>3</v>
      </c>
      <c r="AG42" s="113">
        <f>COUNTIFS('BA History'!$B:$B,$A$42,'BA History'!AD:AD, 1)</f>
        <v>0</v>
      </c>
      <c r="AH42" s="113">
        <f>COUNTIFS('BA History'!$B:$B,$A$42,'BA History'!AE:AE, 1)</f>
        <v>2</v>
      </c>
    </row>
    <row r="43" spans="1:34" x14ac:dyDescent="0.25">
      <c r="A43" s="2" t="s">
        <v>4</v>
      </c>
      <c r="B43" s="34">
        <f>SUMIFS('BA History'!C:C,'BA History'!B:B,A43)</f>
        <v>308</v>
      </c>
      <c r="C43" s="66">
        <f>AVERAGEIFS('BA History'!C:C,'BA History'!B:B,A43)</f>
        <v>25.666666666666668</v>
      </c>
      <c r="D43" s="35">
        <f t="array" ref="D43">MAX(IF('BA History'!B:B=A43, 'BA History'!C:C))</f>
        <v>41</v>
      </c>
      <c r="E43" s="34">
        <f>COUNTIFS('BA History'!B:B,A43,'BA History'!D:D, 1)</f>
        <v>3</v>
      </c>
      <c r="F43" s="2">
        <f>COUNTIFS('BA History'!B:B,A43,'BA History'!D:D, 0)</f>
        <v>9</v>
      </c>
      <c r="G43" s="75">
        <f t="shared" si="3"/>
        <v>0.25</v>
      </c>
      <c r="H43" s="34">
        <f>SUMIFS('BA History'!F:F,'BA History'!B:B,A43)</f>
        <v>21</v>
      </c>
      <c r="I43" s="2">
        <f>SUMIFS('BA History'!E:E,'BA History'!B:B,A43)-H43</f>
        <v>31</v>
      </c>
      <c r="J43" s="75">
        <f t="shared" si="4"/>
        <v>0.40384615384615385</v>
      </c>
      <c r="K43" s="34">
        <f>SUMIFS('BA History'!H:H,'BA History'!B:B,A43)</f>
        <v>97</v>
      </c>
      <c r="L43" s="2">
        <f>SUMIFS('BA History'!G:G,'BA History'!B:B,A43)-K43</f>
        <v>116</v>
      </c>
      <c r="M43" s="107">
        <f t="shared" si="5"/>
        <v>0.45539906103286387</v>
      </c>
      <c r="N43" s="113">
        <f>COUNTIFS('BA History'!$B:$B,$A$43,'BA History'!K:K, 1)</f>
        <v>0</v>
      </c>
      <c r="O43" s="113">
        <f>COUNTIFS('BA History'!$B:$B,$A$43,'BA History'!L:L, 1)</f>
        <v>4</v>
      </c>
      <c r="P43" s="113">
        <f>COUNTIFS('BA History'!$B:$B,$A$43,'BA History'!M:M, 1)</f>
        <v>3</v>
      </c>
      <c r="Q43" s="113">
        <f>COUNTIFS('BA History'!$B:$B,$A$43,'BA History'!N:N, 1)</f>
        <v>3</v>
      </c>
      <c r="R43" s="113">
        <f>COUNTIFS('BA History'!$B:$B,$A$43,'BA History'!O:O, 1)</f>
        <v>0</v>
      </c>
      <c r="S43" s="113">
        <f>COUNTIFS('BA History'!$B:$B,$A$43,'BA History'!P:P, 1)</f>
        <v>0</v>
      </c>
      <c r="T43" s="113">
        <f>COUNTIFS('BA History'!$B:$B,$A$43,'BA History'!Q:Q, 1)</f>
        <v>1</v>
      </c>
      <c r="U43" s="113">
        <f>COUNTIFS('BA History'!$B:$B,$A$43,'BA History'!R:R, 1)</f>
        <v>0</v>
      </c>
      <c r="V43" s="113">
        <f>COUNTIFS('BA History'!$B:$B,$A$43,'BA History'!S:S, 1)</f>
        <v>0</v>
      </c>
      <c r="W43" s="113">
        <f>COUNTIFS('BA History'!$B:$B,$A$43,'BA History'!T:T, 1)</f>
        <v>1</v>
      </c>
      <c r="X43" s="113">
        <f>COUNTIFS('BA History'!$B:$B,$A$43,'BA History'!U:U, 1)</f>
        <v>0</v>
      </c>
      <c r="Y43" s="113">
        <f>COUNTIFS('BA History'!$B:$B,$A$43,'BA History'!V:V, 1)</f>
        <v>0</v>
      </c>
      <c r="Z43" s="113">
        <f>COUNTIFS('BA History'!$B:$B,$A$43,'BA History'!W:W, 1)</f>
        <v>0</v>
      </c>
      <c r="AA43" s="113">
        <f>COUNTIFS('BA History'!$B:$B,$A$43,'BA History'!X:X, 1)</f>
        <v>4</v>
      </c>
      <c r="AB43" s="113">
        <f>COUNTIFS('BA History'!$B:$B,$A$43,'BA History'!Y:Y, 1)</f>
        <v>1</v>
      </c>
      <c r="AC43" s="113">
        <f>COUNTIFS('BA History'!$B:$B,$A$43,'BA History'!Z:Z, 1)</f>
        <v>0</v>
      </c>
      <c r="AD43" s="113">
        <f>COUNTIFS('BA History'!$B:$B,$A$43,'BA History'!AA:AA, 1)</f>
        <v>1</v>
      </c>
      <c r="AE43" s="113">
        <f>COUNTIFS('BA History'!$B:$B,$A$43,'BA History'!AB:AB, 1)</f>
        <v>2</v>
      </c>
      <c r="AF43" s="113">
        <f>COUNTIFS('BA History'!$B:$B,$A$43,'BA History'!AC:AC, 1)</f>
        <v>1</v>
      </c>
      <c r="AG43" s="113">
        <f>COUNTIFS('BA History'!$B:$B,$A$43,'BA History'!AD:AD, 1)</f>
        <v>0</v>
      </c>
      <c r="AH43" s="113">
        <f>COUNTIFS('BA History'!$B:$B,$A$43,'BA History'!AE:AE, 1)</f>
        <v>0</v>
      </c>
    </row>
    <row r="44" spans="1:34" x14ac:dyDescent="0.25">
      <c r="A44" s="1" t="s">
        <v>107</v>
      </c>
      <c r="B44" s="34">
        <f>SUMIFS('BA History'!C:C,'BA History'!B:B,A44)</f>
        <v>148</v>
      </c>
      <c r="C44" s="66">
        <f>AVERAGEIFS('BA History'!C:C,'BA History'!B:B,A44)</f>
        <v>16.444444444444443</v>
      </c>
      <c r="D44" s="35">
        <f t="array" ref="D44">MAX(IF('BA History'!B:B=A44, 'BA History'!C:C))</f>
        <v>24</v>
      </c>
      <c r="E44" s="34">
        <f>COUNTIFS('BA History'!B:B,A44,'BA History'!D:D, 1)</f>
        <v>5</v>
      </c>
      <c r="F44" s="2">
        <f>COUNTIFS('BA History'!B:B,A44,'BA History'!D:D, 0)</f>
        <v>4</v>
      </c>
      <c r="G44" s="75">
        <f t="shared" si="3"/>
        <v>0.55555555555555558</v>
      </c>
      <c r="H44" s="34">
        <f>SUMIFS('BA History'!F:F,'BA History'!B:B,A44)</f>
        <v>22</v>
      </c>
      <c r="I44" s="2">
        <f>SUMIFS('BA History'!E:E,'BA History'!B:B,A44)-H44</f>
        <v>19</v>
      </c>
      <c r="J44" s="75">
        <f t="shared" si="4"/>
        <v>0.53658536585365857</v>
      </c>
      <c r="K44" s="34">
        <f>SUMIFS('BA History'!H:H,'BA History'!B:B,A44)</f>
        <v>93</v>
      </c>
      <c r="L44" s="2">
        <f>SUMIFS('BA History'!G:G,'BA History'!B:B,A44)-K44</f>
        <v>87</v>
      </c>
      <c r="M44" s="107">
        <f t="shared" si="5"/>
        <v>0.51666666666666672</v>
      </c>
      <c r="N44" s="113">
        <f>COUNTIFS('BA History'!$B:$B,$A$44,'BA History'!K:K, 1)</f>
        <v>0</v>
      </c>
      <c r="O44" s="113">
        <f>COUNTIFS('BA History'!$B:$B,$A$44,'BA History'!L:L, 1)</f>
        <v>0</v>
      </c>
      <c r="P44" s="113">
        <f>COUNTIFS('BA History'!$B:$B,$A$44,'BA History'!M:M, 1)</f>
        <v>2</v>
      </c>
      <c r="Q44" s="113">
        <f>COUNTIFS('BA History'!$B:$B,$A$44,'BA History'!N:N, 1)</f>
        <v>5</v>
      </c>
      <c r="R44" s="113">
        <f>COUNTIFS('BA History'!$B:$B,$A$44,'BA History'!O:O, 1)</f>
        <v>0</v>
      </c>
      <c r="S44" s="113">
        <f>COUNTIFS('BA History'!$B:$B,$A$44,'BA History'!P:P, 1)</f>
        <v>0</v>
      </c>
      <c r="T44" s="113">
        <f>COUNTIFS('BA History'!$B:$B,$A$44,'BA History'!Q:Q, 1)</f>
        <v>0</v>
      </c>
      <c r="U44" s="113">
        <f>COUNTIFS('BA History'!$B:$B,$A$44,'BA History'!R:R, 1)</f>
        <v>1</v>
      </c>
      <c r="V44" s="113">
        <f>COUNTIFS('BA History'!$B:$B,$A$44,'BA History'!S:S, 1)</f>
        <v>0</v>
      </c>
      <c r="W44" s="113">
        <f>COUNTIFS('BA History'!$B:$B,$A$44,'BA History'!T:T, 1)</f>
        <v>0</v>
      </c>
      <c r="X44" s="113">
        <f>COUNTIFS('BA History'!$B:$B,$A$44,'BA History'!U:U, 1)</f>
        <v>2</v>
      </c>
      <c r="Y44" s="113">
        <f>COUNTIFS('BA History'!$B:$B,$A$44,'BA History'!V:V, 1)</f>
        <v>0</v>
      </c>
      <c r="Z44" s="113">
        <f>COUNTIFS('BA History'!$B:$B,$A$44,'BA History'!W:W, 1)</f>
        <v>0</v>
      </c>
      <c r="AA44" s="113">
        <f>COUNTIFS('BA History'!$B:$B,$A$44,'BA History'!X:X, 1)</f>
        <v>2</v>
      </c>
      <c r="AB44" s="113">
        <f>COUNTIFS('BA History'!$B:$B,$A$44,'BA History'!Y:Y, 1)</f>
        <v>4</v>
      </c>
      <c r="AC44" s="113">
        <f>COUNTIFS('BA History'!$B:$B,$A$44,'BA History'!Z:Z, 1)</f>
        <v>0</v>
      </c>
      <c r="AD44" s="113">
        <f>COUNTIFS('BA History'!$B:$B,$A$44,'BA History'!AA:AA, 1)</f>
        <v>0</v>
      </c>
      <c r="AE44" s="113">
        <f>COUNTIFS('BA History'!$B:$B,$A$44,'BA History'!AB:AB, 1)</f>
        <v>2</v>
      </c>
      <c r="AF44" s="113">
        <f>COUNTIFS('BA History'!$B:$B,$A$44,'BA History'!AC:AC, 1)</f>
        <v>2</v>
      </c>
      <c r="AG44" s="113">
        <f>COUNTIFS('BA History'!$B:$B,$A$44,'BA History'!AD:AD, 1)</f>
        <v>0</v>
      </c>
      <c r="AH44" s="113">
        <f>COUNTIFS('BA History'!$B:$B,$A$44,'BA History'!AE:AE, 1)</f>
        <v>2</v>
      </c>
    </row>
    <row r="45" spans="1:34" x14ac:dyDescent="0.25">
      <c r="A45" s="2" t="s">
        <v>94</v>
      </c>
      <c r="B45" s="34">
        <f>SUMIFS('BA History'!C:C,'BA History'!B:B,A45)</f>
        <v>18</v>
      </c>
      <c r="C45" s="66">
        <f>AVERAGEIFS('BA History'!C:C,'BA History'!B:B,A45)</f>
        <v>18</v>
      </c>
      <c r="D45" s="35">
        <f t="array" ref="D45">MAX(IF('BA History'!B:B=A45, 'BA History'!C:C))</f>
        <v>18</v>
      </c>
      <c r="E45" s="34">
        <f>COUNTIFS('BA History'!B:B,A45,'BA History'!D:D, 1)</f>
        <v>1</v>
      </c>
      <c r="F45" s="2">
        <f>COUNTIFS('BA History'!B:B,A45,'BA History'!D:D, 0)</f>
        <v>0</v>
      </c>
      <c r="G45" s="75">
        <f t="shared" si="3"/>
        <v>1</v>
      </c>
      <c r="H45" s="34">
        <f>SUMIFS('BA History'!F:F,'BA History'!B:B,A45)</f>
        <v>3</v>
      </c>
      <c r="I45" s="2">
        <f>SUMIFS('BA History'!E:E,'BA History'!B:B,A45)-H45</f>
        <v>2</v>
      </c>
      <c r="J45" s="75">
        <f t="shared" si="4"/>
        <v>0.6</v>
      </c>
      <c r="K45" s="34">
        <f>SUMIFS('BA History'!H:H,'BA History'!B:B,A45)</f>
        <v>11</v>
      </c>
      <c r="L45" s="2">
        <f>SUMIFS('BA History'!G:G,'BA History'!B:B,A45)-K45</f>
        <v>10</v>
      </c>
      <c r="M45" s="107">
        <f t="shared" si="5"/>
        <v>0.52380952380952384</v>
      </c>
      <c r="N45" s="113">
        <f>COUNTIFS('BA History'!$B:$B,$A$45,'BA History'!K:K, 1)</f>
        <v>0</v>
      </c>
      <c r="O45" s="113">
        <f>COUNTIFS('BA History'!$B:$B,$A$45,'BA History'!L:L, 1)</f>
        <v>0</v>
      </c>
      <c r="P45" s="113">
        <f>COUNTIFS('BA History'!$B:$B,$A$45,'BA History'!M:M, 1)</f>
        <v>0</v>
      </c>
      <c r="Q45" s="113">
        <f>COUNTIFS('BA History'!$B:$B,$A$45,'BA History'!N:N, 1)</f>
        <v>0</v>
      </c>
      <c r="R45" s="113">
        <f>COUNTIFS('BA History'!$B:$B,$A$45,'BA History'!O:O, 1)</f>
        <v>0</v>
      </c>
      <c r="S45" s="113">
        <f>COUNTIFS('BA History'!$B:$B,$A$45,'BA History'!P:P, 1)</f>
        <v>0</v>
      </c>
      <c r="T45" s="113">
        <f>COUNTIFS('BA History'!$B:$B,$A$45,'BA History'!Q:Q, 1)</f>
        <v>0</v>
      </c>
      <c r="U45" s="113">
        <f>COUNTIFS('BA History'!$B:$B,$A$45,'BA History'!R:R, 1)</f>
        <v>0</v>
      </c>
      <c r="V45" s="113">
        <f>COUNTIFS('BA History'!$B:$B,$A$45,'BA History'!S:S, 1)</f>
        <v>0</v>
      </c>
      <c r="W45" s="113">
        <f>COUNTIFS('BA History'!$B:$B,$A$45,'BA History'!T:T, 1)</f>
        <v>0</v>
      </c>
      <c r="X45" s="113">
        <f>COUNTIFS('BA History'!$B:$B,$A$45,'BA History'!U:U, 1)</f>
        <v>0</v>
      </c>
      <c r="Y45" s="113">
        <f>COUNTIFS('BA History'!$B:$B,$A$45,'BA History'!V:V, 1)</f>
        <v>1</v>
      </c>
      <c r="Z45" s="113">
        <f>COUNTIFS('BA History'!$B:$B,$A$45,'BA History'!W:W, 1)</f>
        <v>1</v>
      </c>
      <c r="AA45" s="113">
        <f>COUNTIFS('BA History'!$B:$B,$A$45,'BA History'!X:X, 1)</f>
        <v>0</v>
      </c>
      <c r="AB45" s="113">
        <f>COUNTIFS('BA History'!$B:$B,$A$45,'BA History'!Y:Y, 1)</f>
        <v>1</v>
      </c>
      <c r="AC45" s="113">
        <f>COUNTIFS('BA History'!$B:$B,$A$45,'BA History'!Z:Z, 1)</f>
        <v>0</v>
      </c>
      <c r="AD45" s="113">
        <f>COUNTIFS('BA History'!$B:$B,$A$45,'BA History'!AA:AA, 1)</f>
        <v>0</v>
      </c>
      <c r="AE45" s="113">
        <f>COUNTIFS('BA History'!$B:$B,$A$45,'BA History'!AB:AB, 1)</f>
        <v>0</v>
      </c>
      <c r="AF45" s="113">
        <f>COUNTIFS('BA History'!$B:$B,$A$45,'BA History'!AC:AC, 1)</f>
        <v>0</v>
      </c>
      <c r="AG45" s="113">
        <f>COUNTIFS('BA History'!$B:$B,$A$45,'BA History'!AD:AD, 1)</f>
        <v>0</v>
      </c>
      <c r="AH45" s="113">
        <f>COUNTIFS('BA History'!$B:$B,$A$45,'BA History'!AE:AE, 1)</f>
        <v>0</v>
      </c>
    </row>
    <row r="46" spans="1:34" ht="15.75" thickBot="1" x14ac:dyDescent="0.3">
      <c r="A46" s="2" t="s">
        <v>55</v>
      </c>
      <c r="B46" s="34">
        <f>SUMIFS('BA History'!C:C,'BA History'!B:B,A46)</f>
        <v>2</v>
      </c>
      <c r="C46" s="66">
        <f>AVERAGEIFS('BA History'!C:C,'BA History'!B:B,A46)</f>
        <v>2</v>
      </c>
      <c r="D46" s="35">
        <f t="array" ref="D46">MAX(IF('BA History'!B:B=A46, 'BA History'!C:C))</f>
        <v>2</v>
      </c>
      <c r="E46" s="34">
        <f>COUNTIFS('BA History'!B:B,A46,'BA History'!D:D, 1)</f>
        <v>0</v>
      </c>
      <c r="F46" s="2">
        <f>COUNTIFS('BA History'!B:B,A46,'BA History'!D:D, 0)</f>
        <v>1</v>
      </c>
      <c r="G46" s="76">
        <f t="shared" si="3"/>
        <v>0</v>
      </c>
      <c r="H46" s="34">
        <f>SUMIFS('BA History'!F:F,'BA History'!B:B,A46)</f>
        <v>0</v>
      </c>
      <c r="I46" s="2">
        <f>SUMIFS('BA History'!E:E,'BA History'!B:B,A46)-H46</f>
        <v>3</v>
      </c>
      <c r="J46" s="76">
        <f t="shared" si="4"/>
        <v>0</v>
      </c>
      <c r="K46" s="34">
        <f>SUMIFS('BA History'!H:H,'BA History'!B:B,A46)</f>
        <v>4</v>
      </c>
      <c r="L46" s="48">
        <v>9</v>
      </c>
      <c r="M46" s="108">
        <f t="shared" si="5"/>
        <v>0.30769230769230771</v>
      </c>
      <c r="N46" s="113">
        <f>COUNTIFS('BA History'!$B:$B,$A$46,'BA History'!K:K, 1)</f>
        <v>0</v>
      </c>
      <c r="O46" s="113">
        <f>COUNTIFS('BA History'!$B:$B,$A$46,'BA History'!L:L, 1)</f>
        <v>0</v>
      </c>
      <c r="P46" s="113">
        <f>COUNTIFS('BA History'!$B:$B,$A$46,'BA History'!M:M, 1)</f>
        <v>0</v>
      </c>
      <c r="Q46" s="113">
        <f>COUNTIFS('BA History'!$B:$B,$A$46,'BA History'!N:N, 1)</f>
        <v>0</v>
      </c>
      <c r="R46" s="113">
        <f>COUNTIFS('BA History'!$B:$B,$A$46,'BA History'!O:O, 1)</f>
        <v>0</v>
      </c>
      <c r="S46" s="113">
        <f>COUNTIFS('BA History'!$B:$B,$A$46,'BA History'!P:P, 1)</f>
        <v>0</v>
      </c>
      <c r="T46" s="113">
        <f>COUNTIFS('BA History'!$B:$B,$A$46,'BA History'!Q:Q, 1)</f>
        <v>0</v>
      </c>
      <c r="U46" s="113">
        <f>COUNTIFS('BA History'!$B:$B,$A$46,'BA History'!R:R, 1)</f>
        <v>0</v>
      </c>
      <c r="V46" s="113">
        <f>COUNTIFS('BA History'!$B:$B,$A$46,'BA History'!S:S, 1)</f>
        <v>0</v>
      </c>
      <c r="W46" s="113">
        <f>COUNTIFS('BA History'!$B:$B,$A$46,'BA History'!T:T, 1)</f>
        <v>0</v>
      </c>
      <c r="X46" s="113">
        <f>COUNTIFS('BA History'!$B:$B,$A$46,'BA History'!U:U, 1)</f>
        <v>0</v>
      </c>
      <c r="Y46" s="113">
        <f>COUNTIFS('BA History'!$B:$B,$A$46,'BA History'!V:V, 1)</f>
        <v>0</v>
      </c>
      <c r="Z46" s="113">
        <f>COUNTIFS('BA History'!$B:$B,$A$46,'BA History'!W:W, 1)</f>
        <v>0</v>
      </c>
      <c r="AA46" s="113">
        <f>COUNTIFS('BA History'!$B:$B,$A$46,'BA History'!X:X, 1)</f>
        <v>0</v>
      </c>
      <c r="AB46" s="113">
        <f>COUNTIFS('BA History'!$B:$B,$A$46,'BA History'!Y:Y, 1)</f>
        <v>0</v>
      </c>
      <c r="AC46" s="113">
        <f>COUNTIFS('BA History'!$B:$B,$A$46,'BA History'!Z:Z, 1)</f>
        <v>0</v>
      </c>
      <c r="AD46" s="113">
        <f>COUNTIFS('BA History'!$B:$B,$A$46,'BA History'!AA:AA, 1)</f>
        <v>0</v>
      </c>
      <c r="AE46" s="113">
        <f>COUNTIFS('BA History'!$B:$B,$A$46,'BA History'!AB:AB, 1)</f>
        <v>0</v>
      </c>
      <c r="AF46" s="113">
        <f>COUNTIFS('BA History'!$B:$B,$A$46,'BA History'!AC:AC, 1)</f>
        <v>0</v>
      </c>
      <c r="AG46" s="113">
        <f>COUNTIFS('BA History'!$B:$B,$A$46,'BA History'!AD:AD, 1)</f>
        <v>0</v>
      </c>
      <c r="AH46" s="113">
        <f>COUNTIFS('BA History'!$B:$B,$A$46,'BA History'!AE:AE, 1)</f>
        <v>0</v>
      </c>
    </row>
  </sheetData>
  <autoFilter ref="A1:AH46" xr:uid="{DA548192-1F03-46EA-8AB8-115EB9A7CE5D}">
    <sortState xmlns:xlrd2="http://schemas.microsoft.com/office/spreadsheetml/2017/richdata2" ref="A2:AH46">
      <sortCondition ref="A1:A46"/>
    </sortState>
  </autoFilter>
  <pageMargins left="0.7" right="0.7" top="0.75" bottom="0.75" header="0.3" footer="0.3"/>
  <pageSetup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548192-1F03-46EA-8AB8-115EB9A7CE5D}">
  <dimension ref="A1:AH47"/>
  <sheetViews>
    <sheetView workbookViewId="0">
      <pane xSplit="1" ySplit="1" topLeftCell="B11" activePane="bottomRight" state="frozen"/>
      <selection pane="topRight" activeCell="B1" sqref="B1"/>
      <selection pane="bottomLeft" activeCell="A2" sqref="A2"/>
      <selection pane="bottomRight" activeCell="E64" sqref="E64"/>
    </sheetView>
  </sheetViews>
  <sheetFormatPr defaultRowHeight="15" x14ac:dyDescent="0.25"/>
  <cols>
    <col min="1" max="1" width="11.5703125" bestFit="1" customWidth="1"/>
    <col min="4" max="4" width="17.140625" customWidth="1"/>
    <col min="5" max="15" width="9.140625" style="1"/>
    <col min="16" max="16" width="12" style="1" customWidth="1"/>
    <col min="17" max="19" width="9.140625" style="1"/>
    <col min="20" max="20" width="11.7109375" style="1" bestFit="1" customWidth="1"/>
    <col min="21" max="21" width="14.5703125" style="1" customWidth="1"/>
    <col min="22" max="24" width="9.140625" style="1"/>
    <col min="25" max="25" width="11.85546875" style="1" bestFit="1" customWidth="1"/>
    <col min="26" max="26" width="9.140625" style="1"/>
    <col min="27" max="27" width="13" style="1" customWidth="1"/>
    <col min="28" max="28" width="13.140625" style="1" customWidth="1"/>
    <col min="29" max="29" width="9.140625" style="1"/>
    <col min="30" max="30" width="12.85546875" style="1" customWidth="1"/>
    <col min="31" max="31" width="9.140625" style="1"/>
    <col min="32" max="32" width="12.42578125" style="1" bestFit="1" customWidth="1"/>
    <col min="33" max="33" width="12.42578125" style="1" customWidth="1"/>
    <col min="34" max="34" width="9.140625" style="1"/>
  </cols>
  <sheetData>
    <row r="1" spans="1:34" ht="30.75" thickBot="1" x14ac:dyDescent="0.3">
      <c r="A1" s="3" t="s">
        <v>0</v>
      </c>
      <c r="B1" s="31" t="s">
        <v>7</v>
      </c>
      <c r="C1" s="32" t="s">
        <v>36</v>
      </c>
      <c r="D1" s="33" t="s">
        <v>49</v>
      </c>
      <c r="E1" s="51" t="s">
        <v>97</v>
      </c>
      <c r="F1" s="52" t="s">
        <v>98</v>
      </c>
      <c r="G1" s="46" t="s">
        <v>123</v>
      </c>
      <c r="H1" s="51" t="s">
        <v>64</v>
      </c>
      <c r="I1" s="52" t="s">
        <v>101</v>
      </c>
      <c r="J1" s="46" t="s">
        <v>121</v>
      </c>
      <c r="K1" s="51" t="s">
        <v>99</v>
      </c>
      <c r="L1" s="52" t="s">
        <v>100</v>
      </c>
      <c r="M1" s="46" t="s">
        <v>122</v>
      </c>
      <c r="N1" s="68" t="s">
        <v>93</v>
      </c>
      <c r="O1" s="69" t="s">
        <v>41</v>
      </c>
      <c r="P1" s="69" t="s">
        <v>69</v>
      </c>
      <c r="Q1" s="70" t="s">
        <v>63</v>
      </c>
      <c r="R1" s="70" t="s">
        <v>116</v>
      </c>
      <c r="S1" s="69" t="s">
        <v>112</v>
      </c>
      <c r="T1" s="70" t="s">
        <v>32</v>
      </c>
      <c r="U1" s="69" t="s">
        <v>106</v>
      </c>
      <c r="V1" s="70" t="s">
        <v>62</v>
      </c>
      <c r="W1" s="69" t="s">
        <v>73</v>
      </c>
      <c r="X1" s="69" t="s">
        <v>91</v>
      </c>
      <c r="Y1" s="70" t="s">
        <v>95</v>
      </c>
      <c r="Z1" s="69" t="s">
        <v>92</v>
      </c>
      <c r="AA1" s="70" t="s">
        <v>67</v>
      </c>
      <c r="AB1" s="70" t="s">
        <v>56</v>
      </c>
      <c r="AC1" s="69" t="s">
        <v>104</v>
      </c>
      <c r="AD1" s="69" t="s">
        <v>66</v>
      </c>
      <c r="AE1" s="69" t="s">
        <v>72</v>
      </c>
      <c r="AF1" s="70" t="s">
        <v>68</v>
      </c>
      <c r="AG1" s="70" t="s">
        <v>135</v>
      </c>
      <c r="AH1" s="71" t="s">
        <v>96</v>
      </c>
    </row>
    <row r="2" spans="1:34" x14ac:dyDescent="0.25">
      <c r="A2" s="2" t="s">
        <v>37</v>
      </c>
      <c r="B2" s="34">
        <v>95</v>
      </c>
      <c r="C2" s="66">
        <f t="shared" ref="C2:C12" si="0">B2/(E2+F2)</f>
        <v>13.571428571428571</v>
      </c>
      <c r="D2" s="35">
        <v>19</v>
      </c>
      <c r="E2" s="34">
        <v>3</v>
      </c>
      <c r="F2" s="2">
        <v>4</v>
      </c>
      <c r="G2" s="75">
        <f t="shared" ref="G2:G12" si="1">E2/(E2+F2)</f>
        <v>0.42857142857142855</v>
      </c>
      <c r="H2" s="34">
        <v>17</v>
      </c>
      <c r="I2" s="2">
        <v>14</v>
      </c>
      <c r="J2" s="75">
        <f t="shared" ref="J2:J12" si="2">H2/(H2+I2)</f>
        <v>0.54838709677419351</v>
      </c>
      <c r="K2" s="34">
        <v>69</v>
      </c>
      <c r="L2" s="2">
        <v>62</v>
      </c>
      <c r="M2" s="75">
        <f t="shared" ref="M2:M12" si="3">K2/(K2+L2)</f>
        <v>0.52671755725190839</v>
      </c>
      <c r="N2" s="34">
        <v>1</v>
      </c>
      <c r="O2" s="2">
        <v>1</v>
      </c>
      <c r="P2" s="2">
        <v>2</v>
      </c>
      <c r="Q2" s="2">
        <v>0</v>
      </c>
      <c r="R2" s="2">
        <v>0</v>
      </c>
      <c r="S2" s="2">
        <v>0</v>
      </c>
      <c r="T2" s="2">
        <v>0</v>
      </c>
      <c r="U2" s="2">
        <v>2</v>
      </c>
      <c r="V2" s="2">
        <v>0</v>
      </c>
      <c r="W2" s="2">
        <v>0</v>
      </c>
      <c r="X2" s="2">
        <v>2</v>
      </c>
      <c r="Y2" s="2">
        <v>0</v>
      </c>
      <c r="Z2" s="2">
        <v>0</v>
      </c>
      <c r="AA2" s="2">
        <v>2</v>
      </c>
      <c r="AB2" s="2">
        <v>1</v>
      </c>
      <c r="AC2" s="2">
        <v>0</v>
      </c>
      <c r="AD2" s="2">
        <v>1</v>
      </c>
      <c r="AE2" s="2">
        <v>2</v>
      </c>
      <c r="AF2" s="2">
        <v>1</v>
      </c>
      <c r="AG2" s="2">
        <v>0</v>
      </c>
      <c r="AH2" s="47">
        <v>2</v>
      </c>
    </row>
    <row r="3" spans="1:34" x14ac:dyDescent="0.25">
      <c r="A3" s="2" t="s">
        <v>103</v>
      </c>
      <c r="B3" s="34">
        <v>17</v>
      </c>
      <c r="C3" s="66">
        <f t="shared" si="0"/>
        <v>8.5</v>
      </c>
      <c r="D3" s="47">
        <v>9</v>
      </c>
      <c r="E3" s="34">
        <v>0</v>
      </c>
      <c r="F3" s="2">
        <v>2</v>
      </c>
      <c r="G3" s="75">
        <f t="shared" si="1"/>
        <v>0</v>
      </c>
      <c r="H3" s="34">
        <v>3</v>
      </c>
      <c r="I3" s="2">
        <v>6</v>
      </c>
      <c r="J3" s="75">
        <f t="shared" si="2"/>
        <v>0.33333333333333331</v>
      </c>
      <c r="K3" s="34">
        <v>15</v>
      </c>
      <c r="L3" s="2">
        <v>22</v>
      </c>
      <c r="M3" s="75">
        <f t="shared" si="3"/>
        <v>0.40540540540540543</v>
      </c>
      <c r="N3" s="34">
        <v>0</v>
      </c>
      <c r="O3" s="2">
        <v>0</v>
      </c>
      <c r="P3" s="2">
        <v>0</v>
      </c>
      <c r="Q3" s="2">
        <v>1</v>
      </c>
      <c r="R3" s="2">
        <v>0</v>
      </c>
      <c r="S3" s="2">
        <v>0</v>
      </c>
      <c r="T3" s="2">
        <v>0</v>
      </c>
      <c r="U3" s="2">
        <v>0</v>
      </c>
      <c r="V3" s="2">
        <v>0</v>
      </c>
      <c r="W3" s="2">
        <v>0</v>
      </c>
      <c r="X3" s="2">
        <v>0</v>
      </c>
      <c r="Y3" s="2">
        <v>0</v>
      </c>
      <c r="Z3" s="2">
        <v>0</v>
      </c>
      <c r="AA3" s="2">
        <v>0</v>
      </c>
      <c r="AB3" s="2">
        <v>1</v>
      </c>
      <c r="AC3" s="2">
        <v>0</v>
      </c>
      <c r="AD3" s="2">
        <v>0</v>
      </c>
      <c r="AE3" s="2">
        <v>0</v>
      </c>
      <c r="AF3" s="2">
        <v>1</v>
      </c>
      <c r="AG3" s="2">
        <v>0</v>
      </c>
      <c r="AH3" s="47">
        <v>0</v>
      </c>
    </row>
    <row r="4" spans="1:34" x14ac:dyDescent="0.25">
      <c r="A4" s="2" t="s">
        <v>71</v>
      </c>
      <c r="B4" s="34">
        <v>39</v>
      </c>
      <c r="C4" s="66">
        <f t="shared" si="0"/>
        <v>13</v>
      </c>
      <c r="D4" s="47">
        <v>18</v>
      </c>
      <c r="E4" s="34">
        <v>2</v>
      </c>
      <c r="F4" s="2">
        <v>1</v>
      </c>
      <c r="G4" s="75">
        <f t="shared" si="1"/>
        <v>0.66666666666666663</v>
      </c>
      <c r="H4" s="34">
        <v>7</v>
      </c>
      <c r="I4" s="2">
        <v>6</v>
      </c>
      <c r="J4" s="75">
        <f t="shared" si="2"/>
        <v>0.53846153846153844</v>
      </c>
      <c r="K4" s="34">
        <v>26</v>
      </c>
      <c r="L4" s="2">
        <v>28</v>
      </c>
      <c r="M4" s="75">
        <f t="shared" si="3"/>
        <v>0.48148148148148145</v>
      </c>
      <c r="N4" s="34">
        <v>0</v>
      </c>
      <c r="O4" s="2">
        <v>1</v>
      </c>
      <c r="P4" s="2">
        <v>1</v>
      </c>
      <c r="Q4" s="2">
        <v>0</v>
      </c>
      <c r="R4" s="2">
        <v>0</v>
      </c>
      <c r="S4" s="2">
        <v>0</v>
      </c>
      <c r="T4" s="2">
        <v>0</v>
      </c>
      <c r="U4" s="2">
        <v>0</v>
      </c>
      <c r="V4" s="2">
        <v>0</v>
      </c>
      <c r="W4" s="2">
        <v>0</v>
      </c>
      <c r="X4" s="2">
        <v>0</v>
      </c>
      <c r="Y4" s="2">
        <v>0</v>
      </c>
      <c r="Z4" s="2">
        <v>0</v>
      </c>
      <c r="AA4" s="2">
        <v>2</v>
      </c>
      <c r="AB4" s="2">
        <v>0</v>
      </c>
      <c r="AC4" s="2">
        <v>0</v>
      </c>
      <c r="AD4" s="2">
        <v>0</v>
      </c>
      <c r="AE4" s="2">
        <v>0</v>
      </c>
      <c r="AF4" s="2">
        <v>2</v>
      </c>
      <c r="AG4" s="2">
        <v>1</v>
      </c>
      <c r="AH4" s="47">
        <v>0</v>
      </c>
    </row>
    <row r="5" spans="1:34" x14ac:dyDescent="0.25">
      <c r="A5" s="2" t="s">
        <v>114</v>
      </c>
      <c r="B5" s="36">
        <v>6</v>
      </c>
      <c r="C5" s="66">
        <f t="shared" si="0"/>
        <v>6</v>
      </c>
      <c r="D5" s="65">
        <v>6</v>
      </c>
      <c r="E5" s="36">
        <v>0</v>
      </c>
      <c r="F5" s="1">
        <v>1</v>
      </c>
      <c r="G5" s="75">
        <f t="shared" si="1"/>
        <v>0</v>
      </c>
      <c r="H5" s="36">
        <v>1</v>
      </c>
      <c r="I5" s="1">
        <v>3</v>
      </c>
      <c r="J5" s="75">
        <f t="shared" si="2"/>
        <v>0.25</v>
      </c>
      <c r="K5" s="36">
        <v>8</v>
      </c>
      <c r="L5" s="1">
        <v>11</v>
      </c>
      <c r="M5" s="75">
        <f t="shared" si="3"/>
        <v>0.42105263157894735</v>
      </c>
      <c r="N5" s="36">
        <v>0</v>
      </c>
      <c r="O5" s="1">
        <v>0</v>
      </c>
      <c r="P5" s="1">
        <v>0</v>
      </c>
      <c r="Q5" s="1">
        <v>0</v>
      </c>
      <c r="R5" s="1">
        <v>1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0</v>
      </c>
      <c r="AG5" s="1">
        <v>0</v>
      </c>
      <c r="AH5" s="65">
        <v>0</v>
      </c>
    </row>
    <row r="6" spans="1:34" x14ac:dyDescent="0.25">
      <c r="A6" s="2" t="s">
        <v>35</v>
      </c>
      <c r="B6" s="34">
        <v>214</v>
      </c>
      <c r="C6" s="66">
        <f t="shared" si="0"/>
        <v>11.263157894736842</v>
      </c>
      <c r="D6" s="35">
        <v>20</v>
      </c>
      <c r="E6" s="34">
        <v>6</v>
      </c>
      <c r="F6" s="2">
        <v>13</v>
      </c>
      <c r="G6" s="75">
        <f t="shared" si="1"/>
        <v>0.31578947368421051</v>
      </c>
      <c r="H6" s="34">
        <v>33</v>
      </c>
      <c r="I6" s="2">
        <v>47</v>
      </c>
      <c r="J6" s="75">
        <f t="shared" si="2"/>
        <v>0.41249999999999998</v>
      </c>
      <c r="K6" s="34">
        <v>157</v>
      </c>
      <c r="L6" s="2">
        <v>176</v>
      </c>
      <c r="M6" s="75">
        <f t="shared" si="3"/>
        <v>0.47147147147147145</v>
      </c>
      <c r="N6" s="34">
        <v>0</v>
      </c>
      <c r="O6" s="2">
        <v>2</v>
      </c>
      <c r="P6" s="2">
        <v>2</v>
      </c>
      <c r="Q6" s="2">
        <v>2</v>
      </c>
      <c r="R6" s="1">
        <v>1</v>
      </c>
      <c r="S6" s="1">
        <v>0</v>
      </c>
      <c r="T6" s="2">
        <v>1</v>
      </c>
      <c r="U6" s="2">
        <v>3</v>
      </c>
      <c r="V6" s="2">
        <v>1</v>
      </c>
      <c r="W6" s="2">
        <v>1</v>
      </c>
      <c r="X6" s="2">
        <v>2</v>
      </c>
      <c r="Y6" s="2">
        <v>0</v>
      </c>
      <c r="Z6" s="2">
        <v>1</v>
      </c>
      <c r="AA6" s="2">
        <v>1</v>
      </c>
      <c r="AB6" s="2">
        <v>5</v>
      </c>
      <c r="AC6" s="2">
        <v>0</v>
      </c>
      <c r="AD6" s="2">
        <v>3</v>
      </c>
      <c r="AE6" s="2">
        <v>4</v>
      </c>
      <c r="AF6" s="2">
        <v>3</v>
      </c>
      <c r="AG6" s="2">
        <v>0</v>
      </c>
      <c r="AH6" s="47">
        <v>1</v>
      </c>
    </row>
    <row r="7" spans="1:34" x14ac:dyDescent="0.25">
      <c r="A7" s="2" t="s">
        <v>19</v>
      </c>
      <c r="B7" s="34">
        <v>88</v>
      </c>
      <c r="C7" s="66">
        <f t="shared" si="0"/>
        <v>8</v>
      </c>
      <c r="D7" s="35">
        <v>11</v>
      </c>
      <c r="E7" s="34">
        <v>9</v>
      </c>
      <c r="F7" s="2">
        <v>2</v>
      </c>
      <c r="G7" s="75">
        <f t="shared" si="1"/>
        <v>0.81818181818181823</v>
      </c>
      <c r="H7" s="34">
        <v>30</v>
      </c>
      <c r="I7" s="2">
        <v>16</v>
      </c>
      <c r="J7" s="75">
        <f t="shared" si="2"/>
        <v>0.65217391304347827</v>
      </c>
      <c r="K7" s="34">
        <v>106</v>
      </c>
      <c r="L7" s="2">
        <v>79</v>
      </c>
      <c r="M7" s="75">
        <f t="shared" si="3"/>
        <v>0.572972972972973</v>
      </c>
      <c r="N7" s="34">
        <v>1</v>
      </c>
      <c r="O7" s="2">
        <v>1</v>
      </c>
      <c r="P7" s="2">
        <v>2</v>
      </c>
      <c r="Q7" s="2">
        <v>2</v>
      </c>
      <c r="R7" s="1">
        <v>0</v>
      </c>
      <c r="S7" s="1">
        <v>0</v>
      </c>
      <c r="T7" s="2">
        <v>1</v>
      </c>
      <c r="U7" s="2">
        <v>1</v>
      </c>
      <c r="V7" s="2">
        <v>1</v>
      </c>
      <c r="W7" s="2">
        <v>2</v>
      </c>
      <c r="X7" s="2">
        <v>1</v>
      </c>
      <c r="Y7" s="2">
        <v>0</v>
      </c>
      <c r="Z7" s="2">
        <v>1</v>
      </c>
      <c r="AA7" s="2">
        <v>2</v>
      </c>
      <c r="AB7" s="2">
        <v>3</v>
      </c>
      <c r="AC7" s="2">
        <v>0</v>
      </c>
      <c r="AD7" s="2">
        <v>5</v>
      </c>
      <c r="AE7" s="2">
        <v>3</v>
      </c>
      <c r="AF7" s="2">
        <v>3</v>
      </c>
      <c r="AG7" s="2">
        <v>0</v>
      </c>
      <c r="AH7" s="47">
        <v>1</v>
      </c>
    </row>
    <row r="8" spans="1:34" x14ac:dyDescent="0.25">
      <c r="A8" s="2" t="s">
        <v>42</v>
      </c>
      <c r="B8" s="34">
        <v>233</v>
      </c>
      <c r="C8" s="66">
        <f t="shared" si="0"/>
        <v>16.642857142857142</v>
      </c>
      <c r="D8" s="35">
        <v>31</v>
      </c>
      <c r="E8" s="34">
        <v>6</v>
      </c>
      <c r="F8" s="2">
        <v>8</v>
      </c>
      <c r="G8" s="75">
        <f t="shared" si="1"/>
        <v>0.42857142857142855</v>
      </c>
      <c r="H8" s="34">
        <v>25</v>
      </c>
      <c r="I8" s="2">
        <v>33</v>
      </c>
      <c r="J8" s="75">
        <f t="shared" si="2"/>
        <v>0.43103448275862066</v>
      </c>
      <c r="K8" s="34">
        <v>109</v>
      </c>
      <c r="L8" s="2">
        <v>128</v>
      </c>
      <c r="M8" s="75">
        <f t="shared" si="3"/>
        <v>0.45991561181434598</v>
      </c>
      <c r="N8" s="34">
        <v>0</v>
      </c>
      <c r="O8" s="2">
        <v>5</v>
      </c>
      <c r="P8" s="2">
        <v>1</v>
      </c>
      <c r="Q8" s="2">
        <v>2</v>
      </c>
      <c r="R8" s="2">
        <v>0</v>
      </c>
      <c r="S8" s="2">
        <v>0</v>
      </c>
      <c r="T8" s="2">
        <v>1</v>
      </c>
      <c r="U8" s="2">
        <v>1</v>
      </c>
      <c r="V8" s="2">
        <v>0</v>
      </c>
      <c r="W8" s="2">
        <v>1</v>
      </c>
      <c r="X8" s="2">
        <v>2</v>
      </c>
      <c r="Y8" s="2">
        <v>1</v>
      </c>
      <c r="Z8" s="2">
        <v>0</v>
      </c>
      <c r="AA8" s="2">
        <v>2</v>
      </c>
      <c r="AB8" s="2">
        <v>4</v>
      </c>
      <c r="AC8" s="2">
        <v>1</v>
      </c>
      <c r="AD8" s="2">
        <v>0</v>
      </c>
      <c r="AE8" s="2">
        <v>1</v>
      </c>
      <c r="AF8" s="2">
        <v>2</v>
      </c>
      <c r="AG8" s="2">
        <v>0</v>
      </c>
      <c r="AH8" s="47">
        <v>1</v>
      </c>
    </row>
    <row r="9" spans="1:34" x14ac:dyDescent="0.25">
      <c r="A9" s="2" t="s">
        <v>25</v>
      </c>
      <c r="B9" s="34">
        <v>34</v>
      </c>
      <c r="C9" s="66">
        <f t="shared" si="0"/>
        <v>8.5</v>
      </c>
      <c r="D9" s="35">
        <v>12</v>
      </c>
      <c r="E9" s="34">
        <v>3</v>
      </c>
      <c r="F9" s="2">
        <v>1</v>
      </c>
      <c r="G9" s="75">
        <f t="shared" si="1"/>
        <v>0.75</v>
      </c>
      <c r="H9" s="34">
        <v>10</v>
      </c>
      <c r="I9" s="2">
        <v>5</v>
      </c>
      <c r="J9" s="75">
        <f t="shared" si="2"/>
        <v>0.66666666666666663</v>
      </c>
      <c r="K9" s="34">
        <v>36</v>
      </c>
      <c r="L9" s="2">
        <v>20</v>
      </c>
      <c r="M9" s="75">
        <f t="shared" si="3"/>
        <v>0.6428571428571429</v>
      </c>
      <c r="N9" s="34">
        <v>2</v>
      </c>
      <c r="O9" s="2">
        <v>0</v>
      </c>
      <c r="P9" s="2">
        <v>0</v>
      </c>
      <c r="Q9" s="2">
        <v>1</v>
      </c>
      <c r="R9" s="2">
        <v>0</v>
      </c>
      <c r="S9" s="1">
        <v>1</v>
      </c>
      <c r="T9" s="2">
        <v>1</v>
      </c>
      <c r="U9" s="2">
        <v>0</v>
      </c>
      <c r="V9" s="2">
        <v>0</v>
      </c>
      <c r="W9" s="2">
        <v>0</v>
      </c>
      <c r="X9" s="2">
        <v>1</v>
      </c>
      <c r="Y9" s="2">
        <v>0</v>
      </c>
      <c r="Z9" s="2">
        <v>0</v>
      </c>
      <c r="AA9" s="2">
        <v>1</v>
      </c>
      <c r="AB9" s="2">
        <v>2</v>
      </c>
      <c r="AC9" s="2">
        <v>0</v>
      </c>
      <c r="AD9" s="2">
        <v>1</v>
      </c>
      <c r="AE9" s="2">
        <v>0</v>
      </c>
      <c r="AF9" s="2">
        <v>0</v>
      </c>
      <c r="AG9" s="2">
        <v>0</v>
      </c>
      <c r="AH9" s="47">
        <v>0</v>
      </c>
    </row>
    <row r="10" spans="1:34" x14ac:dyDescent="0.25">
      <c r="A10" s="2" t="s">
        <v>115</v>
      </c>
      <c r="B10" s="36">
        <v>88</v>
      </c>
      <c r="C10" s="66">
        <f t="shared" si="0"/>
        <v>12.571428571428571</v>
      </c>
      <c r="D10" s="65">
        <v>14</v>
      </c>
      <c r="E10" s="36">
        <v>2</v>
      </c>
      <c r="F10" s="1">
        <v>5</v>
      </c>
      <c r="G10" s="75">
        <f t="shared" si="1"/>
        <v>0.2857142857142857</v>
      </c>
      <c r="H10" s="36">
        <v>13</v>
      </c>
      <c r="I10" s="1">
        <v>18</v>
      </c>
      <c r="J10" s="75">
        <f t="shared" si="2"/>
        <v>0.41935483870967744</v>
      </c>
      <c r="K10" s="36">
        <v>56</v>
      </c>
      <c r="L10" s="1">
        <v>64</v>
      </c>
      <c r="M10" s="75">
        <f t="shared" si="3"/>
        <v>0.46666666666666667</v>
      </c>
      <c r="N10" s="36">
        <v>0</v>
      </c>
      <c r="O10" s="1">
        <v>2</v>
      </c>
      <c r="P10" s="1">
        <v>1</v>
      </c>
      <c r="Q10" s="1">
        <v>0</v>
      </c>
      <c r="R10" s="1">
        <v>1</v>
      </c>
      <c r="S10" s="1">
        <v>0</v>
      </c>
      <c r="T10" s="1">
        <v>1</v>
      </c>
      <c r="U10" s="1">
        <v>0</v>
      </c>
      <c r="V10" s="1">
        <v>0</v>
      </c>
      <c r="W10" s="1">
        <v>1</v>
      </c>
      <c r="X10" s="1">
        <v>0</v>
      </c>
      <c r="Y10" s="1">
        <v>1</v>
      </c>
      <c r="Z10" s="1">
        <v>1</v>
      </c>
      <c r="AA10" s="1">
        <v>1</v>
      </c>
      <c r="AB10" s="1">
        <v>1</v>
      </c>
      <c r="AC10" s="1">
        <v>0</v>
      </c>
      <c r="AD10" s="1">
        <v>0</v>
      </c>
      <c r="AE10" s="1">
        <v>2</v>
      </c>
      <c r="AF10" s="1">
        <v>0</v>
      </c>
      <c r="AG10" s="1">
        <v>0</v>
      </c>
      <c r="AH10" s="65">
        <v>1</v>
      </c>
    </row>
    <row r="11" spans="1:34" x14ac:dyDescent="0.25">
      <c r="A11" s="2" t="s">
        <v>27</v>
      </c>
      <c r="B11" s="34">
        <v>71</v>
      </c>
      <c r="C11" s="66">
        <f t="shared" si="0"/>
        <v>14.2</v>
      </c>
      <c r="D11" s="35">
        <v>20</v>
      </c>
      <c r="E11" s="34">
        <v>2</v>
      </c>
      <c r="F11" s="2">
        <v>3</v>
      </c>
      <c r="G11" s="75">
        <f t="shared" si="1"/>
        <v>0.4</v>
      </c>
      <c r="H11" s="34">
        <v>11</v>
      </c>
      <c r="I11" s="2">
        <v>12</v>
      </c>
      <c r="J11" s="75">
        <f t="shared" si="2"/>
        <v>0.47826086956521741</v>
      </c>
      <c r="K11" s="34">
        <v>43</v>
      </c>
      <c r="L11" s="2">
        <v>51</v>
      </c>
      <c r="M11" s="75">
        <f t="shared" si="3"/>
        <v>0.45744680851063829</v>
      </c>
      <c r="N11" s="34">
        <v>0</v>
      </c>
      <c r="O11" s="2">
        <v>0</v>
      </c>
      <c r="P11" s="2">
        <v>1</v>
      </c>
      <c r="Q11" s="2">
        <v>2</v>
      </c>
      <c r="R11" s="2">
        <v>0</v>
      </c>
      <c r="S11" s="2">
        <v>0</v>
      </c>
      <c r="T11" s="2">
        <v>0</v>
      </c>
      <c r="U11" s="2">
        <v>0</v>
      </c>
      <c r="V11" s="2">
        <v>0</v>
      </c>
      <c r="W11" s="2">
        <v>1</v>
      </c>
      <c r="X11" s="2">
        <v>0</v>
      </c>
      <c r="Y11" s="2">
        <v>0</v>
      </c>
      <c r="Z11" s="2">
        <v>0</v>
      </c>
      <c r="AA11" s="2">
        <v>1</v>
      </c>
      <c r="AB11" s="2">
        <v>2</v>
      </c>
      <c r="AC11" s="2">
        <v>0</v>
      </c>
      <c r="AD11" s="2">
        <v>3</v>
      </c>
      <c r="AE11" s="2">
        <v>1</v>
      </c>
      <c r="AF11" s="2">
        <v>0</v>
      </c>
      <c r="AG11" s="2">
        <v>0</v>
      </c>
      <c r="AH11" s="47">
        <v>0</v>
      </c>
    </row>
    <row r="12" spans="1:34" x14ac:dyDescent="0.25">
      <c r="A12" s="2" t="s">
        <v>108</v>
      </c>
      <c r="B12" s="36">
        <v>3</v>
      </c>
      <c r="C12" s="66">
        <f t="shared" si="0"/>
        <v>3</v>
      </c>
      <c r="D12" s="65">
        <v>3</v>
      </c>
      <c r="E12" s="36">
        <v>0</v>
      </c>
      <c r="F12" s="1">
        <v>1</v>
      </c>
      <c r="G12" s="75">
        <f t="shared" si="1"/>
        <v>0</v>
      </c>
      <c r="H12" s="36">
        <v>2</v>
      </c>
      <c r="I12" s="1">
        <v>3</v>
      </c>
      <c r="J12" s="75">
        <f t="shared" si="2"/>
        <v>0.4</v>
      </c>
      <c r="K12" s="36">
        <v>10</v>
      </c>
      <c r="L12" s="1">
        <v>13</v>
      </c>
      <c r="M12" s="75">
        <f t="shared" si="3"/>
        <v>0.43478260869565216</v>
      </c>
      <c r="N12" s="36">
        <v>0</v>
      </c>
      <c r="O12" s="1">
        <v>0</v>
      </c>
      <c r="P12" s="1">
        <v>1</v>
      </c>
      <c r="Q12" s="1">
        <v>0</v>
      </c>
      <c r="R12" s="1">
        <v>0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1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47">
        <v>0</v>
      </c>
    </row>
    <row r="13" spans="1:34" x14ac:dyDescent="0.25">
      <c r="A13" s="2" t="s">
        <v>78</v>
      </c>
      <c r="B13" s="36">
        <v>0</v>
      </c>
      <c r="C13" s="66">
        <v>0</v>
      </c>
      <c r="D13" s="65">
        <v>0</v>
      </c>
      <c r="E13" s="36">
        <v>0</v>
      </c>
      <c r="F13" s="1">
        <v>0</v>
      </c>
      <c r="G13" s="75" t="s">
        <v>79</v>
      </c>
      <c r="H13" s="36">
        <v>0</v>
      </c>
      <c r="I13" s="1">
        <v>0</v>
      </c>
      <c r="J13" s="75" t="s">
        <v>79</v>
      </c>
      <c r="K13" s="36">
        <v>0</v>
      </c>
      <c r="L13" s="1">
        <v>0</v>
      </c>
      <c r="M13" s="75" t="s">
        <v>79</v>
      </c>
      <c r="N13" s="36">
        <v>0</v>
      </c>
      <c r="O13" s="1">
        <v>0</v>
      </c>
      <c r="P13" s="1">
        <v>0</v>
      </c>
      <c r="Q13" s="1">
        <v>0</v>
      </c>
      <c r="R13" s="1">
        <v>0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65">
        <v>0</v>
      </c>
    </row>
    <row r="14" spans="1:34" x14ac:dyDescent="0.25">
      <c r="A14" s="2" t="s">
        <v>139</v>
      </c>
      <c r="B14" s="36"/>
      <c r="C14" s="66"/>
      <c r="D14" s="65"/>
      <c r="E14" s="36"/>
      <c r="G14" s="75"/>
      <c r="H14" s="36"/>
      <c r="J14" s="75"/>
      <c r="K14" s="36"/>
      <c r="M14" s="75"/>
      <c r="N14" s="36"/>
      <c r="AH14" s="65"/>
    </row>
    <row r="15" spans="1:34" x14ac:dyDescent="0.25">
      <c r="A15" s="2" t="s">
        <v>74</v>
      </c>
      <c r="B15" s="34">
        <v>9</v>
      </c>
      <c r="C15" s="66">
        <f t="shared" ref="C15:C47" si="4">B15/(E15+F15)</f>
        <v>9</v>
      </c>
      <c r="D15" s="47">
        <v>9</v>
      </c>
      <c r="E15" s="34">
        <v>0</v>
      </c>
      <c r="F15" s="2">
        <v>1</v>
      </c>
      <c r="G15" s="75">
        <f t="shared" ref="G15:G47" si="5">E15/(E15+F15)</f>
        <v>0</v>
      </c>
      <c r="H15" s="34">
        <v>1</v>
      </c>
      <c r="I15" s="2">
        <v>3</v>
      </c>
      <c r="J15" s="75">
        <f t="shared" ref="J15:J47" si="6">H15/(H15+I15)</f>
        <v>0.25</v>
      </c>
      <c r="K15" s="34">
        <v>6</v>
      </c>
      <c r="L15" s="2">
        <v>9</v>
      </c>
      <c r="M15" s="75">
        <f t="shared" ref="M15:M47" si="7">K15/(K15+L15)</f>
        <v>0.4</v>
      </c>
      <c r="N15" s="34">
        <v>0</v>
      </c>
      <c r="O15" s="2">
        <v>0</v>
      </c>
      <c r="P15" s="2">
        <v>0</v>
      </c>
      <c r="Q15" s="2">
        <v>0</v>
      </c>
      <c r="R15" s="2">
        <v>0</v>
      </c>
      <c r="S15" s="2">
        <v>0</v>
      </c>
      <c r="T15" s="2">
        <v>0</v>
      </c>
      <c r="U15" s="2">
        <v>0</v>
      </c>
      <c r="V15" s="2">
        <v>0</v>
      </c>
      <c r="W15" s="2">
        <v>0</v>
      </c>
      <c r="X15" s="2">
        <v>0</v>
      </c>
      <c r="Y15" s="2">
        <v>0</v>
      </c>
      <c r="Z15" s="2">
        <v>0</v>
      </c>
      <c r="AA15" s="2">
        <v>0</v>
      </c>
      <c r="AB15" s="2">
        <v>1</v>
      </c>
      <c r="AC15" s="2">
        <v>0</v>
      </c>
      <c r="AD15" s="2">
        <v>0</v>
      </c>
      <c r="AE15" s="2">
        <v>0</v>
      </c>
      <c r="AF15" s="2">
        <v>0</v>
      </c>
      <c r="AG15" s="2">
        <v>0</v>
      </c>
      <c r="AH15" s="47">
        <v>0</v>
      </c>
    </row>
    <row r="16" spans="1:34" x14ac:dyDescent="0.25">
      <c r="A16" s="2" t="s">
        <v>89</v>
      </c>
      <c r="B16" s="34">
        <v>3</v>
      </c>
      <c r="C16" s="66">
        <f t="shared" si="4"/>
        <v>3</v>
      </c>
      <c r="D16" s="47">
        <v>3</v>
      </c>
      <c r="E16" s="34">
        <v>0</v>
      </c>
      <c r="F16" s="2">
        <v>1</v>
      </c>
      <c r="G16" s="75">
        <f t="shared" si="5"/>
        <v>0</v>
      </c>
      <c r="H16" s="34">
        <v>0</v>
      </c>
      <c r="I16" s="2">
        <v>3</v>
      </c>
      <c r="J16" s="75">
        <f t="shared" si="6"/>
        <v>0</v>
      </c>
      <c r="K16" s="34">
        <v>4</v>
      </c>
      <c r="L16" s="2">
        <v>9</v>
      </c>
      <c r="M16" s="75">
        <f t="shared" si="7"/>
        <v>0.30769230769230771</v>
      </c>
      <c r="N16" s="34">
        <v>0</v>
      </c>
      <c r="O16" s="2">
        <v>0</v>
      </c>
      <c r="P16" s="2">
        <v>0</v>
      </c>
      <c r="Q16" s="2">
        <v>0</v>
      </c>
      <c r="R16" s="2">
        <v>0</v>
      </c>
      <c r="S16" s="2">
        <v>0</v>
      </c>
      <c r="T16" s="2">
        <v>0</v>
      </c>
      <c r="U16" s="2">
        <v>0</v>
      </c>
      <c r="V16" s="2">
        <v>0</v>
      </c>
      <c r="W16" s="2">
        <v>0</v>
      </c>
      <c r="X16" s="2">
        <v>0</v>
      </c>
      <c r="Y16" s="2">
        <v>0</v>
      </c>
      <c r="Z16" s="2">
        <v>0</v>
      </c>
      <c r="AA16" s="2">
        <v>0</v>
      </c>
      <c r="AB16" s="2">
        <v>0</v>
      </c>
      <c r="AC16" s="2">
        <v>0</v>
      </c>
      <c r="AD16" s="2">
        <v>0</v>
      </c>
      <c r="AE16" s="2">
        <v>0</v>
      </c>
      <c r="AF16" s="2">
        <v>0</v>
      </c>
      <c r="AG16" s="2">
        <v>0</v>
      </c>
      <c r="AH16" s="47">
        <v>0</v>
      </c>
    </row>
    <row r="17" spans="1:34" x14ac:dyDescent="0.25">
      <c r="A17" s="2" t="s">
        <v>45</v>
      </c>
      <c r="B17" s="34">
        <v>32</v>
      </c>
      <c r="C17" s="66">
        <f t="shared" si="4"/>
        <v>10.666666666666666</v>
      </c>
      <c r="D17" s="35">
        <v>13</v>
      </c>
      <c r="E17" s="34">
        <v>2</v>
      </c>
      <c r="F17" s="2">
        <v>1</v>
      </c>
      <c r="G17" s="75">
        <f t="shared" si="5"/>
        <v>0.66666666666666663</v>
      </c>
      <c r="H17" s="34">
        <v>8</v>
      </c>
      <c r="I17" s="2">
        <v>5</v>
      </c>
      <c r="J17" s="75">
        <f t="shared" si="6"/>
        <v>0.61538461538461542</v>
      </c>
      <c r="K17" s="34">
        <v>32</v>
      </c>
      <c r="L17" s="2">
        <v>27</v>
      </c>
      <c r="M17" s="75">
        <f t="shared" si="7"/>
        <v>0.5423728813559322</v>
      </c>
      <c r="N17" s="34">
        <v>0</v>
      </c>
      <c r="O17" s="2">
        <v>0</v>
      </c>
      <c r="P17" s="2">
        <v>1</v>
      </c>
      <c r="Q17" s="2">
        <v>2</v>
      </c>
      <c r="R17" s="2">
        <v>0</v>
      </c>
      <c r="S17" s="2">
        <v>0</v>
      </c>
      <c r="T17" s="2">
        <v>0</v>
      </c>
      <c r="U17" s="2">
        <v>0</v>
      </c>
      <c r="V17" s="2">
        <v>0</v>
      </c>
      <c r="W17" s="2">
        <v>1</v>
      </c>
      <c r="X17" s="2">
        <v>0</v>
      </c>
      <c r="Y17" s="2">
        <v>0</v>
      </c>
      <c r="Z17" s="2">
        <v>0</v>
      </c>
      <c r="AA17" s="2">
        <v>1</v>
      </c>
      <c r="AB17" s="2">
        <v>1</v>
      </c>
      <c r="AC17" s="2">
        <v>0</v>
      </c>
      <c r="AD17" s="2">
        <v>1</v>
      </c>
      <c r="AE17" s="2">
        <v>1</v>
      </c>
      <c r="AF17" s="2">
        <v>0</v>
      </c>
      <c r="AG17" s="2">
        <v>0</v>
      </c>
      <c r="AH17" s="47">
        <v>0</v>
      </c>
    </row>
    <row r="18" spans="1:34" x14ac:dyDescent="0.25">
      <c r="A18" s="2" t="s">
        <v>50</v>
      </c>
      <c r="B18" s="34">
        <v>427</v>
      </c>
      <c r="C18" s="66">
        <f t="shared" si="4"/>
        <v>20.333333333333332</v>
      </c>
      <c r="D18" s="35">
        <v>31</v>
      </c>
      <c r="E18" s="34">
        <v>13</v>
      </c>
      <c r="F18" s="2">
        <v>8</v>
      </c>
      <c r="G18" s="75">
        <f t="shared" si="5"/>
        <v>0.61904761904761907</v>
      </c>
      <c r="H18" s="34">
        <v>49</v>
      </c>
      <c r="I18" s="2">
        <v>38</v>
      </c>
      <c r="J18" s="75">
        <f t="shared" si="6"/>
        <v>0.56321839080459768</v>
      </c>
      <c r="K18" s="34">
        <v>195</v>
      </c>
      <c r="L18" s="2">
        <v>177</v>
      </c>
      <c r="M18" s="75">
        <f t="shared" si="7"/>
        <v>0.52419354838709675</v>
      </c>
      <c r="N18" s="34">
        <v>2</v>
      </c>
      <c r="O18" s="2">
        <v>3</v>
      </c>
      <c r="P18" s="2">
        <v>1</v>
      </c>
      <c r="Q18" s="2">
        <v>4</v>
      </c>
      <c r="R18" s="2">
        <v>1</v>
      </c>
      <c r="S18" s="2">
        <v>1</v>
      </c>
      <c r="T18" s="2">
        <v>2</v>
      </c>
      <c r="U18" s="2">
        <v>1</v>
      </c>
      <c r="V18" s="2">
        <v>1</v>
      </c>
      <c r="W18" s="2">
        <v>0</v>
      </c>
      <c r="X18" s="2">
        <v>5</v>
      </c>
      <c r="Y18" s="2">
        <v>1</v>
      </c>
      <c r="Z18" s="2">
        <v>1</v>
      </c>
      <c r="AA18" s="2">
        <v>2</v>
      </c>
      <c r="AB18" s="2">
        <v>8</v>
      </c>
      <c r="AC18" s="2">
        <v>1</v>
      </c>
      <c r="AD18" s="2">
        <v>5</v>
      </c>
      <c r="AE18" s="2">
        <v>1</v>
      </c>
      <c r="AF18" s="2">
        <v>7</v>
      </c>
      <c r="AG18" s="2">
        <v>1</v>
      </c>
      <c r="AH18" s="47">
        <v>1</v>
      </c>
    </row>
    <row r="19" spans="1:34" x14ac:dyDescent="0.25">
      <c r="A19" s="2" t="s">
        <v>52</v>
      </c>
      <c r="B19" s="34">
        <v>98</v>
      </c>
      <c r="C19" s="66">
        <f t="shared" si="4"/>
        <v>12.25</v>
      </c>
      <c r="D19" s="35">
        <v>19</v>
      </c>
      <c r="E19" s="34">
        <v>2</v>
      </c>
      <c r="F19" s="2">
        <v>6</v>
      </c>
      <c r="G19" s="75">
        <f t="shared" si="5"/>
        <v>0.25</v>
      </c>
      <c r="H19" s="34">
        <v>14</v>
      </c>
      <c r="I19" s="2">
        <v>21</v>
      </c>
      <c r="J19" s="75">
        <f t="shared" si="6"/>
        <v>0.4</v>
      </c>
      <c r="K19" s="34">
        <v>60</v>
      </c>
      <c r="L19" s="2">
        <v>79</v>
      </c>
      <c r="M19" s="75">
        <f t="shared" si="7"/>
        <v>0.43165467625899279</v>
      </c>
      <c r="N19" s="34">
        <v>0</v>
      </c>
      <c r="O19" s="2">
        <v>2</v>
      </c>
      <c r="P19" s="2">
        <v>0</v>
      </c>
      <c r="Q19" s="2">
        <v>1</v>
      </c>
      <c r="R19" s="2">
        <v>0</v>
      </c>
      <c r="S19" s="2">
        <v>0</v>
      </c>
      <c r="T19" s="2">
        <v>0</v>
      </c>
      <c r="U19" s="2">
        <v>0</v>
      </c>
      <c r="V19" s="2">
        <v>0</v>
      </c>
      <c r="W19" s="2">
        <v>3</v>
      </c>
      <c r="X19" s="2">
        <v>0</v>
      </c>
      <c r="Y19" s="2">
        <v>0</v>
      </c>
      <c r="Z19" s="2">
        <v>0</v>
      </c>
      <c r="AA19" s="2">
        <v>0</v>
      </c>
      <c r="AB19" s="2">
        <v>2</v>
      </c>
      <c r="AC19" s="2">
        <v>0</v>
      </c>
      <c r="AD19" s="2">
        <v>3</v>
      </c>
      <c r="AE19" s="2">
        <v>2</v>
      </c>
      <c r="AF19" s="2">
        <v>1</v>
      </c>
      <c r="AG19" s="2">
        <v>0</v>
      </c>
      <c r="AH19" s="47">
        <v>0</v>
      </c>
    </row>
    <row r="20" spans="1:34" x14ac:dyDescent="0.25">
      <c r="A20" s="2" t="s">
        <v>102</v>
      </c>
      <c r="B20" s="34">
        <v>158</v>
      </c>
      <c r="C20" s="66">
        <f t="shared" si="4"/>
        <v>17.555555555555557</v>
      </c>
      <c r="D20" s="35">
        <v>31</v>
      </c>
      <c r="E20" s="34">
        <v>7</v>
      </c>
      <c r="F20" s="2">
        <v>2</v>
      </c>
      <c r="G20" s="75">
        <f t="shared" si="5"/>
        <v>0.77777777777777779</v>
      </c>
      <c r="H20" s="34">
        <v>24</v>
      </c>
      <c r="I20" s="2">
        <v>14</v>
      </c>
      <c r="J20" s="75">
        <f t="shared" si="6"/>
        <v>0.63157894736842102</v>
      </c>
      <c r="K20" s="34">
        <v>87</v>
      </c>
      <c r="L20" s="2">
        <v>63</v>
      </c>
      <c r="M20" s="75">
        <f t="shared" si="7"/>
        <v>0.57999999999999996</v>
      </c>
      <c r="N20" s="34">
        <v>2</v>
      </c>
      <c r="O20" s="2">
        <v>1</v>
      </c>
      <c r="P20" s="2">
        <v>2</v>
      </c>
      <c r="Q20" s="2">
        <v>1</v>
      </c>
      <c r="R20" s="1">
        <v>0</v>
      </c>
      <c r="S20" s="2">
        <v>0</v>
      </c>
      <c r="T20" s="2">
        <v>1</v>
      </c>
      <c r="U20" s="2">
        <v>1</v>
      </c>
      <c r="V20" s="2">
        <v>0</v>
      </c>
      <c r="W20" s="2">
        <v>0</v>
      </c>
      <c r="X20" s="2">
        <v>1</v>
      </c>
      <c r="Y20" s="2">
        <v>3</v>
      </c>
      <c r="Z20" s="2">
        <v>1</v>
      </c>
      <c r="AA20" s="2">
        <v>1</v>
      </c>
      <c r="AB20" s="2">
        <v>3</v>
      </c>
      <c r="AC20" s="2">
        <v>1</v>
      </c>
      <c r="AD20" s="2">
        <v>1</v>
      </c>
      <c r="AE20" s="2">
        <v>1</v>
      </c>
      <c r="AF20" s="2">
        <v>1</v>
      </c>
      <c r="AG20" s="2">
        <v>1</v>
      </c>
      <c r="AH20" s="47">
        <v>2</v>
      </c>
    </row>
    <row r="21" spans="1:34" x14ac:dyDescent="0.25">
      <c r="A21" s="2" t="s">
        <v>1</v>
      </c>
      <c r="B21" s="34">
        <v>325</v>
      </c>
      <c r="C21" s="66">
        <f t="shared" si="4"/>
        <v>29.545454545454547</v>
      </c>
      <c r="D21" s="35">
        <v>50</v>
      </c>
      <c r="E21" s="34">
        <v>5</v>
      </c>
      <c r="F21" s="2">
        <v>6</v>
      </c>
      <c r="G21" s="75">
        <f t="shared" si="5"/>
        <v>0.45454545454545453</v>
      </c>
      <c r="H21" s="34">
        <v>19</v>
      </c>
      <c r="I21" s="2">
        <v>26</v>
      </c>
      <c r="J21" s="75">
        <f t="shared" si="6"/>
        <v>0.42222222222222222</v>
      </c>
      <c r="K21" s="34">
        <v>90</v>
      </c>
      <c r="L21" s="2">
        <v>105</v>
      </c>
      <c r="M21" s="75">
        <f t="shared" si="7"/>
        <v>0.46153846153846156</v>
      </c>
      <c r="N21" s="34">
        <v>1</v>
      </c>
      <c r="O21" s="2">
        <v>2</v>
      </c>
      <c r="P21" s="2">
        <v>1</v>
      </c>
      <c r="Q21" s="2">
        <v>1</v>
      </c>
      <c r="R21" s="1">
        <v>1</v>
      </c>
      <c r="S21" s="1">
        <v>0</v>
      </c>
      <c r="T21" s="2">
        <v>0</v>
      </c>
      <c r="U21" s="2">
        <v>0</v>
      </c>
      <c r="V21" s="2">
        <v>0</v>
      </c>
      <c r="W21" s="2">
        <v>0</v>
      </c>
      <c r="X21" s="2">
        <v>2</v>
      </c>
      <c r="Y21" s="2">
        <v>1</v>
      </c>
      <c r="Z21" s="2">
        <v>0</v>
      </c>
      <c r="AA21" s="2">
        <v>2</v>
      </c>
      <c r="AB21" s="2">
        <v>1</v>
      </c>
      <c r="AC21" s="2">
        <v>1</v>
      </c>
      <c r="AD21" s="2">
        <v>1</v>
      </c>
      <c r="AE21" s="2">
        <v>1</v>
      </c>
      <c r="AF21" s="2">
        <v>3</v>
      </c>
      <c r="AG21" s="2">
        <v>1</v>
      </c>
      <c r="AH21" s="47">
        <v>0</v>
      </c>
    </row>
    <row r="22" spans="1:34" x14ac:dyDescent="0.25">
      <c r="A22" s="2" t="s">
        <v>46</v>
      </c>
      <c r="B22" s="34">
        <v>281</v>
      </c>
      <c r="C22" s="66">
        <f t="shared" si="4"/>
        <v>20.071428571428573</v>
      </c>
      <c r="D22" s="35">
        <v>27</v>
      </c>
      <c r="E22" s="34">
        <v>5</v>
      </c>
      <c r="F22" s="2">
        <v>9</v>
      </c>
      <c r="G22" s="75">
        <f t="shared" si="5"/>
        <v>0.35714285714285715</v>
      </c>
      <c r="H22" s="34">
        <v>28</v>
      </c>
      <c r="I22" s="2">
        <v>35</v>
      </c>
      <c r="J22" s="75">
        <f t="shared" si="6"/>
        <v>0.44444444444444442</v>
      </c>
      <c r="K22" s="34">
        <v>127</v>
      </c>
      <c r="L22" s="2">
        <v>135</v>
      </c>
      <c r="M22" s="75">
        <f t="shared" si="7"/>
        <v>0.48473282442748089</v>
      </c>
      <c r="N22" s="34">
        <v>2</v>
      </c>
      <c r="O22" s="2">
        <v>1</v>
      </c>
      <c r="P22" s="2">
        <v>1</v>
      </c>
      <c r="Q22" s="2">
        <v>3</v>
      </c>
      <c r="R22" s="2">
        <v>1</v>
      </c>
      <c r="S22" s="1">
        <v>0</v>
      </c>
      <c r="T22" s="2">
        <v>0</v>
      </c>
      <c r="U22" s="2">
        <v>1</v>
      </c>
      <c r="V22" s="2">
        <v>0</v>
      </c>
      <c r="W22" s="2">
        <v>1</v>
      </c>
      <c r="X22" s="2">
        <v>0</v>
      </c>
      <c r="Y22" s="2">
        <v>2</v>
      </c>
      <c r="Z22" s="2">
        <v>1</v>
      </c>
      <c r="AA22" s="2">
        <v>0</v>
      </c>
      <c r="AB22" s="2">
        <v>6</v>
      </c>
      <c r="AC22" s="2">
        <v>0</v>
      </c>
      <c r="AD22" s="2">
        <v>4</v>
      </c>
      <c r="AE22" s="2">
        <v>0</v>
      </c>
      <c r="AF22" s="2">
        <v>2</v>
      </c>
      <c r="AG22" s="2">
        <v>1</v>
      </c>
      <c r="AH22" s="47">
        <v>2</v>
      </c>
    </row>
    <row r="23" spans="1:34" x14ac:dyDescent="0.25">
      <c r="A23" s="2" t="s">
        <v>28</v>
      </c>
      <c r="B23" s="34">
        <v>205</v>
      </c>
      <c r="C23" s="66">
        <f t="shared" si="4"/>
        <v>15.76923076923077</v>
      </c>
      <c r="D23" s="35">
        <v>22</v>
      </c>
      <c r="E23" s="34">
        <v>5</v>
      </c>
      <c r="F23" s="2">
        <v>8</v>
      </c>
      <c r="G23" s="75">
        <f t="shared" si="5"/>
        <v>0.38461538461538464</v>
      </c>
      <c r="H23" s="34">
        <v>22</v>
      </c>
      <c r="I23" s="2">
        <v>29</v>
      </c>
      <c r="J23" s="75">
        <f t="shared" si="6"/>
        <v>0.43137254901960786</v>
      </c>
      <c r="K23" s="34">
        <v>101</v>
      </c>
      <c r="L23" s="2">
        <v>111</v>
      </c>
      <c r="M23" s="75">
        <f t="shared" si="7"/>
        <v>0.47641509433962265</v>
      </c>
      <c r="N23" s="34">
        <v>0</v>
      </c>
      <c r="O23" s="2">
        <v>2</v>
      </c>
      <c r="P23" s="2">
        <v>1</v>
      </c>
      <c r="Q23" s="2">
        <v>1</v>
      </c>
      <c r="R23" s="1">
        <v>1</v>
      </c>
      <c r="S23" s="1">
        <v>0</v>
      </c>
      <c r="T23" s="2">
        <v>1</v>
      </c>
      <c r="U23" s="2">
        <v>1</v>
      </c>
      <c r="V23" s="2">
        <v>1</v>
      </c>
      <c r="W23" s="2">
        <v>2</v>
      </c>
      <c r="X23" s="2">
        <v>1</v>
      </c>
      <c r="Y23" s="2">
        <v>0</v>
      </c>
      <c r="Z23" s="2">
        <v>1</v>
      </c>
      <c r="AA23" s="2">
        <v>1</v>
      </c>
      <c r="AB23" s="2">
        <v>3</v>
      </c>
      <c r="AC23" s="2">
        <v>0</v>
      </c>
      <c r="AD23" s="2">
        <v>3</v>
      </c>
      <c r="AE23" s="2">
        <v>1</v>
      </c>
      <c r="AF23" s="2">
        <v>2</v>
      </c>
      <c r="AG23" s="2">
        <v>0</v>
      </c>
      <c r="AH23" s="47">
        <v>0</v>
      </c>
    </row>
    <row r="24" spans="1:34" x14ac:dyDescent="0.25">
      <c r="A24" s="2" t="s">
        <v>53</v>
      </c>
      <c r="B24" s="34">
        <v>187</v>
      </c>
      <c r="C24" s="66">
        <f t="shared" si="4"/>
        <v>17</v>
      </c>
      <c r="D24" s="35">
        <v>36</v>
      </c>
      <c r="E24" s="34">
        <v>5</v>
      </c>
      <c r="F24" s="2">
        <v>6</v>
      </c>
      <c r="G24" s="75">
        <f t="shared" si="5"/>
        <v>0.45454545454545453</v>
      </c>
      <c r="H24" s="34">
        <v>22</v>
      </c>
      <c r="I24" s="2">
        <v>21</v>
      </c>
      <c r="J24" s="75">
        <f t="shared" si="6"/>
        <v>0.51162790697674421</v>
      </c>
      <c r="K24" s="34">
        <v>90</v>
      </c>
      <c r="L24" s="2">
        <v>85</v>
      </c>
      <c r="M24" s="75">
        <f t="shared" si="7"/>
        <v>0.51428571428571423</v>
      </c>
      <c r="N24" s="34">
        <v>1</v>
      </c>
      <c r="O24" s="2">
        <v>1</v>
      </c>
      <c r="P24" s="2">
        <v>0</v>
      </c>
      <c r="Q24" s="2">
        <v>3</v>
      </c>
      <c r="R24" s="2">
        <v>0</v>
      </c>
      <c r="S24" s="2">
        <v>0</v>
      </c>
      <c r="T24" s="2">
        <v>1</v>
      </c>
      <c r="U24" s="2">
        <v>0</v>
      </c>
      <c r="V24" s="2">
        <v>0</v>
      </c>
      <c r="W24" s="2">
        <v>0</v>
      </c>
      <c r="X24" s="2">
        <v>2</v>
      </c>
      <c r="Y24" s="2">
        <v>1</v>
      </c>
      <c r="Z24" s="2">
        <v>1</v>
      </c>
      <c r="AA24" s="2">
        <v>0</v>
      </c>
      <c r="AB24" s="2">
        <v>5</v>
      </c>
      <c r="AC24" s="2">
        <v>0</v>
      </c>
      <c r="AD24" s="2">
        <v>4</v>
      </c>
      <c r="AE24" s="2">
        <v>1</v>
      </c>
      <c r="AF24" s="2">
        <v>2</v>
      </c>
      <c r="AG24" s="2">
        <v>0</v>
      </c>
      <c r="AH24" s="47">
        <v>0</v>
      </c>
    </row>
    <row r="25" spans="1:34" x14ac:dyDescent="0.25">
      <c r="A25" s="2" t="s">
        <v>51</v>
      </c>
      <c r="B25" s="34">
        <v>5</v>
      </c>
      <c r="C25" s="66">
        <f t="shared" si="4"/>
        <v>5</v>
      </c>
      <c r="D25" s="35">
        <v>5</v>
      </c>
      <c r="E25" s="34">
        <v>0</v>
      </c>
      <c r="F25" s="2">
        <v>1</v>
      </c>
      <c r="G25" s="75">
        <f t="shared" si="5"/>
        <v>0</v>
      </c>
      <c r="H25" s="34">
        <v>0</v>
      </c>
      <c r="I25" s="2">
        <v>3</v>
      </c>
      <c r="J25" s="75">
        <f t="shared" si="6"/>
        <v>0</v>
      </c>
      <c r="K25" s="34">
        <v>2</v>
      </c>
      <c r="L25" s="2">
        <v>9</v>
      </c>
      <c r="M25" s="75">
        <f t="shared" si="7"/>
        <v>0.18181818181818182</v>
      </c>
      <c r="N25" s="34">
        <v>0</v>
      </c>
      <c r="O25" s="2">
        <v>0</v>
      </c>
      <c r="P25" s="2">
        <v>0</v>
      </c>
      <c r="Q25" s="2">
        <v>0</v>
      </c>
      <c r="R25" s="2">
        <v>0</v>
      </c>
      <c r="S25" s="2">
        <v>0</v>
      </c>
      <c r="T25" s="2">
        <v>0</v>
      </c>
      <c r="U25" s="2">
        <v>0</v>
      </c>
      <c r="V25" s="2">
        <v>0</v>
      </c>
      <c r="W25" s="2">
        <v>0</v>
      </c>
      <c r="X25" s="2">
        <v>0</v>
      </c>
      <c r="Y25" s="2">
        <v>0</v>
      </c>
      <c r="Z25" s="2">
        <v>0</v>
      </c>
      <c r="AA25" s="2">
        <v>0</v>
      </c>
      <c r="AB25" s="2">
        <v>0</v>
      </c>
      <c r="AC25" s="2">
        <v>0</v>
      </c>
      <c r="AD25" s="2">
        <v>0</v>
      </c>
      <c r="AE25" s="2">
        <v>0</v>
      </c>
      <c r="AF25" s="2">
        <v>0</v>
      </c>
      <c r="AG25" s="2">
        <v>0</v>
      </c>
      <c r="AH25" s="47">
        <v>0</v>
      </c>
    </row>
    <row r="26" spans="1:34" x14ac:dyDescent="0.25">
      <c r="A26" s="2" t="s">
        <v>47</v>
      </c>
      <c r="B26" s="34">
        <v>21</v>
      </c>
      <c r="C26" s="66">
        <f t="shared" si="4"/>
        <v>5.25</v>
      </c>
      <c r="D26" s="35">
        <v>8</v>
      </c>
      <c r="E26" s="34">
        <v>1</v>
      </c>
      <c r="F26" s="2">
        <v>3</v>
      </c>
      <c r="G26" s="75">
        <f t="shared" si="5"/>
        <v>0.25</v>
      </c>
      <c r="H26" s="34">
        <v>8</v>
      </c>
      <c r="I26" s="2">
        <v>11</v>
      </c>
      <c r="J26" s="75">
        <f t="shared" si="6"/>
        <v>0.42105263157894735</v>
      </c>
      <c r="K26" s="34">
        <v>32</v>
      </c>
      <c r="L26" s="2">
        <v>40</v>
      </c>
      <c r="M26" s="75">
        <f t="shared" si="7"/>
        <v>0.44444444444444442</v>
      </c>
      <c r="N26" s="34">
        <v>1</v>
      </c>
      <c r="O26" s="2">
        <v>1</v>
      </c>
      <c r="P26" s="2">
        <v>0</v>
      </c>
      <c r="Q26" s="2">
        <v>1</v>
      </c>
      <c r="R26" s="2">
        <v>0</v>
      </c>
      <c r="S26" s="2">
        <v>0</v>
      </c>
      <c r="T26" s="2">
        <v>0</v>
      </c>
      <c r="U26" s="2">
        <v>0</v>
      </c>
      <c r="V26" s="2">
        <v>0</v>
      </c>
      <c r="W26" s="2">
        <v>0</v>
      </c>
      <c r="X26" s="2">
        <v>0</v>
      </c>
      <c r="Y26" s="2">
        <v>1</v>
      </c>
      <c r="Z26" s="2">
        <v>0</v>
      </c>
      <c r="AA26" s="2">
        <v>1</v>
      </c>
      <c r="AB26" s="2">
        <v>1</v>
      </c>
      <c r="AC26" s="2">
        <v>0</v>
      </c>
      <c r="AD26" s="2">
        <v>0</v>
      </c>
      <c r="AE26" s="2">
        <v>0</v>
      </c>
      <c r="AF26" s="2">
        <v>1</v>
      </c>
      <c r="AG26" s="2">
        <v>0</v>
      </c>
      <c r="AH26" s="47">
        <v>1</v>
      </c>
    </row>
    <row r="27" spans="1:34" x14ac:dyDescent="0.25">
      <c r="A27" s="2" t="s">
        <v>3</v>
      </c>
      <c r="B27" s="34">
        <v>166</v>
      </c>
      <c r="C27" s="66">
        <f t="shared" si="4"/>
        <v>23.714285714285715</v>
      </c>
      <c r="D27" s="35">
        <v>27</v>
      </c>
      <c r="E27" s="34">
        <v>2</v>
      </c>
      <c r="F27" s="2">
        <v>5</v>
      </c>
      <c r="G27" s="75">
        <f t="shared" si="5"/>
        <v>0.2857142857142857</v>
      </c>
      <c r="H27" s="34">
        <v>16</v>
      </c>
      <c r="I27" s="2">
        <v>20</v>
      </c>
      <c r="J27" s="75">
        <f t="shared" si="6"/>
        <v>0.44444444444444442</v>
      </c>
      <c r="K27" s="34">
        <v>74</v>
      </c>
      <c r="L27" s="2">
        <v>83</v>
      </c>
      <c r="M27" s="75">
        <f t="shared" si="7"/>
        <v>0.4713375796178344</v>
      </c>
      <c r="N27" s="34">
        <v>0</v>
      </c>
      <c r="O27" s="2">
        <v>2</v>
      </c>
      <c r="P27" s="2">
        <v>2</v>
      </c>
      <c r="Q27" s="2">
        <v>1</v>
      </c>
      <c r="R27" s="2">
        <v>0</v>
      </c>
      <c r="S27" s="1">
        <v>1</v>
      </c>
      <c r="T27" s="2">
        <v>0</v>
      </c>
      <c r="U27" s="2">
        <v>0</v>
      </c>
      <c r="V27" s="2">
        <v>0</v>
      </c>
      <c r="W27" s="2">
        <v>1</v>
      </c>
      <c r="X27" s="2">
        <v>0</v>
      </c>
      <c r="Y27" s="2">
        <v>0</v>
      </c>
      <c r="Z27" s="2">
        <v>0</v>
      </c>
      <c r="AA27" s="2">
        <v>2</v>
      </c>
      <c r="AB27" s="2">
        <v>1</v>
      </c>
      <c r="AC27" s="2">
        <v>0</v>
      </c>
      <c r="AD27" s="2">
        <v>1</v>
      </c>
      <c r="AE27" s="2">
        <v>3</v>
      </c>
      <c r="AF27" s="2">
        <v>2</v>
      </c>
      <c r="AG27" s="2">
        <v>0</v>
      </c>
      <c r="AH27" s="47">
        <v>0</v>
      </c>
    </row>
    <row r="28" spans="1:34" x14ac:dyDescent="0.25">
      <c r="A28" s="2" t="s">
        <v>15</v>
      </c>
      <c r="B28" s="34">
        <v>4</v>
      </c>
      <c r="C28" s="66">
        <f t="shared" si="4"/>
        <v>4</v>
      </c>
      <c r="D28" s="35">
        <v>4</v>
      </c>
      <c r="E28" s="34">
        <v>0</v>
      </c>
      <c r="F28" s="2">
        <v>1</v>
      </c>
      <c r="G28" s="75">
        <f t="shared" si="5"/>
        <v>0</v>
      </c>
      <c r="H28" s="34">
        <v>0</v>
      </c>
      <c r="I28" s="2">
        <v>2</v>
      </c>
      <c r="J28" s="75">
        <f t="shared" si="6"/>
        <v>0</v>
      </c>
      <c r="K28" s="34">
        <v>1</v>
      </c>
      <c r="L28" s="2">
        <v>6</v>
      </c>
      <c r="M28" s="75">
        <f t="shared" si="7"/>
        <v>0.14285714285714285</v>
      </c>
      <c r="N28" s="34">
        <v>0</v>
      </c>
      <c r="O28" s="2">
        <v>0</v>
      </c>
      <c r="P28" s="2">
        <v>0</v>
      </c>
      <c r="Q28" s="2">
        <v>0</v>
      </c>
      <c r="R28" s="2">
        <v>0</v>
      </c>
      <c r="S28" s="1">
        <v>0</v>
      </c>
      <c r="T28" s="2">
        <v>0</v>
      </c>
      <c r="U28" s="2">
        <v>0</v>
      </c>
      <c r="V28" s="2">
        <v>0</v>
      </c>
      <c r="W28" s="2">
        <v>0</v>
      </c>
      <c r="X28" s="2">
        <v>0</v>
      </c>
      <c r="Y28" s="2">
        <v>0</v>
      </c>
      <c r="Z28" s="2">
        <v>0</v>
      </c>
      <c r="AA28" s="2">
        <v>0</v>
      </c>
      <c r="AB28" s="2">
        <v>0</v>
      </c>
      <c r="AC28" s="2">
        <v>0</v>
      </c>
      <c r="AD28" s="2">
        <v>0</v>
      </c>
      <c r="AE28" s="2">
        <v>0</v>
      </c>
      <c r="AF28" s="2">
        <v>0</v>
      </c>
      <c r="AG28" s="2">
        <v>0</v>
      </c>
      <c r="AH28" s="47">
        <v>0</v>
      </c>
    </row>
    <row r="29" spans="1:34" x14ac:dyDescent="0.25">
      <c r="A29" s="2" t="s">
        <v>90</v>
      </c>
      <c r="B29" s="34">
        <v>3</v>
      </c>
      <c r="C29" s="66">
        <f t="shared" si="4"/>
        <v>3</v>
      </c>
      <c r="D29" s="47">
        <v>3</v>
      </c>
      <c r="E29" s="34">
        <v>1</v>
      </c>
      <c r="F29" s="2">
        <v>0</v>
      </c>
      <c r="G29" s="75">
        <f t="shared" si="5"/>
        <v>1</v>
      </c>
      <c r="H29" s="34">
        <v>3</v>
      </c>
      <c r="I29" s="2">
        <v>0</v>
      </c>
      <c r="J29" s="75">
        <f t="shared" si="6"/>
        <v>1</v>
      </c>
      <c r="K29" s="34">
        <v>9</v>
      </c>
      <c r="L29" s="2">
        <v>5</v>
      </c>
      <c r="M29" s="75">
        <f t="shared" si="7"/>
        <v>0.6428571428571429</v>
      </c>
      <c r="N29" s="34">
        <v>0</v>
      </c>
      <c r="O29" s="2">
        <v>1</v>
      </c>
      <c r="P29" s="2">
        <v>0</v>
      </c>
      <c r="Q29" s="2">
        <v>0</v>
      </c>
      <c r="R29" s="2">
        <v>0</v>
      </c>
      <c r="S29" s="2">
        <v>0</v>
      </c>
      <c r="T29" s="2">
        <v>0</v>
      </c>
      <c r="U29" s="2">
        <v>0</v>
      </c>
      <c r="V29" s="2">
        <v>0</v>
      </c>
      <c r="W29" s="2">
        <v>0</v>
      </c>
      <c r="X29" s="2">
        <v>1</v>
      </c>
      <c r="Y29" s="2">
        <v>0</v>
      </c>
      <c r="Z29" s="2">
        <v>0</v>
      </c>
      <c r="AA29" s="2">
        <v>0</v>
      </c>
      <c r="AB29" s="2">
        <v>0</v>
      </c>
      <c r="AC29" s="2">
        <v>0</v>
      </c>
      <c r="AD29" s="2">
        <v>1</v>
      </c>
      <c r="AE29" s="2">
        <v>1</v>
      </c>
      <c r="AF29" s="2">
        <v>1</v>
      </c>
      <c r="AG29" s="2">
        <v>0</v>
      </c>
      <c r="AH29" s="47">
        <v>0</v>
      </c>
    </row>
    <row r="30" spans="1:34" x14ac:dyDescent="0.25">
      <c r="A30" s="2" t="s">
        <v>13</v>
      </c>
      <c r="B30" s="34">
        <v>34</v>
      </c>
      <c r="C30" s="66">
        <f t="shared" si="4"/>
        <v>8.5</v>
      </c>
      <c r="D30" s="35">
        <v>12</v>
      </c>
      <c r="E30" s="34">
        <v>2</v>
      </c>
      <c r="F30" s="2">
        <v>2</v>
      </c>
      <c r="G30" s="75">
        <f t="shared" si="5"/>
        <v>0.5</v>
      </c>
      <c r="H30" s="34">
        <v>9</v>
      </c>
      <c r="I30" s="2">
        <v>8</v>
      </c>
      <c r="J30" s="75">
        <f t="shared" si="6"/>
        <v>0.52941176470588236</v>
      </c>
      <c r="K30" s="34">
        <v>34</v>
      </c>
      <c r="L30" s="2">
        <v>36</v>
      </c>
      <c r="M30" s="75">
        <f t="shared" si="7"/>
        <v>0.48571428571428571</v>
      </c>
      <c r="N30" s="34">
        <v>1</v>
      </c>
      <c r="O30" s="2">
        <v>0</v>
      </c>
      <c r="P30" s="2">
        <v>1</v>
      </c>
      <c r="Q30" s="2">
        <v>1</v>
      </c>
      <c r="R30" s="2">
        <v>0</v>
      </c>
      <c r="S30" s="2">
        <v>0</v>
      </c>
      <c r="T30" s="2">
        <v>0</v>
      </c>
      <c r="U30" s="2">
        <v>0</v>
      </c>
      <c r="V30" s="2">
        <v>0</v>
      </c>
      <c r="W30" s="2">
        <v>0</v>
      </c>
      <c r="X30" s="2">
        <v>0</v>
      </c>
      <c r="Y30" s="2">
        <v>0</v>
      </c>
      <c r="Z30" s="2">
        <v>0</v>
      </c>
      <c r="AA30" s="2">
        <v>2</v>
      </c>
      <c r="AB30" s="2">
        <v>2</v>
      </c>
      <c r="AC30" s="2">
        <v>0</v>
      </c>
      <c r="AD30" s="2">
        <v>0</v>
      </c>
      <c r="AE30" s="2">
        <v>1</v>
      </c>
      <c r="AF30" s="2">
        <v>1</v>
      </c>
      <c r="AG30" s="2">
        <v>0</v>
      </c>
      <c r="AH30" s="47">
        <v>0</v>
      </c>
    </row>
    <row r="31" spans="1:34" x14ac:dyDescent="0.25">
      <c r="A31" s="2" t="s">
        <v>2</v>
      </c>
      <c r="B31" s="34">
        <v>400</v>
      </c>
      <c r="C31" s="66">
        <f t="shared" si="4"/>
        <v>23.529411764705884</v>
      </c>
      <c r="D31" s="35">
        <v>35</v>
      </c>
      <c r="E31" s="34">
        <v>9</v>
      </c>
      <c r="F31" s="2">
        <v>8</v>
      </c>
      <c r="G31" s="75">
        <f t="shared" si="5"/>
        <v>0.52941176470588236</v>
      </c>
      <c r="H31" s="34">
        <v>37</v>
      </c>
      <c r="I31" s="2">
        <v>34</v>
      </c>
      <c r="J31" s="75">
        <f t="shared" si="6"/>
        <v>0.52112676056338025</v>
      </c>
      <c r="K31" s="34">
        <v>147</v>
      </c>
      <c r="L31" s="2">
        <v>144</v>
      </c>
      <c r="M31" s="75">
        <f t="shared" si="7"/>
        <v>0.50515463917525771</v>
      </c>
      <c r="N31" s="34">
        <v>2</v>
      </c>
      <c r="O31" s="2">
        <v>1</v>
      </c>
      <c r="P31" s="2">
        <v>3</v>
      </c>
      <c r="Q31" s="2">
        <v>3</v>
      </c>
      <c r="R31" s="2">
        <v>0</v>
      </c>
      <c r="S31" s="1">
        <v>1</v>
      </c>
      <c r="T31" s="2">
        <v>0</v>
      </c>
      <c r="U31" s="2">
        <v>0</v>
      </c>
      <c r="V31" s="2">
        <v>0</v>
      </c>
      <c r="W31" s="2">
        <v>2</v>
      </c>
      <c r="X31" s="2">
        <v>2</v>
      </c>
      <c r="Y31" s="2">
        <v>1</v>
      </c>
      <c r="Z31" s="2">
        <v>1</v>
      </c>
      <c r="AA31" s="2">
        <v>4</v>
      </c>
      <c r="AB31" s="2">
        <v>4</v>
      </c>
      <c r="AC31" s="2">
        <v>0</v>
      </c>
      <c r="AD31" s="2">
        <v>6</v>
      </c>
      <c r="AE31" s="2">
        <v>3</v>
      </c>
      <c r="AF31" s="2">
        <v>3</v>
      </c>
      <c r="AG31" s="2">
        <v>0</v>
      </c>
      <c r="AH31" s="47">
        <v>1</v>
      </c>
    </row>
    <row r="32" spans="1:34" x14ac:dyDescent="0.25">
      <c r="A32" s="2" t="s">
        <v>54</v>
      </c>
      <c r="B32" s="34">
        <v>548</v>
      </c>
      <c r="C32" s="66">
        <f t="shared" si="4"/>
        <v>26.095238095238095</v>
      </c>
      <c r="D32" s="35">
        <v>37</v>
      </c>
      <c r="E32" s="34">
        <v>8</v>
      </c>
      <c r="F32" s="2">
        <v>13</v>
      </c>
      <c r="G32" s="75">
        <f t="shared" si="5"/>
        <v>0.38095238095238093</v>
      </c>
      <c r="H32" s="34">
        <v>44</v>
      </c>
      <c r="I32" s="2">
        <v>51</v>
      </c>
      <c r="J32" s="75">
        <f t="shared" si="6"/>
        <v>0.4631578947368421</v>
      </c>
      <c r="K32" s="34">
        <v>186</v>
      </c>
      <c r="L32" s="2">
        <v>208</v>
      </c>
      <c r="M32" s="75">
        <f t="shared" si="7"/>
        <v>0.4720812182741117</v>
      </c>
      <c r="N32" s="34">
        <v>1</v>
      </c>
      <c r="O32" s="2">
        <v>5</v>
      </c>
      <c r="P32" s="2">
        <v>3</v>
      </c>
      <c r="Q32" s="2">
        <v>1</v>
      </c>
      <c r="R32" s="1">
        <v>1</v>
      </c>
      <c r="S32" s="1">
        <v>0</v>
      </c>
      <c r="T32" s="2">
        <v>2</v>
      </c>
      <c r="U32" s="2">
        <v>2</v>
      </c>
      <c r="V32" s="2">
        <v>1</v>
      </c>
      <c r="W32" s="2">
        <v>3</v>
      </c>
      <c r="X32" s="2">
        <v>3</v>
      </c>
      <c r="Y32" s="2">
        <v>0</v>
      </c>
      <c r="Z32" s="2">
        <v>0</v>
      </c>
      <c r="AA32" s="2">
        <v>2</v>
      </c>
      <c r="AB32" s="2">
        <v>5</v>
      </c>
      <c r="AC32" s="2">
        <v>0</v>
      </c>
      <c r="AD32" s="2">
        <v>4</v>
      </c>
      <c r="AE32" s="2">
        <v>5</v>
      </c>
      <c r="AF32" s="2">
        <v>3</v>
      </c>
      <c r="AG32" s="2">
        <v>1</v>
      </c>
      <c r="AH32" s="47">
        <v>2</v>
      </c>
    </row>
    <row r="33" spans="1:34" x14ac:dyDescent="0.25">
      <c r="A33" s="2" t="s">
        <v>5</v>
      </c>
      <c r="B33" s="34">
        <v>128</v>
      </c>
      <c r="C33" s="66">
        <f t="shared" si="4"/>
        <v>25.6</v>
      </c>
      <c r="D33" s="35">
        <v>36</v>
      </c>
      <c r="E33" s="34">
        <v>4</v>
      </c>
      <c r="F33" s="2">
        <v>1</v>
      </c>
      <c r="G33" s="75">
        <f t="shared" si="5"/>
        <v>0.8</v>
      </c>
      <c r="H33" s="34">
        <v>15</v>
      </c>
      <c r="I33" s="2">
        <v>7</v>
      </c>
      <c r="J33" s="75">
        <f t="shared" si="6"/>
        <v>0.68181818181818177</v>
      </c>
      <c r="K33" s="34">
        <v>53</v>
      </c>
      <c r="L33" s="2">
        <v>39</v>
      </c>
      <c r="M33" s="75">
        <f t="shared" si="7"/>
        <v>0.57608695652173914</v>
      </c>
      <c r="N33" s="34">
        <v>0</v>
      </c>
      <c r="O33" s="2">
        <v>2</v>
      </c>
      <c r="P33" s="2">
        <v>1</v>
      </c>
      <c r="Q33" s="2">
        <v>1</v>
      </c>
      <c r="R33" s="1">
        <v>0</v>
      </c>
      <c r="S33" s="2">
        <v>0</v>
      </c>
      <c r="T33" s="2">
        <v>0</v>
      </c>
      <c r="U33" s="2">
        <v>0</v>
      </c>
      <c r="V33" s="2">
        <v>0</v>
      </c>
      <c r="W33" s="2">
        <v>1</v>
      </c>
      <c r="X33" s="2">
        <v>1</v>
      </c>
      <c r="Y33" s="2">
        <v>1</v>
      </c>
      <c r="Z33" s="2">
        <v>1</v>
      </c>
      <c r="AA33" s="2">
        <v>0</v>
      </c>
      <c r="AB33" s="2">
        <v>0</v>
      </c>
      <c r="AC33" s="2">
        <v>0</v>
      </c>
      <c r="AD33" s="2">
        <v>2</v>
      </c>
      <c r="AE33" s="2">
        <v>3</v>
      </c>
      <c r="AF33" s="2">
        <v>1</v>
      </c>
      <c r="AG33" s="2">
        <v>0</v>
      </c>
      <c r="AH33" s="47">
        <v>1</v>
      </c>
    </row>
    <row r="34" spans="1:34" x14ac:dyDescent="0.25">
      <c r="A34" s="2" t="s">
        <v>38</v>
      </c>
      <c r="B34" s="34">
        <v>9</v>
      </c>
      <c r="C34" s="66">
        <f t="shared" si="4"/>
        <v>3</v>
      </c>
      <c r="D34" s="35">
        <v>4</v>
      </c>
      <c r="E34" s="34">
        <v>2</v>
      </c>
      <c r="F34" s="2">
        <v>1</v>
      </c>
      <c r="G34" s="75">
        <f t="shared" si="5"/>
        <v>0.66666666666666663</v>
      </c>
      <c r="H34" s="34">
        <v>6</v>
      </c>
      <c r="I34" s="2">
        <v>6</v>
      </c>
      <c r="J34" s="75">
        <f t="shared" si="6"/>
        <v>0.5</v>
      </c>
      <c r="K34" s="34">
        <v>22</v>
      </c>
      <c r="L34" s="2">
        <v>25</v>
      </c>
      <c r="M34" s="75">
        <f t="shared" si="7"/>
        <v>0.46808510638297873</v>
      </c>
      <c r="N34" s="34">
        <v>1</v>
      </c>
      <c r="O34" s="2">
        <v>1</v>
      </c>
      <c r="P34" s="2">
        <v>0</v>
      </c>
      <c r="Q34" s="2">
        <v>0</v>
      </c>
      <c r="R34" s="2">
        <v>0</v>
      </c>
      <c r="S34" s="2">
        <v>0</v>
      </c>
      <c r="T34" s="2">
        <v>0</v>
      </c>
      <c r="U34" s="2">
        <v>0</v>
      </c>
      <c r="V34" s="2">
        <v>0</v>
      </c>
      <c r="W34" s="2">
        <v>0</v>
      </c>
      <c r="X34" s="2">
        <v>2</v>
      </c>
      <c r="Y34" s="2">
        <v>0</v>
      </c>
      <c r="Z34" s="2">
        <v>0</v>
      </c>
      <c r="AA34" s="2">
        <v>0</v>
      </c>
      <c r="AB34" s="2">
        <v>0</v>
      </c>
      <c r="AC34" s="2">
        <v>0</v>
      </c>
      <c r="AD34" s="2">
        <v>1</v>
      </c>
      <c r="AE34" s="2">
        <v>0</v>
      </c>
      <c r="AF34" s="2">
        <v>1</v>
      </c>
      <c r="AG34" s="2">
        <v>0</v>
      </c>
      <c r="AH34" s="47">
        <v>0</v>
      </c>
    </row>
    <row r="35" spans="1:34" x14ac:dyDescent="0.25">
      <c r="A35" s="2" t="s">
        <v>40</v>
      </c>
      <c r="B35" s="34">
        <v>367</v>
      </c>
      <c r="C35" s="66">
        <f t="shared" si="4"/>
        <v>18.350000000000001</v>
      </c>
      <c r="D35" s="35">
        <v>29</v>
      </c>
      <c r="E35" s="34">
        <v>9</v>
      </c>
      <c r="F35" s="2">
        <v>11</v>
      </c>
      <c r="G35" s="75">
        <f t="shared" si="5"/>
        <v>0.45</v>
      </c>
      <c r="H35" s="34">
        <v>51</v>
      </c>
      <c r="I35" s="2">
        <v>46</v>
      </c>
      <c r="J35" s="75">
        <f t="shared" si="6"/>
        <v>0.52577319587628868</v>
      </c>
      <c r="K35" s="34">
        <v>176</v>
      </c>
      <c r="L35" s="2">
        <v>185</v>
      </c>
      <c r="M35" s="75">
        <f t="shared" si="7"/>
        <v>0.48753462603878117</v>
      </c>
      <c r="N35" s="34">
        <v>0</v>
      </c>
      <c r="O35" s="2">
        <v>5</v>
      </c>
      <c r="P35" s="2">
        <v>4</v>
      </c>
      <c r="Q35" s="2">
        <v>5</v>
      </c>
      <c r="R35" s="2">
        <v>0</v>
      </c>
      <c r="S35" s="1">
        <v>1</v>
      </c>
      <c r="T35" s="2">
        <v>1</v>
      </c>
      <c r="U35" s="2">
        <v>2</v>
      </c>
      <c r="V35" s="2">
        <v>0</v>
      </c>
      <c r="W35" s="2">
        <v>2</v>
      </c>
      <c r="X35" s="2">
        <v>4</v>
      </c>
      <c r="Y35" s="2">
        <v>1</v>
      </c>
      <c r="Z35" s="2">
        <v>1</v>
      </c>
      <c r="AA35" s="2">
        <v>1</v>
      </c>
      <c r="AB35" s="2">
        <v>2</v>
      </c>
      <c r="AC35" s="2">
        <v>0</v>
      </c>
      <c r="AD35" s="2">
        <v>1</v>
      </c>
      <c r="AE35" s="2">
        <v>3</v>
      </c>
      <c r="AF35" s="2">
        <v>6</v>
      </c>
      <c r="AG35" s="2">
        <v>0</v>
      </c>
      <c r="AH35" s="47">
        <v>2</v>
      </c>
    </row>
    <row r="36" spans="1:34" x14ac:dyDescent="0.25">
      <c r="A36" s="2" t="s">
        <v>17</v>
      </c>
      <c r="B36" s="34">
        <v>342</v>
      </c>
      <c r="C36" s="66">
        <f t="shared" si="4"/>
        <v>21.375</v>
      </c>
      <c r="D36" s="35">
        <v>32</v>
      </c>
      <c r="E36" s="34">
        <v>5</v>
      </c>
      <c r="F36" s="2">
        <v>11</v>
      </c>
      <c r="G36" s="75">
        <f t="shared" si="5"/>
        <v>0.3125</v>
      </c>
      <c r="H36" s="34">
        <v>29</v>
      </c>
      <c r="I36" s="2">
        <v>39</v>
      </c>
      <c r="J36" s="75">
        <f t="shared" si="6"/>
        <v>0.4264705882352941</v>
      </c>
      <c r="K36" s="34">
        <v>127</v>
      </c>
      <c r="L36" s="2">
        <v>145</v>
      </c>
      <c r="M36" s="75">
        <f t="shared" si="7"/>
        <v>0.46691176470588236</v>
      </c>
      <c r="N36" s="34">
        <v>2</v>
      </c>
      <c r="O36" s="2">
        <v>1</v>
      </c>
      <c r="P36" s="2">
        <v>2</v>
      </c>
      <c r="Q36" s="2">
        <v>3</v>
      </c>
      <c r="R36" s="1">
        <v>0</v>
      </c>
      <c r="S36" s="1">
        <v>0</v>
      </c>
      <c r="T36" s="2">
        <v>0</v>
      </c>
      <c r="U36" s="2">
        <v>1</v>
      </c>
      <c r="V36" s="2">
        <v>0</v>
      </c>
      <c r="W36" s="2">
        <v>2</v>
      </c>
      <c r="X36" s="2">
        <v>2</v>
      </c>
      <c r="Y36" s="2">
        <v>0</v>
      </c>
      <c r="Z36" s="2">
        <v>0</v>
      </c>
      <c r="AA36" s="2">
        <v>0</v>
      </c>
      <c r="AB36" s="2">
        <v>5</v>
      </c>
      <c r="AC36" s="2">
        <v>0</v>
      </c>
      <c r="AD36" s="2">
        <v>4</v>
      </c>
      <c r="AE36" s="2">
        <v>3</v>
      </c>
      <c r="AF36" s="2">
        <v>3</v>
      </c>
      <c r="AG36" s="2">
        <v>0</v>
      </c>
      <c r="AH36" s="47">
        <v>1</v>
      </c>
    </row>
    <row r="37" spans="1:34" x14ac:dyDescent="0.25">
      <c r="A37" s="1" t="s">
        <v>105</v>
      </c>
      <c r="B37" s="36">
        <v>12</v>
      </c>
      <c r="C37" s="66">
        <f t="shared" si="4"/>
        <v>12</v>
      </c>
      <c r="D37" s="65">
        <v>12</v>
      </c>
      <c r="E37" s="36">
        <v>1</v>
      </c>
      <c r="F37" s="1">
        <v>0</v>
      </c>
      <c r="G37" s="75">
        <f t="shared" si="5"/>
        <v>1</v>
      </c>
      <c r="H37" s="36">
        <v>3</v>
      </c>
      <c r="I37" s="1">
        <v>2</v>
      </c>
      <c r="J37" s="75">
        <f t="shared" si="6"/>
        <v>0.6</v>
      </c>
      <c r="K37" s="36">
        <v>9</v>
      </c>
      <c r="L37" s="1">
        <v>10</v>
      </c>
      <c r="M37" s="75">
        <f t="shared" si="7"/>
        <v>0.47368421052631576</v>
      </c>
      <c r="N37" s="34">
        <v>0</v>
      </c>
      <c r="O37" s="1">
        <v>0</v>
      </c>
      <c r="P37" s="1">
        <v>0</v>
      </c>
      <c r="Q37" s="1">
        <v>0</v>
      </c>
      <c r="R37" s="2">
        <v>0</v>
      </c>
      <c r="S37" s="2">
        <v>0</v>
      </c>
      <c r="T37" s="1">
        <v>0</v>
      </c>
      <c r="U37" s="1">
        <v>0</v>
      </c>
      <c r="V37" s="1">
        <v>0</v>
      </c>
      <c r="W37" s="1">
        <v>1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2">
        <v>0</v>
      </c>
      <c r="AD37" s="1">
        <v>1</v>
      </c>
      <c r="AE37" s="1">
        <v>1</v>
      </c>
      <c r="AF37" s="1">
        <v>0</v>
      </c>
      <c r="AG37" s="1">
        <v>0</v>
      </c>
      <c r="AH37" s="47">
        <v>0</v>
      </c>
    </row>
    <row r="38" spans="1:34" x14ac:dyDescent="0.25">
      <c r="A38" s="1" t="s">
        <v>118</v>
      </c>
      <c r="B38" s="36">
        <v>10</v>
      </c>
      <c r="C38" s="1">
        <f t="shared" si="4"/>
        <v>10</v>
      </c>
      <c r="D38" s="65">
        <v>10</v>
      </c>
      <c r="E38" s="36">
        <v>1</v>
      </c>
      <c r="F38" s="1">
        <v>0</v>
      </c>
      <c r="G38" s="75">
        <f t="shared" si="5"/>
        <v>1</v>
      </c>
      <c r="H38" s="36">
        <v>3</v>
      </c>
      <c r="I38" s="1">
        <v>1</v>
      </c>
      <c r="J38" s="75">
        <f t="shared" si="6"/>
        <v>0.75</v>
      </c>
      <c r="K38" s="36">
        <v>9</v>
      </c>
      <c r="L38" s="1">
        <v>5</v>
      </c>
      <c r="M38" s="75">
        <f t="shared" si="7"/>
        <v>0.6428571428571429</v>
      </c>
      <c r="N38" s="36">
        <v>0</v>
      </c>
      <c r="O38" s="1">
        <v>0</v>
      </c>
      <c r="P38" s="1">
        <v>0</v>
      </c>
      <c r="Q38" s="1">
        <v>0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1</v>
      </c>
      <c r="Y38" s="1">
        <v>0</v>
      </c>
      <c r="Z38" s="1">
        <v>0</v>
      </c>
      <c r="AA38" s="1">
        <v>0</v>
      </c>
      <c r="AB38" s="1">
        <v>1</v>
      </c>
      <c r="AC38" s="1">
        <v>0</v>
      </c>
      <c r="AD38" s="1">
        <v>0</v>
      </c>
      <c r="AE38" s="1">
        <v>1</v>
      </c>
      <c r="AF38" s="1">
        <v>0</v>
      </c>
      <c r="AG38" s="1">
        <v>0</v>
      </c>
      <c r="AH38" s="65">
        <v>0</v>
      </c>
    </row>
    <row r="39" spans="1:34" x14ac:dyDescent="0.25">
      <c r="A39" s="2" t="s">
        <v>6</v>
      </c>
      <c r="B39" s="34">
        <v>529</v>
      </c>
      <c r="C39" s="66">
        <f t="shared" si="4"/>
        <v>23</v>
      </c>
      <c r="D39" s="35">
        <v>37</v>
      </c>
      <c r="E39" s="34">
        <v>18</v>
      </c>
      <c r="F39" s="2">
        <v>5</v>
      </c>
      <c r="G39" s="75">
        <f t="shared" si="5"/>
        <v>0.78260869565217395</v>
      </c>
      <c r="H39" s="34">
        <v>61</v>
      </c>
      <c r="I39" s="2">
        <v>35</v>
      </c>
      <c r="J39" s="75">
        <f t="shared" si="6"/>
        <v>0.63541666666666663</v>
      </c>
      <c r="K39" s="34">
        <v>225</v>
      </c>
      <c r="L39" s="2">
        <v>171</v>
      </c>
      <c r="M39" s="75">
        <f t="shared" si="7"/>
        <v>0.56818181818181823</v>
      </c>
      <c r="N39" s="34">
        <v>3</v>
      </c>
      <c r="O39" s="2">
        <v>2</v>
      </c>
      <c r="P39" s="2">
        <v>3</v>
      </c>
      <c r="Q39" s="2">
        <v>4</v>
      </c>
      <c r="R39" s="2">
        <v>0</v>
      </c>
      <c r="S39" s="1">
        <v>0</v>
      </c>
      <c r="T39" s="2">
        <v>1</v>
      </c>
      <c r="U39" s="2">
        <v>3</v>
      </c>
      <c r="V39" s="2">
        <v>0</v>
      </c>
      <c r="W39" s="2">
        <v>2</v>
      </c>
      <c r="X39" s="2">
        <v>6</v>
      </c>
      <c r="Y39" s="2">
        <v>3</v>
      </c>
      <c r="Z39" s="2">
        <v>2</v>
      </c>
      <c r="AA39" s="2">
        <v>2</v>
      </c>
      <c r="AB39" s="2">
        <v>8</v>
      </c>
      <c r="AC39" s="2">
        <v>1</v>
      </c>
      <c r="AD39" s="2">
        <v>7</v>
      </c>
      <c r="AE39" s="2">
        <v>4</v>
      </c>
      <c r="AF39" s="2">
        <v>6</v>
      </c>
      <c r="AG39" s="2">
        <v>0</v>
      </c>
      <c r="AH39" s="47">
        <v>4</v>
      </c>
    </row>
    <row r="40" spans="1:34" x14ac:dyDescent="0.25">
      <c r="A40" s="2" t="s">
        <v>18</v>
      </c>
      <c r="B40" s="34">
        <v>55</v>
      </c>
      <c r="C40" s="66">
        <f t="shared" si="4"/>
        <v>18.333333333333332</v>
      </c>
      <c r="D40" s="35">
        <v>24</v>
      </c>
      <c r="E40" s="34">
        <v>2</v>
      </c>
      <c r="F40" s="2">
        <v>1</v>
      </c>
      <c r="G40" s="75">
        <f t="shared" si="5"/>
        <v>0.66666666666666663</v>
      </c>
      <c r="H40" s="34">
        <v>7</v>
      </c>
      <c r="I40" s="2">
        <v>5</v>
      </c>
      <c r="J40" s="75">
        <f t="shared" si="6"/>
        <v>0.58333333333333337</v>
      </c>
      <c r="K40" s="34">
        <v>26</v>
      </c>
      <c r="L40" s="2">
        <v>23</v>
      </c>
      <c r="M40" s="75">
        <f t="shared" si="7"/>
        <v>0.53061224489795922</v>
      </c>
      <c r="N40" s="34">
        <v>0</v>
      </c>
      <c r="O40" s="2">
        <v>2</v>
      </c>
      <c r="P40" s="2">
        <v>0</v>
      </c>
      <c r="Q40" s="2">
        <v>1</v>
      </c>
      <c r="R40" s="2">
        <v>0</v>
      </c>
      <c r="S40" s="2">
        <v>0</v>
      </c>
      <c r="T40" s="2">
        <v>0</v>
      </c>
      <c r="U40" s="2">
        <v>0</v>
      </c>
      <c r="V40" s="2">
        <v>0</v>
      </c>
      <c r="W40" s="2">
        <v>0</v>
      </c>
      <c r="X40" s="2">
        <v>0</v>
      </c>
      <c r="Y40" s="2">
        <v>1</v>
      </c>
      <c r="Z40" s="2">
        <v>1</v>
      </c>
      <c r="AA40" s="2">
        <v>0</v>
      </c>
      <c r="AB40" s="2">
        <v>1</v>
      </c>
      <c r="AC40" s="2">
        <v>0</v>
      </c>
      <c r="AD40" s="2">
        <v>0</v>
      </c>
      <c r="AE40" s="2">
        <v>0</v>
      </c>
      <c r="AF40" s="2">
        <v>1</v>
      </c>
      <c r="AG40" s="2">
        <v>0</v>
      </c>
      <c r="AH40" s="47">
        <v>0</v>
      </c>
    </row>
    <row r="41" spans="1:34" x14ac:dyDescent="0.25">
      <c r="A41" s="2" t="s">
        <v>113</v>
      </c>
      <c r="B41" s="36">
        <v>82</v>
      </c>
      <c r="C41" s="66">
        <f t="shared" si="4"/>
        <v>20.5</v>
      </c>
      <c r="D41" s="65">
        <v>28</v>
      </c>
      <c r="E41" s="36">
        <v>2</v>
      </c>
      <c r="F41" s="1">
        <v>2</v>
      </c>
      <c r="G41" s="75">
        <f t="shared" si="5"/>
        <v>0.5</v>
      </c>
      <c r="H41" s="36">
        <v>10</v>
      </c>
      <c r="I41" s="1">
        <v>10</v>
      </c>
      <c r="J41" s="75">
        <f t="shared" si="6"/>
        <v>0.5</v>
      </c>
      <c r="K41" s="36">
        <v>39</v>
      </c>
      <c r="L41" s="1">
        <v>42</v>
      </c>
      <c r="M41" s="75">
        <f t="shared" si="7"/>
        <v>0.48148148148148145</v>
      </c>
      <c r="N41" s="36">
        <v>0</v>
      </c>
      <c r="O41" s="1">
        <v>1</v>
      </c>
      <c r="P41" s="1">
        <v>2</v>
      </c>
      <c r="Q41" s="1">
        <v>0</v>
      </c>
      <c r="R41" s="1">
        <v>0</v>
      </c>
      <c r="S41" s="1">
        <v>0</v>
      </c>
      <c r="T41" s="1">
        <v>1</v>
      </c>
      <c r="U41" s="1">
        <v>0</v>
      </c>
      <c r="V41" s="1">
        <v>0</v>
      </c>
      <c r="W41" s="2">
        <v>1</v>
      </c>
      <c r="X41" s="1">
        <v>1</v>
      </c>
      <c r="Y41" s="1">
        <v>0</v>
      </c>
      <c r="Z41" s="1">
        <v>0</v>
      </c>
      <c r="AA41" s="1">
        <v>1</v>
      </c>
      <c r="AB41" s="1">
        <v>0</v>
      </c>
      <c r="AC41" s="1">
        <v>0</v>
      </c>
      <c r="AD41" s="1">
        <v>1</v>
      </c>
      <c r="AE41" s="2">
        <v>1</v>
      </c>
      <c r="AF41" s="1">
        <v>1</v>
      </c>
      <c r="AG41" s="1">
        <v>0</v>
      </c>
      <c r="AH41" s="65">
        <v>0</v>
      </c>
    </row>
    <row r="42" spans="1:34" x14ac:dyDescent="0.25">
      <c r="A42" s="2" t="s">
        <v>14</v>
      </c>
      <c r="B42" s="34">
        <v>183</v>
      </c>
      <c r="C42" s="66">
        <f t="shared" si="4"/>
        <v>16.636363636363637</v>
      </c>
      <c r="D42" s="35">
        <v>25</v>
      </c>
      <c r="E42" s="34">
        <v>5</v>
      </c>
      <c r="F42" s="2">
        <v>6</v>
      </c>
      <c r="G42" s="75">
        <f t="shared" si="5"/>
        <v>0.45454545454545453</v>
      </c>
      <c r="H42" s="34">
        <v>22</v>
      </c>
      <c r="I42" s="2">
        <v>26</v>
      </c>
      <c r="J42" s="75">
        <f t="shared" si="6"/>
        <v>0.45833333333333331</v>
      </c>
      <c r="K42" s="34">
        <v>94</v>
      </c>
      <c r="L42" s="2">
        <v>96</v>
      </c>
      <c r="M42" s="75">
        <f t="shared" si="7"/>
        <v>0.49473684210526314</v>
      </c>
      <c r="N42" s="34">
        <v>1</v>
      </c>
      <c r="O42" s="2">
        <v>1</v>
      </c>
      <c r="P42" s="2">
        <v>0</v>
      </c>
      <c r="Q42" s="2">
        <v>0</v>
      </c>
      <c r="R42" s="2">
        <v>0</v>
      </c>
      <c r="S42" s="2">
        <v>0</v>
      </c>
      <c r="T42" s="2">
        <v>2</v>
      </c>
      <c r="U42" s="2">
        <v>1</v>
      </c>
      <c r="V42" s="2">
        <v>1</v>
      </c>
      <c r="W42" s="2">
        <v>1</v>
      </c>
      <c r="X42" s="2">
        <v>0</v>
      </c>
      <c r="Y42" s="2">
        <v>2</v>
      </c>
      <c r="Z42" s="2">
        <v>1</v>
      </c>
      <c r="AA42" s="2">
        <v>1</v>
      </c>
      <c r="AB42" s="2">
        <v>5</v>
      </c>
      <c r="AC42" s="2">
        <v>1</v>
      </c>
      <c r="AD42" s="2">
        <v>3</v>
      </c>
      <c r="AE42" s="2">
        <v>2</v>
      </c>
      <c r="AF42" s="2">
        <v>0</v>
      </c>
      <c r="AG42" s="2">
        <v>0</v>
      </c>
      <c r="AH42" s="47">
        <v>0</v>
      </c>
    </row>
    <row r="43" spans="1:34" x14ac:dyDescent="0.25">
      <c r="A43" s="2" t="s">
        <v>70</v>
      </c>
      <c r="B43" s="34">
        <v>63</v>
      </c>
      <c r="C43" s="66">
        <f t="shared" si="4"/>
        <v>12.6</v>
      </c>
      <c r="D43" s="47">
        <v>19</v>
      </c>
      <c r="E43" s="34">
        <v>5</v>
      </c>
      <c r="F43" s="2">
        <v>0</v>
      </c>
      <c r="G43" s="75">
        <f t="shared" si="5"/>
        <v>1</v>
      </c>
      <c r="H43" s="34">
        <v>15</v>
      </c>
      <c r="I43" s="2">
        <v>7</v>
      </c>
      <c r="J43" s="75">
        <f t="shared" si="6"/>
        <v>0.68181818181818177</v>
      </c>
      <c r="K43" s="34">
        <v>52</v>
      </c>
      <c r="L43" s="2">
        <v>40</v>
      </c>
      <c r="M43" s="75">
        <f t="shared" si="7"/>
        <v>0.56521739130434778</v>
      </c>
      <c r="N43" s="34">
        <v>1</v>
      </c>
      <c r="O43" s="2">
        <v>1</v>
      </c>
      <c r="P43" s="2">
        <v>2</v>
      </c>
      <c r="Q43" s="2">
        <v>2</v>
      </c>
      <c r="R43" s="2">
        <v>0</v>
      </c>
      <c r="S43" s="2">
        <v>0</v>
      </c>
      <c r="T43" s="2">
        <v>0</v>
      </c>
      <c r="U43" s="2">
        <v>1</v>
      </c>
      <c r="V43" s="2">
        <v>0</v>
      </c>
      <c r="W43" s="2">
        <v>0</v>
      </c>
      <c r="X43" s="2">
        <v>1</v>
      </c>
      <c r="Y43" s="2">
        <v>1</v>
      </c>
      <c r="Z43" s="2">
        <v>0</v>
      </c>
      <c r="AA43" s="2">
        <v>1</v>
      </c>
      <c r="AB43" s="2">
        <v>0</v>
      </c>
      <c r="AC43" s="2">
        <v>0</v>
      </c>
      <c r="AD43" s="2">
        <v>0</v>
      </c>
      <c r="AE43" s="2">
        <v>0</v>
      </c>
      <c r="AF43" s="2">
        <v>3</v>
      </c>
      <c r="AG43" s="2">
        <v>0</v>
      </c>
      <c r="AH43" s="47">
        <v>2</v>
      </c>
    </row>
    <row r="44" spans="1:34" x14ac:dyDescent="0.25">
      <c r="A44" s="2" t="s">
        <v>4</v>
      </c>
      <c r="B44" s="34">
        <v>283</v>
      </c>
      <c r="C44" s="66">
        <f t="shared" si="4"/>
        <v>25.727272727272727</v>
      </c>
      <c r="D44" s="35">
        <v>41</v>
      </c>
      <c r="E44" s="34">
        <v>3</v>
      </c>
      <c r="F44" s="2">
        <v>8</v>
      </c>
      <c r="G44" s="75">
        <f t="shared" si="5"/>
        <v>0.27272727272727271</v>
      </c>
      <c r="H44" s="34">
        <v>20</v>
      </c>
      <c r="I44" s="2">
        <v>28</v>
      </c>
      <c r="J44" s="75">
        <f t="shared" si="6"/>
        <v>0.41666666666666669</v>
      </c>
      <c r="K44" s="34">
        <v>92</v>
      </c>
      <c r="L44" s="2">
        <v>106</v>
      </c>
      <c r="M44" s="75">
        <f t="shared" si="7"/>
        <v>0.46464646464646464</v>
      </c>
      <c r="N44" s="34">
        <v>0</v>
      </c>
      <c r="O44" s="2">
        <v>4</v>
      </c>
      <c r="P44" s="2">
        <v>3</v>
      </c>
      <c r="Q44" s="2">
        <v>2</v>
      </c>
      <c r="R44" s="1">
        <v>0</v>
      </c>
      <c r="S44" s="1">
        <v>0</v>
      </c>
      <c r="T44" s="2">
        <v>1</v>
      </c>
      <c r="U44" s="2">
        <v>0</v>
      </c>
      <c r="V44" s="2">
        <v>0</v>
      </c>
      <c r="W44" s="2">
        <v>1</v>
      </c>
      <c r="X44" s="2">
        <v>0</v>
      </c>
      <c r="Y44" s="2">
        <v>0</v>
      </c>
      <c r="Z44" s="2">
        <v>0</v>
      </c>
      <c r="AA44" s="2">
        <v>4</v>
      </c>
      <c r="AB44" s="2">
        <v>1</v>
      </c>
      <c r="AC44" s="2">
        <v>0</v>
      </c>
      <c r="AD44" s="2">
        <v>1</v>
      </c>
      <c r="AE44" s="2">
        <v>2</v>
      </c>
      <c r="AF44" s="2">
        <v>1</v>
      </c>
      <c r="AG44" s="2">
        <v>0</v>
      </c>
      <c r="AH44" s="47">
        <v>0</v>
      </c>
    </row>
    <row r="45" spans="1:34" x14ac:dyDescent="0.25">
      <c r="A45" s="1" t="s">
        <v>107</v>
      </c>
      <c r="B45" s="36">
        <v>103</v>
      </c>
      <c r="C45" s="66">
        <f t="shared" si="4"/>
        <v>14.714285714285714</v>
      </c>
      <c r="D45" s="65">
        <v>24</v>
      </c>
      <c r="E45" s="36">
        <v>4</v>
      </c>
      <c r="F45" s="1">
        <v>3</v>
      </c>
      <c r="G45" s="75">
        <f t="shared" si="5"/>
        <v>0.5714285714285714</v>
      </c>
      <c r="H45" s="36">
        <v>18</v>
      </c>
      <c r="I45" s="1">
        <v>14</v>
      </c>
      <c r="J45" s="75">
        <f t="shared" si="6"/>
        <v>0.5625</v>
      </c>
      <c r="K45" s="36">
        <v>74</v>
      </c>
      <c r="L45" s="1">
        <v>67</v>
      </c>
      <c r="M45" s="75">
        <f t="shared" si="7"/>
        <v>0.52482269503546097</v>
      </c>
      <c r="N45" s="34">
        <v>0</v>
      </c>
      <c r="O45" s="1">
        <v>0</v>
      </c>
      <c r="P45" s="1">
        <v>1</v>
      </c>
      <c r="Q45" s="1">
        <v>4</v>
      </c>
      <c r="R45" s="2">
        <v>0</v>
      </c>
      <c r="S45" s="2">
        <v>0</v>
      </c>
      <c r="T45" s="1">
        <v>0</v>
      </c>
      <c r="U45" s="1">
        <v>1</v>
      </c>
      <c r="V45" s="1">
        <v>0</v>
      </c>
      <c r="W45" s="1">
        <v>0</v>
      </c>
      <c r="X45" s="1">
        <v>2</v>
      </c>
      <c r="Y45" s="2">
        <v>0</v>
      </c>
      <c r="Z45" s="1">
        <v>0</v>
      </c>
      <c r="AA45" s="1">
        <v>2</v>
      </c>
      <c r="AB45" s="1">
        <v>3</v>
      </c>
      <c r="AC45" s="2">
        <v>0</v>
      </c>
      <c r="AD45" s="1">
        <v>0</v>
      </c>
      <c r="AE45" s="1">
        <v>2</v>
      </c>
      <c r="AF45" s="1">
        <v>2</v>
      </c>
      <c r="AG45" s="1">
        <v>0</v>
      </c>
      <c r="AH45" s="47">
        <v>1</v>
      </c>
    </row>
    <row r="46" spans="1:34" x14ac:dyDescent="0.25">
      <c r="A46" s="2" t="s">
        <v>94</v>
      </c>
      <c r="B46" s="34">
        <v>18</v>
      </c>
      <c r="C46" s="66">
        <f t="shared" si="4"/>
        <v>18</v>
      </c>
      <c r="D46" s="47">
        <v>18</v>
      </c>
      <c r="E46" s="34">
        <v>1</v>
      </c>
      <c r="F46" s="2">
        <v>0</v>
      </c>
      <c r="G46" s="75">
        <f t="shared" si="5"/>
        <v>1</v>
      </c>
      <c r="H46" s="34">
        <v>3</v>
      </c>
      <c r="I46" s="2">
        <v>2</v>
      </c>
      <c r="J46" s="75">
        <f t="shared" si="6"/>
        <v>0.6</v>
      </c>
      <c r="K46" s="34">
        <v>11</v>
      </c>
      <c r="L46" s="2">
        <v>10</v>
      </c>
      <c r="M46" s="75">
        <f t="shared" si="7"/>
        <v>0.52380952380952384</v>
      </c>
      <c r="N46" s="34">
        <v>0</v>
      </c>
      <c r="O46" s="2">
        <v>0</v>
      </c>
      <c r="P46" s="2">
        <v>0</v>
      </c>
      <c r="Q46" s="2">
        <v>0</v>
      </c>
      <c r="R46" s="1">
        <v>0</v>
      </c>
      <c r="S46" s="2">
        <v>0</v>
      </c>
      <c r="T46" s="2">
        <v>0</v>
      </c>
      <c r="U46" s="2">
        <v>0</v>
      </c>
      <c r="V46" s="2">
        <v>0</v>
      </c>
      <c r="W46" s="2">
        <v>0</v>
      </c>
      <c r="X46" s="2">
        <v>0</v>
      </c>
      <c r="Y46" s="2">
        <v>1</v>
      </c>
      <c r="Z46" s="2">
        <v>1</v>
      </c>
      <c r="AA46" s="2">
        <v>0</v>
      </c>
      <c r="AB46" s="2">
        <v>1</v>
      </c>
      <c r="AC46" s="2">
        <v>0</v>
      </c>
      <c r="AD46" s="2">
        <v>0</v>
      </c>
      <c r="AE46" s="2">
        <v>0</v>
      </c>
      <c r="AF46" s="2">
        <v>0</v>
      </c>
      <c r="AG46" s="2">
        <v>0</v>
      </c>
      <c r="AH46" s="47">
        <v>0</v>
      </c>
    </row>
    <row r="47" spans="1:34" ht="15.75" thickBot="1" x14ac:dyDescent="0.3">
      <c r="A47" s="2" t="s">
        <v>55</v>
      </c>
      <c r="B47" s="38">
        <v>6</v>
      </c>
      <c r="C47" s="67">
        <f t="shared" si="4"/>
        <v>6</v>
      </c>
      <c r="D47" s="40">
        <v>6</v>
      </c>
      <c r="E47" s="38">
        <v>0</v>
      </c>
      <c r="F47" s="48">
        <v>1</v>
      </c>
      <c r="G47" s="76">
        <f t="shared" si="5"/>
        <v>0</v>
      </c>
      <c r="H47" s="38">
        <v>0</v>
      </c>
      <c r="I47" s="48">
        <v>3</v>
      </c>
      <c r="J47" s="76">
        <f t="shared" si="6"/>
        <v>0</v>
      </c>
      <c r="K47" s="38">
        <v>4</v>
      </c>
      <c r="L47" s="48">
        <v>9</v>
      </c>
      <c r="M47" s="76">
        <f t="shared" si="7"/>
        <v>0.30769230769230771</v>
      </c>
      <c r="N47" s="38">
        <v>0</v>
      </c>
      <c r="O47" s="48">
        <v>0</v>
      </c>
      <c r="P47" s="48">
        <v>0</v>
      </c>
      <c r="Q47" s="48">
        <v>0</v>
      </c>
      <c r="R47" s="48">
        <v>0</v>
      </c>
      <c r="S47" s="48">
        <v>0</v>
      </c>
      <c r="T47" s="48">
        <v>0</v>
      </c>
      <c r="U47" s="48">
        <v>0</v>
      </c>
      <c r="V47" s="48">
        <v>0</v>
      </c>
      <c r="W47" s="48">
        <v>0</v>
      </c>
      <c r="X47" s="48">
        <v>0</v>
      </c>
      <c r="Y47" s="48">
        <v>0</v>
      </c>
      <c r="Z47" s="48">
        <v>0</v>
      </c>
      <c r="AA47" s="48">
        <v>0</v>
      </c>
      <c r="AB47" s="48">
        <v>0</v>
      </c>
      <c r="AC47" s="48">
        <v>0</v>
      </c>
      <c r="AD47" s="48">
        <v>0</v>
      </c>
      <c r="AE47" s="48">
        <v>0</v>
      </c>
      <c r="AF47" s="48">
        <v>0</v>
      </c>
      <c r="AG47" s="48">
        <v>0</v>
      </c>
      <c r="AH47" s="49">
        <v>0</v>
      </c>
    </row>
  </sheetData>
  <autoFilter ref="A1:AH47" xr:uid="{DA548192-1F03-46EA-8AB8-115EB9A7CE5D}">
    <sortState xmlns:xlrd2="http://schemas.microsoft.com/office/spreadsheetml/2017/richdata2" ref="A2:AH47">
      <sortCondition ref="A1:A47"/>
    </sortState>
  </autoFilter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20E10D-1157-4164-84BC-1BB5367BF023}">
  <sheetPr codeName="Sheet1"/>
  <dimension ref="A1:AI387"/>
  <sheetViews>
    <sheetView tabSelected="1" workbookViewId="0">
      <pane xSplit="2" ySplit="1" topLeftCell="C377" activePane="bottomRight" state="frozen"/>
      <selection pane="topRight" activeCell="C1" sqref="C1"/>
      <selection pane="bottomLeft" activeCell="A2" sqref="A2"/>
      <selection pane="bottomRight" activeCell="F398" sqref="F398"/>
    </sheetView>
  </sheetViews>
  <sheetFormatPr defaultRowHeight="15" x14ac:dyDescent="0.25"/>
  <cols>
    <col min="1" max="1" width="10.140625" bestFit="1" customWidth="1"/>
    <col min="3" max="3" width="10.7109375" bestFit="1" customWidth="1"/>
    <col min="4" max="4" width="12.42578125" customWidth="1"/>
    <col min="5" max="5" width="11.140625" bestFit="1" customWidth="1"/>
    <col min="6" max="6" width="10.28515625" bestFit="1" customWidth="1"/>
    <col min="32" max="32" width="14.140625" bestFit="1" customWidth="1"/>
    <col min="33" max="33" width="16" bestFit="1" customWidth="1"/>
    <col min="34" max="34" width="12" bestFit="1" customWidth="1"/>
    <col min="35" max="35" width="16.42578125" bestFit="1" customWidth="1"/>
  </cols>
  <sheetData>
    <row r="1" spans="1:35" ht="45.75" thickBot="1" x14ac:dyDescent="0.3">
      <c r="A1" s="83" t="s">
        <v>126</v>
      </c>
      <c r="B1" s="83" t="s">
        <v>0</v>
      </c>
      <c r="C1" s="96" t="s">
        <v>7</v>
      </c>
      <c r="D1" s="94" t="s">
        <v>127</v>
      </c>
      <c r="E1" s="83" t="s">
        <v>128</v>
      </c>
      <c r="F1" s="83" t="s">
        <v>129</v>
      </c>
      <c r="G1" s="83" t="s">
        <v>130</v>
      </c>
      <c r="H1" s="83" t="s">
        <v>131</v>
      </c>
      <c r="I1" s="83" t="s">
        <v>121</v>
      </c>
      <c r="J1" s="83" t="s">
        <v>122</v>
      </c>
      <c r="K1" s="68" t="s">
        <v>93</v>
      </c>
      <c r="L1" s="69" t="s">
        <v>41</v>
      </c>
      <c r="M1" s="69" t="s">
        <v>69</v>
      </c>
      <c r="N1" s="70" t="s">
        <v>63</v>
      </c>
      <c r="O1" s="70" t="s">
        <v>116</v>
      </c>
      <c r="P1" s="69" t="s">
        <v>112</v>
      </c>
      <c r="Q1" s="70" t="s">
        <v>32</v>
      </c>
      <c r="R1" s="69" t="s">
        <v>106</v>
      </c>
      <c r="S1" s="70" t="s">
        <v>62</v>
      </c>
      <c r="T1" s="69" t="s">
        <v>73</v>
      </c>
      <c r="U1" s="69" t="s">
        <v>91</v>
      </c>
      <c r="V1" s="70" t="s">
        <v>95</v>
      </c>
      <c r="W1" s="69" t="s">
        <v>92</v>
      </c>
      <c r="X1" s="70" t="s">
        <v>67</v>
      </c>
      <c r="Y1" s="70" t="s">
        <v>56</v>
      </c>
      <c r="Z1" s="69" t="s">
        <v>104</v>
      </c>
      <c r="AA1" s="69" t="s">
        <v>66</v>
      </c>
      <c r="AB1" s="69" t="s">
        <v>72</v>
      </c>
      <c r="AC1" s="70" t="s">
        <v>68</v>
      </c>
      <c r="AD1" s="70" t="s">
        <v>135</v>
      </c>
      <c r="AE1" s="71" t="s">
        <v>96</v>
      </c>
      <c r="AF1" s="83" t="s">
        <v>134</v>
      </c>
      <c r="AG1" s="83" t="s">
        <v>132</v>
      </c>
      <c r="AH1" s="83" t="s">
        <v>133</v>
      </c>
      <c r="AI1" s="83" t="s">
        <v>136</v>
      </c>
    </row>
    <row r="2" spans="1:35" x14ac:dyDescent="0.25">
      <c r="A2" s="106">
        <v>46009</v>
      </c>
      <c r="B2" t="s">
        <v>50</v>
      </c>
      <c r="C2">
        <v>25</v>
      </c>
      <c r="D2">
        <v>1</v>
      </c>
      <c r="E2">
        <v>5</v>
      </c>
      <c r="F2">
        <v>3</v>
      </c>
      <c r="G2">
        <v>21</v>
      </c>
      <c r="H2">
        <v>14</v>
      </c>
      <c r="I2">
        <v>0.6</v>
      </c>
      <c r="J2">
        <v>0.67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1</v>
      </c>
      <c r="R2">
        <v>1</v>
      </c>
      <c r="S2">
        <v>1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  <c r="AC2">
        <v>0</v>
      </c>
      <c r="AD2">
        <v>0</v>
      </c>
      <c r="AE2">
        <v>0</v>
      </c>
      <c r="AF2" s="100">
        <f>AVERAGEIFS($C$2:C2, $B$2:B2, B2)</f>
        <v>25</v>
      </c>
      <c r="AG2" s="100">
        <f>AVERAGEIFS($I$2:I2, $B$2:B2, B2)</f>
        <v>0.6</v>
      </c>
      <c r="AH2" s="100">
        <f>AVERAGEIFS($I$2:J2, $B$2:C2, C2)</f>
        <v>0.67</v>
      </c>
      <c r="AI2" s="100">
        <f>AVERAGEIFS($D$2:D2, $B$2:B2, B2)</f>
        <v>1</v>
      </c>
    </row>
    <row r="3" spans="1:35" x14ac:dyDescent="0.25">
      <c r="A3" s="106">
        <v>46009</v>
      </c>
      <c r="B3" t="s">
        <v>54</v>
      </c>
      <c r="C3">
        <v>25</v>
      </c>
      <c r="D3">
        <v>1</v>
      </c>
      <c r="E3">
        <v>5</v>
      </c>
      <c r="F3">
        <v>3</v>
      </c>
      <c r="G3">
        <v>21</v>
      </c>
      <c r="H3">
        <v>14</v>
      </c>
      <c r="I3">
        <v>0.6</v>
      </c>
      <c r="J3">
        <v>0.67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1</v>
      </c>
      <c r="R3">
        <v>1</v>
      </c>
      <c r="S3">
        <v>1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  <c r="AC3">
        <v>0</v>
      </c>
      <c r="AD3">
        <v>0</v>
      </c>
      <c r="AE3">
        <v>0</v>
      </c>
      <c r="AF3" s="100">
        <f>AVERAGEIFS($C$2:C3, $B$2:B3, B3)</f>
        <v>25</v>
      </c>
      <c r="AG3" s="100">
        <f>AVERAGEIFS($I$2:I3, $B$2:B3, B3)</f>
        <v>0.6</v>
      </c>
      <c r="AH3" s="100">
        <f>AVERAGEIFS($I$2:J3, $B$2:C3, C3)</f>
        <v>0.67</v>
      </c>
      <c r="AI3" s="100">
        <f>AVERAGEIFS($D$2:D3, $B$2:B3, B3)</f>
        <v>1</v>
      </c>
    </row>
    <row r="4" spans="1:35" x14ac:dyDescent="0.25">
      <c r="A4" s="106">
        <v>46009</v>
      </c>
      <c r="B4" t="s">
        <v>14</v>
      </c>
      <c r="C4">
        <v>24</v>
      </c>
      <c r="D4">
        <v>1</v>
      </c>
      <c r="E4">
        <v>5</v>
      </c>
      <c r="F4">
        <v>3</v>
      </c>
      <c r="G4">
        <v>21</v>
      </c>
      <c r="H4">
        <v>14</v>
      </c>
      <c r="I4">
        <v>0.6</v>
      </c>
      <c r="J4">
        <v>0.67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1</v>
      </c>
      <c r="R4">
        <v>1</v>
      </c>
      <c r="S4">
        <v>1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  <c r="AC4">
        <v>0</v>
      </c>
      <c r="AD4">
        <v>0</v>
      </c>
      <c r="AE4">
        <v>0</v>
      </c>
      <c r="AF4" s="100">
        <f>AVERAGEIFS($C$2:C4, $B$2:B4, B4)</f>
        <v>24</v>
      </c>
      <c r="AG4" s="100">
        <f>AVERAGEIFS($I$2:I4, $B$2:B4, B4)</f>
        <v>0.6</v>
      </c>
      <c r="AH4" s="100">
        <f>AVERAGEIFS($I$2:J4, $B$2:C4, C4)</f>
        <v>0.67</v>
      </c>
      <c r="AI4" s="100">
        <f>AVERAGEIFS($D$2:D4, $B$2:B4, B4)</f>
        <v>1</v>
      </c>
    </row>
    <row r="5" spans="1:35" x14ac:dyDescent="0.25">
      <c r="A5" s="106">
        <v>46009</v>
      </c>
      <c r="B5" t="s">
        <v>28</v>
      </c>
      <c r="C5">
        <v>16</v>
      </c>
      <c r="D5">
        <v>1</v>
      </c>
      <c r="E5">
        <v>5</v>
      </c>
      <c r="F5">
        <v>3</v>
      </c>
      <c r="G5">
        <v>21</v>
      </c>
      <c r="H5">
        <v>14</v>
      </c>
      <c r="I5">
        <v>0.6</v>
      </c>
      <c r="J5">
        <v>0.67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1</v>
      </c>
      <c r="R5">
        <v>1</v>
      </c>
      <c r="S5">
        <v>1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  <c r="AC5">
        <v>0</v>
      </c>
      <c r="AD5">
        <v>0</v>
      </c>
      <c r="AE5">
        <v>0</v>
      </c>
      <c r="AF5" s="100">
        <f>AVERAGEIFS($C$2:C5, $B$2:B5, B5)</f>
        <v>16</v>
      </c>
      <c r="AG5" s="100">
        <f>AVERAGEIFS($I$2:I5, $B$2:B5, B5)</f>
        <v>0.6</v>
      </c>
      <c r="AH5" s="100">
        <f>AVERAGEIFS($I$2:J5, $B$2:C5, C5)</f>
        <v>0.67</v>
      </c>
      <c r="AI5" s="100">
        <f>AVERAGEIFS($D$2:D5, $B$2:B5, B5)</f>
        <v>1</v>
      </c>
    </row>
    <row r="6" spans="1:35" x14ac:dyDescent="0.25">
      <c r="A6" s="106">
        <v>46009</v>
      </c>
      <c r="B6" t="s">
        <v>19</v>
      </c>
      <c r="C6">
        <v>11</v>
      </c>
      <c r="D6">
        <v>1</v>
      </c>
      <c r="E6">
        <v>5</v>
      </c>
      <c r="F6">
        <v>3</v>
      </c>
      <c r="G6">
        <v>21</v>
      </c>
      <c r="H6">
        <v>14</v>
      </c>
      <c r="I6">
        <v>0.6</v>
      </c>
      <c r="J6">
        <v>0.67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1</v>
      </c>
      <c r="R6">
        <v>1</v>
      </c>
      <c r="S6">
        <v>1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  <c r="AC6">
        <v>0</v>
      </c>
      <c r="AD6">
        <v>0</v>
      </c>
      <c r="AE6">
        <v>0</v>
      </c>
      <c r="AF6" s="100">
        <f>AVERAGEIFS($C$2:C6, $B$2:B6, B6)</f>
        <v>11</v>
      </c>
      <c r="AG6" s="100">
        <f>AVERAGEIFS($I$2:I6, $B$2:B6, B6)</f>
        <v>0.6</v>
      </c>
      <c r="AH6" s="100">
        <f>AVERAGEIFS($I$2:J6, $B$2:C6, C6)</f>
        <v>0.67</v>
      </c>
      <c r="AI6" s="100">
        <f>AVERAGEIFS($D$2:D6, $B$2:B6, B6)</f>
        <v>1</v>
      </c>
    </row>
    <row r="7" spans="1:35" x14ac:dyDescent="0.25">
      <c r="A7" s="106">
        <v>46009</v>
      </c>
      <c r="B7" t="s">
        <v>35</v>
      </c>
      <c r="C7">
        <v>7</v>
      </c>
      <c r="D7">
        <v>1</v>
      </c>
      <c r="E7">
        <v>5</v>
      </c>
      <c r="F7">
        <v>3</v>
      </c>
      <c r="G7">
        <v>21</v>
      </c>
      <c r="H7">
        <v>14</v>
      </c>
      <c r="I7">
        <v>0.6</v>
      </c>
      <c r="J7">
        <v>0.67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1</v>
      </c>
      <c r="R7">
        <v>1</v>
      </c>
      <c r="S7">
        <v>1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  <c r="AC7">
        <v>0</v>
      </c>
      <c r="AD7">
        <v>0</v>
      </c>
      <c r="AE7">
        <v>0</v>
      </c>
      <c r="AF7" s="100">
        <f>AVERAGEIFS($C$2:C7, $B$2:B7, B7)</f>
        <v>7</v>
      </c>
      <c r="AG7" s="100">
        <f>AVERAGEIFS($I$2:I7, $B$2:B7, B7)</f>
        <v>0.6</v>
      </c>
      <c r="AH7" s="100">
        <f>AVERAGEIFS($I$2:J7, $B$2:C7, C7)</f>
        <v>0.67</v>
      </c>
      <c r="AI7" s="100">
        <f>AVERAGEIFS($D$2:D7, $B$2:B7, B7)</f>
        <v>1</v>
      </c>
    </row>
    <row r="8" spans="1:35" x14ac:dyDescent="0.25">
      <c r="A8" s="106">
        <v>46009</v>
      </c>
      <c r="B8" t="s">
        <v>53</v>
      </c>
      <c r="C8">
        <v>36</v>
      </c>
      <c r="D8">
        <v>0</v>
      </c>
      <c r="E8">
        <v>5</v>
      </c>
      <c r="F8">
        <v>2</v>
      </c>
      <c r="G8">
        <v>21</v>
      </c>
      <c r="H8">
        <v>7</v>
      </c>
      <c r="I8">
        <v>0.4</v>
      </c>
      <c r="J8">
        <v>0.33</v>
      </c>
      <c r="K8">
        <v>0</v>
      </c>
      <c r="L8">
        <v>0</v>
      </c>
      <c r="M8">
        <v>0</v>
      </c>
      <c r="N8">
        <v>1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1</v>
      </c>
      <c r="Z8">
        <v>0</v>
      </c>
      <c r="AA8">
        <v>0</v>
      </c>
      <c r="AB8">
        <v>0</v>
      </c>
      <c r="AC8">
        <v>0</v>
      </c>
      <c r="AD8">
        <v>0</v>
      </c>
      <c r="AE8">
        <v>0</v>
      </c>
      <c r="AF8" s="100">
        <f>AVERAGEIFS($C$2:C8, $B$2:B8, B8)</f>
        <v>36</v>
      </c>
      <c r="AG8" s="100">
        <f>AVERAGEIFS($I$2:I8, $B$2:B8, B8)</f>
        <v>0.4</v>
      </c>
      <c r="AH8" s="100">
        <f>AVERAGEIFS($I$2:J8, $B$2:C8, C8)</f>
        <v>0.33</v>
      </c>
      <c r="AI8" s="100">
        <f>AVERAGEIFS($D$2:D8, $B$2:B8, B8)</f>
        <v>0</v>
      </c>
    </row>
    <row r="9" spans="1:35" x14ac:dyDescent="0.25">
      <c r="A9" s="106">
        <v>46009</v>
      </c>
      <c r="B9" t="s">
        <v>17</v>
      </c>
      <c r="C9">
        <v>28</v>
      </c>
      <c r="D9">
        <v>0</v>
      </c>
      <c r="E9">
        <v>5</v>
      </c>
      <c r="F9">
        <v>2</v>
      </c>
      <c r="G9">
        <v>21</v>
      </c>
      <c r="H9">
        <v>7</v>
      </c>
      <c r="I9">
        <v>0.4</v>
      </c>
      <c r="J9">
        <v>0.33</v>
      </c>
      <c r="K9">
        <v>0</v>
      </c>
      <c r="L9">
        <v>0</v>
      </c>
      <c r="M9">
        <v>0</v>
      </c>
      <c r="N9">
        <v>1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1</v>
      </c>
      <c r="Z9">
        <v>0</v>
      </c>
      <c r="AA9">
        <v>0</v>
      </c>
      <c r="AB9">
        <v>0</v>
      </c>
      <c r="AC9">
        <v>0</v>
      </c>
      <c r="AD9">
        <v>0</v>
      </c>
      <c r="AE9">
        <v>0</v>
      </c>
      <c r="AF9" s="100">
        <f>AVERAGEIFS($C$2:C9, $B$2:B9, B9)</f>
        <v>28</v>
      </c>
      <c r="AG9" s="100">
        <f>AVERAGEIFS($I$2:I9, $B$2:B9, B9)</f>
        <v>0.4</v>
      </c>
      <c r="AH9" s="100">
        <f>AVERAGEIFS($I$2:J9, $B$2:C9, C9)</f>
        <v>0.33</v>
      </c>
      <c r="AI9" s="100">
        <f>AVERAGEIFS($D$2:D9, $B$2:B9, B9)</f>
        <v>0</v>
      </c>
    </row>
    <row r="10" spans="1:35" x14ac:dyDescent="0.25">
      <c r="A10" s="106">
        <v>46009</v>
      </c>
      <c r="B10" t="s">
        <v>46</v>
      </c>
      <c r="C10">
        <v>17</v>
      </c>
      <c r="D10">
        <v>0</v>
      </c>
      <c r="E10">
        <v>5</v>
      </c>
      <c r="F10">
        <v>2</v>
      </c>
      <c r="G10">
        <v>21</v>
      </c>
      <c r="H10">
        <v>7</v>
      </c>
      <c r="I10">
        <v>0.4</v>
      </c>
      <c r="J10">
        <v>0.33</v>
      </c>
      <c r="K10">
        <v>0</v>
      </c>
      <c r="L10">
        <v>0</v>
      </c>
      <c r="M10">
        <v>0</v>
      </c>
      <c r="N10">
        <v>1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1</v>
      </c>
      <c r="Z10">
        <v>0</v>
      </c>
      <c r="AA10">
        <v>0</v>
      </c>
      <c r="AB10">
        <v>0</v>
      </c>
      <c r="AC10">
        <v>0</v>
      </c>
      <c r="AD10">
        <v>0</v>
      </c>
      <c r="AE10">
        <v>0</v>
      </c>
      <c r="AF10" s="100">
        <f>AVERAGEIFS($C$2:C10, $B$2:B10, B10)</f>
        <v>17</v>
      </c>
      <c r="AG10" s="100">
        <f>AVERAGEIFS($I$2:I10, $B$2:B10, B10)</f>
        <v>0.4</v>
      </c>
      <c r="AH10" s="100">
        <f>AVERAGEIFS($I$2:J10, $B$2:C10, C10)</f>
        <v>0.33</v>
      </c>
      <c r="AI10" s="100">
        <f>AVERAGEIFS($D$2:D10, $B$2:B10, B10)</f>
        <v>0</v>
      </c>
    </row>
    <row r="11" spans="1:35" x14ac:dyDescent="0.25">
      <c r="A11" s="106">
        <v>46009</v>
      </c>
      <c r="B11" t="s">
        <v>13</v>
      </c>
      <c r="C11">
        <v>12</v>
      </c>
      <c r="D11">
        <v>0</v>
      </c>
      <c r="E11">
        <v>5</v>
      </c>
      <c r="F11">
        <v>2</v>
      </c>
      <c r="G11">
        <v>21</v>
      </c>
      <c r="H11">
        <v>7</v>
      </c>
      <c r="I11">
        <v>0.4</v>
      </c>
      <c r="J11">
        <v>0.33</v>
      </c>
      <c r="K11">
        <v>0</v>
      </c>
      <c r="L11">
        <v>0</v>
      </c>
      <c r="M11">
        <v>0</v>
      </c>
      <c r="N11">
        <v>1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1</v>
      </c>
      <c r="Z11">
        <v>0</v>
      </c>
      <c r="AA11">
        <v>0</v>
      </c>
      <c r="AB11">
        <v>0</v>
      </c>
      <c r="AC11">
        <v>0</v>
      </c>
      <c r="AD11">
        <v>0</v>
      </c>
      <c r="AE11">
        <v>0</v>
      </c>
      <c r="AF11" s="100">
        <f>AVERAGEIFS($C$2:C11, $B$2:B11, B11)</f>
        <v>12</v>
      </c>
      <c r="AG11" s="100">
        <f>AVERAGEIFS($I$2:I11, $B$2:B11, B11)</f>
        <v>0.4</v>
      </c>
      <c r="AH11" s="100">
        <f>AVERAGEIFS($I$2:J11, $B$2:C11, C11)</f>
        <v>0.33</v>
      </c>
      <c r="AI11" s="100">
        <f>AVERAGEIFS($D$2:D11, $B$2:B11, B11)</f>
        <v>0</v>
      </c>
    </row>
    <row r="12" spans="1:35" x14ac:dyDescent="0.25">
      <c r="A12" s="106">
        <v>46009</v>
      </c>
      <c r="B12" t="s">
        <v>27</v>
      </c>
      <c r="C12">
        <v>9</v>
      </c>
      <c r="D12">
        <v>0</v>
      </c>
      <c r="E12">
        <v>5</v>
      </c>
      <c r="F12">
        <v>2</v>
      </c>
      <c r="G12">
        <v>21</v>
      </c>
      <c r="H12">
        <v>7</v>
      </c>
      <c r="I12">
        <v>0.4</v>
      </c>
      <c r="J12">
        <v>0.33</v>
      </c>
      <c r="K12">
        <v>0</v>
      </c>
      <c r="L12">
        <v>0</v>
      </c>
      <c r="M12">
        <v>0</v>
      </c>
      <c r="N12">
        <v>1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1</v>
      </c>
      <c r="Z12">
        <v>0</v>
      </c>
      <c r="AA12">
        <v>0</v>
      </c>
      <c r="AB12">
        <v>0</v>
      </c>
      <c r="AC12">
        <v>0</v>
      </c>
      <c r="AD12">
        <v>0</v>
      </c>
      <c r="AE12">
        <v>0</v>
      </c>
      <c r="AF12" s="100">
        <f>AVERAGEIFS($C$2:C12, $B$2:B12, B12)</f>
        <v>9</v>
      </c>
      <c r="AG12" s="100">
        <f>AVERAGEIFS($I$2:I12, $B$2:B12, B12)</f>
        <v>0.4</v>
      </c>
      <c r="AH12" s="100">
        <f>AVERAGEIFS($I$2:J12, $B$2:C12, C12)</f>
        <v>0.33</v>
      </c>
      <c r="AI12" s="100">
        <f>AVERAGEIFS($D$2:D12, $B$2:B12, B12)</f>
        <v>0</v>
      </c>
    </row>
    <row r="13" spans="1:35" x14ac:dyDescent="0.25">
      <c r="A13" s="106">
        <v>46009</v>
      </c>
      <c r="B13" t="s">
        <v>137</v>
      </c>
      <c r="C13">
        <v>3</v>
      </c>
      <c r="D13">
        <v>0</v>
      </c>
      <c r="E13">
        <v>5</v>
      </c>
      <c r="F13">
        <v>2</v>
      </c>
      <c r="G13">
        <v>21</v>
      </c>
      <c r="H13">
        <v>7</v>
      </c>
      <c r="I13">
        <v>0.4</v>
      </c>
      <c r="J13">
        <v>0.33</v>
      </c>
      <c r="K13">
        <v>0</v>
      </c>
      <c r="L13">
        <v>0</v>
      </c>
      <c r="M13">
        <v>0</v>
      </c>
      <c r="N13">
        <v>1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1</v>
      </c>
      <c r="Z13">
        <v>0</v>
      </c>
      <c r="AA13">
        <v>0</v>
      </c>
      <c r="AB13">
        <v>0</v>
      </c>
      <c r="AC13">
        <v>0</v>
      </c>
      <c r="AD13">
        <v>0</v>
      </c>
      <c r="AE13">
        <v>0</v>
      </c>
      <c r="AF13" s="100">
        <f>AVERAGEIFS($C$2:C13, $B$2:B13, B13)</f>
        <v>3</v>
      </c>
      <c r="AG13" s="100">
        <f>AVERAGEIFS($I$2:I13, $B$2:B13, B13)</f>
        <v>0.4</v>
      </c>
      <c r="AH13" s="100">
        <f>AVERAGEIFS($I$2:J13, $B$2:C13, C13)</f>
        <v>0.33</v>
      </c>
      <c r="AI13" s="100">
        <f>AVERAGEIFS($D$2:D13, $B$2:B13, B13)</f>
        <v>0</v>
      </c>
    </row>
    <row r="14" spans="1:35" x14ac:dyDescent="0.25">
      <c r="A14" s="106">
        <v>46027</v>
      </c>
      <c r="B14" t="s">
        <v>19</v>
      </c>
      <c r="C14">
        <v>8</v>
      </c>
      <c r="D14">
        <v>1</v>
      </c>
      <c r="E14">
        <v>5</v>
      </c>
      <c r="F14">
        <v>3</v>
      </c>
      <c r="G14">
        <v>21</v>
      </c>
      <c r="H14">
        <v>10</v>
      </c>
      <c r="I14">
        <v>0.6</v>
      </c>
      <c r="J14">
        <v>0.48</v>
      </c>
      <c r="K14">
        <v>0</v>
      </c>
      <c r="L14">
        <v>0</v>
      </c>
      <c r="M14">
        <v>1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1</v>
      </c>
      <c r="Y14">
        <v>0</v>
      </c>
      <c r="Z14">
        <v>0</v>
      </c>
      <c r="AA14">
        <v>0</v>
      </c>
      <c r="AB14">
        <v>0</v>
      </c>
      <c r="AC14">
        <v>1</v>
      </c>
      <c r="AD14">
        <v>0</v>
      </c>
      <c r="AE14">
        <v>0</v>
      </c>
      <c r="AF14" s="100">
        <f>AVERAGEIFS($C$2:C14, $B$2:B14, B14)</f>
        <v>9.5</v>
      </c>
      <c r="AG14" s="100">
        <f>AVERAGEIFS($I$2:I14, $B$2:B14, B14)</f>
        <v>0.6</v>
      </c>
      <c r="AH14" s="100">
        <f>AVERAGEIFS($I$2:J14, $B$2:C14, C14)</f>
        <v>0.48</v>
      </c>
      <c r="AI14" s="100">
        <f>AVERAGEIFS($D$2:D14, $B$2:B14, B14)</f>
        <v>1</v>
      </c>
    </row>
    <row r="15" spans="1:35" x14ac:dyDescent="0.25">
      <c r="A15" s="106">
        <v>46027</v>
      </c>
      <c r="B15" t="s">
        <v>50</v>
      </c>
      <c r="C15">
        <v>30</v>
      </c>
      <c r="D15">
        <v>1</v>
      </c>
      <c r="E15">
        <v>5</v>
      </c>
      <c r="F15">
        <v>3</v>
      </c>
      <c r="G15">
        <v>21</v>
      </c>
      <c r="H15">
        <v>10</v>
      </c>
      <c r="I15">
        <v>0.6</v>
      </c>
      <c r="J15">
        <v>0.48</v>
      </c>
      <c r="K15">
        <v>0</v>
      </c>
      <c r="L15">
        <v>0</v>
      </c>
      <c r="M15">
        <v>1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1</v>
      </c>
      <c r="Y15">
        <v>0</v>
      </c>
      <c r="Z15">
        <v>0</v>
      </c>
      <c r="AA15">
        <v>0</v>
      </c>
      <c r="AB15">
        <v>0</v>
      </c>
      <c r="AC15">
        <v>1</v>
      </c>
      <c r="AD15">
        <v>0</v>
      </c>
      <c r="AE15">
        <v>0</v>
      </c>
      <c r="AF15" s="100">
        <f>AVERAGEIFS($C$2:C15, $B$2:B15, B15)</f>
        <v>27.5</v>
      </c>
      <c r="AG15" s="100">
        <f>AVERAGEIFS($I$2:I15, $B$2:B15, B15)</f>
        <v>0.6</v>
      </c>
      <c r="AH15" s="100">
        <f>AVERAGEIFS($I$2:J15, $B$2:C15, C15)</f>
        <v>0.48</v>
      </c>
      <c r="AI15" s="100">
        <f>AVERAGEIFS($D$2:D15, $B$2:B15, B15)</f>
        <v>1</v>
      </c>
    </row>
    <row r="16" spans="1:35" x14ac:dyDescent="0.25">
      <c r="A16" s="106">
        <v>46027</v>
      </c>
      <c r="B16" t="s">
        <v>3</v>
      </c>
      <c r="C16">
        <v>24</v>
      </c>
      <c r="D16">
        <v>1</v>
      </c>
      <c r="E16">
        <v>5</v>
      </c>
      <c r="F16">
        <v>3</v>
      </c>
      <c r="G16">
        <v>21</v>
      </c>
      <c r="H16">
        <v>10</v>
      </c>
      <c r="I16">
        <v>0.6</v>
      </c>
      <c r="J16">
        <v>0.48</v>
      </c>
      <c r="K16">
        <v>0</v>
      </c>
      <c r="L16">
        <v>0</v>
      </c>
      <c r="M16">
        <v>1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1</v>
      </c>
      <c r="Y16">
        <v>0</v>
      </c>
      <c r="Z16">
        <v>0</v>
      </c>
      <c r="AA16">
        <v>0</v>
      </c>
      <c r="AB16">
        <v>0</v>
      </c>
      <c r="AC16">
        <v>1</v>
      </c>
      <c r="AD16">
        <v>0</v>
      </c>
      <c r="AE16">
        <v>0</v>
      </c>
      <c r="AF16" s="100">
        <f>AVERAGEIFS($C$2:C16, $B$2:B16, B16)</f>
        <v>24</v>
      </c>
      <c r="AG16" s="100">
        <f>AVERAGEIFS($I$2:I16, $B$2:B16, B16)</f>
        <v>0.6</v>
      </c>
      <c r="AH16" s="100">
        <f>AVERAGEIFS($I$2:J16, $B$2:C16, C16)</f>
        <v>0.57499999999999996</v>
      </c>
      <c r="AI16" s="100">
        <f>AVERAGEIFS($D$2:D16, $B$2:B16, B16)</f>
        <v>1</v>
      </c>
    </row>
    <row r="17" spans="1:35" x14ac:dyDescent="0.25">
      <c r="A17" s="106">
        <v>46027</v>
      </c>
      <c r="B17" t="s">
        <v>70</v>
      </c>
      <c r="C17">
        <v>13</v>
      </c>
      <c r="D17">
        <v>1</v>
      </c>
      <c r="E17">
        <v>5</v>
      </c>
      <c r="F17">
        <v>3</v>
      </c>
      <c r="G17">
        <v>21</v>
      </c>
      <c r="H17">
        <v>10</v>
      </c>
      <c r="I17">
        <v>0.6</v>
      </c>
      <c r="J17">
        <v>0.48</v>
      </c>
      <c r="K17">
        <v>0</v>
      </c>
      <c r="L17">
        <v>0</v>
      </c>
      <c r="M17">
        <v>1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1</v>
      </c>
      <c r="Y17">
        <v>0</v>
      </c>
      <c r="Z17">
        <v>0</v>
      </c>
      <c r="AA17">
        <v>0</v>
      </c>
      <c r="AB17">
        <v>0</v>
      </c>
      <c r="AC17">
        <v>1</v>
      </c>
      <c r="AD17">
        <v>0</v>
      </c>
      <c r="AE17">
        <v>0</v>
      </c>
      <c r="AF17" s="100">
        <f>AVERAGEIFS($C$2:C17, $B$2:B17, B17)</f>
        <v>13</v>
      </c>
      <c r="AG17" s="100">
        <f>AVERAGEIFS($I$2:I17, $B$2:B17, B17)</f>
        <v>0.6</v>
      </c>
      <c r="AH17" s="100">
        <f>AVERAGEIFS($I$2:J17, $B$2:C17, C17)</f>
        <v>0.48</v>
      </c>
      <c r="AI17" s="100">
        <f>AVERAGEIFS($D$2:D17, $B$2:B17, B17)</f>
        <v>1</v>
      </c>
    </row>
    <row r="18" spans="1:35" x14ac:dyDescent="0.25">
      <c r="A18" s="106">
        <v>46027</v>
      </c>
      <c r="B18" t="s">
        <v>13</v>
      </c>
      <c r="C18">
        <v>5</v>
      </c>
      <c r="D18">
        <v>1</v>
      </c>
      <c r="E18">
        <v>5</v>
      </c>
      <c r="F18">
        <v>3</v>
      </c>
      <c r="G18">
        <v>21</v>
      </c>
      <c r="H18">
        <v>10</v>
      </c>
      <c r="I18">
        <v>0.6</v>
      </c>
      <c r="J18">
        <v>0.48</v>
      </c>
      <c r="K18">
        <v>0</v>
      </c>
      <c r="L18">
        <v>0</v>
      </c>
      <c r="M18">
        <v>1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1</v>
      </c>
      <c r="Y18">
        <v>0</v>
      </c>
      <c r="Z18">
        <v>0</v>
      </c>
      <c r="AA18">
        <v>0</v>
      </c>
      <c r="AB18">
        <v>0</v>
      </c>
      <c r="AC18">
        <v>1</v>
      </c>
      <c r="AD18">
        <v>0</v>
      </c>
      <c r="AE18">
        <v>0</v>
      </c>
      <c r="AF18" s="100">
        <f>AVERAGEIFS($C$2:C18, $B$2:B18, B18)</f>
        <v>8.5</v>
      </c>
      <c r="AG18" s="100">
        <f>AVERAGEIFS($I$2:I18, $B$2:B18, B18)</f>
        <v>0.5</v>
      </c>
      <c r="AH18" s="100">
        <f>AVERAGEIFS($I$2:J18, $B$2:C18, C18)</f>
        <v>0.48</v>
      </c>
      <c r="AI18" s="100">
        <f>AVERAGEIFS($D$2:D18, $B$2:B18, B18)</f>
        <v>0.5</v>
      </c>
    </row>
    <row r="19" spans="1:35" x14ac:dyDescent="0.25">
      <c r="A19" s="106">
        <v>46027</v>
      </c>
      <c r="B19" t="s">
        <v>71</v>
      </c>
      <c r="C19">
        <v>6</v>
      </c>
      <c r="D19">
        <v>1</v>
      </c>
      <c r="E19">
        <v>5</v>
      </c>
      <c r="F19">
        <v>3</v>
      </c>
      <c r="G19">
        <v>21</v>
      </c>
      <c r="H19">
        <v>10</v>
      </c>
      <c r="I19">
        <v>0.6</v>
      </c>
      <c r="J19">
        <v>0.48</v>
      </c>
      <c r="K19">
        <v>0</v>
      </c>
      <c r="L19">
        <v>0</v>
      </c>
      <c r="M19">
        <v>1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1</v>
      </c>
      <c r="Y19">
        <v>0</v>
      </c>
      <c r="Z19">
        <v>0</v>
      </c>
      <c r="AA19">
        <v>0</v>
      </c>
      <c r="AB19">
        <v>0</v>
      </c>
      <c r="AC19">
        <v>1</v>
      </c>
      <c r="AD19">
        <v>0</v>
      </c>
      <c r="AE19">
        <v>0</v>
      </c>
      <c r="AF19" s="100">
        <f>AVERAGEIFS($C$2:C19, $B$2:B19, B19)</f>
        <v>6</v>
      </c>
      <c r="AG19" s="100">
        <f>AVERAGEIFS($I$2:I19, $B$2:B19, B19)</f>
        <v>0.6</v>
      </c>
      <c r="AH19" s="100">
        <f>AVERAGEIFS($I$2:J19, $B$2:C19, C19)</f>
        <v>0.48</v>
      </c>
      <c r="AI19" s="100">
        <f>AVERAGEIFS($D$2:D19, $B$2:B19, B19)</f>
        <v>1</v>
      </c>
    </row>
    <row r="20" spans="1:35" x14ac:dyDescent="0.25">
      <c r="A20" s="106">
        <v>46027</v>
      </c>
      <c r="B20" t="s">
        <v>1</v>
      </c>
      <c r="C20">
        <v>32</v>
      </c>
      <c r="D20">
        <v>1</v>
      </c>
      <c r="E20">
        <v>5</v>
      </c>
      <c r="F20">
        <v>3</v>
      </c>
      <c r="G20">
        <v>21</v>
      </c>
      <c r="H20">
        <v>10</v>
      </c>
      <c r="I20">
        <v>0.6</v>
      </c>
      <c r="J20">
        <v>0.48</v>
      </c>
      <c r="K20">
        <v>0</v>
      </c>
      <c r="L20">
        <v>0</v>
      </c>
      <c r="M20">
        <v>1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1</v>
      </c>
      <c r="Y20">
        <v>0</v>
      </c>
      <c r="Z20">
        <v>0</v>
      </c>
      <c r="AA20">
        <v>0</v>
      </c>
      <c r="AB20">
        <v>0</v>
      </c>
      <c r="AC20">
        <v>1</v>
      </c>
      <c r="AD20">
        <v>0</v>
      </c>
      <c r="AE20">
        <v>0</v>
      </c>
      <c r="AF20" s="100">
        <f>AVERAGEIFS($C$2:C20, $B$2:B20, B20)</f>
        <v>32</v>
      </c>
      <c r="AG20" s="100">
        <f>AVERAGEIFS($I$2:I20, $B$2:B20, B20)</f>
        <v>0.6</v>
      </c>
      <c r="AH20" s="100">
        <f>AVERAGEIFS($I$2:J20, $B$2:C20, C20)</f>
        <v>0.48</v>
      </c>
      <c r="AI20" s="100">
        <f>AVERAGEIFS($D$2:D20, $B$2:B20, B20)</f>
        <v>1</v>
      </c>
    </row>
    <row r="21" spans="1:35" x14ac:dyDescent="0.25">
      <c r="A21" s="106">
        <v>46027</v>
      </c>
      <c r="B21" t="s">
        <v>6</v>
      </c>
      <c r="C21">
        <v>15</v>
      </c>
      <c r="D21">
        <v>1</v>
      </c>
      <c r="E21">
        <v>5</v>
      </c>
      <c r="F21">
        <v>3</v>
      </c>
      <c r="G21">
        <v>21</v>
      </c>
      <c r="H21">
        <v>10</v>
      </c>
      <c r="I21">
        <v>0.6</v>
      </c>
      <c r="J21">
        <v>0.48</v>
      </c>
      <c r="K21">
        <v>0</v>
      </c>
      <c r="L21">
        <v>0</v>
      </c>
      <c r="M21">
        <v>1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1</v>
      </c>
      <c r="Y21">
        <v>0</v>
      </c>
      <c r="Z21">
        <v>0</v>
      </c>
      <c r="AA21">
        <v>0</v>
      </c>
      <c r="AB21">
        <v>0</v>
      </c>
      <c r="AC21">
        <v>1</v>
      </c>
      <c r="AD21">
        <v>0</v>
      </c>
      <c r="AE21">
        <v>0</v>
      </c>
      <c r="AF21" s="100">
        <f>AVERAGEIFS($C$2:C21, $B$2:B21, B21)</f>
        <v>15</v>
      </c>
      <c r="AG21" s="100">
        <f>AVERAGEIFS($I$2:I21, $B$2:B21, B21)</f>
        <v>0.6</v>
      </c>
      <c r="AH21" s="100">
        <f>AVERAGEIFS($I$2:J21, $B$2:C21, C21)</f>
        <v>0.48</v>
      </c>
      <c r="AI21" s="100">
        <f>AVERAGEIFS($D$2:D21, $B$2:B21, B21)</f>
        <v>1</v>
      </c>
    </row>
    <row r="22" spans="1:35" x14ac:dyDescent="0.25">
      <c r="A22" s="106">
        <v>46027</v>
      </c>
      <c r="B22" t="s">
        <v>54</v>
      </c>
      <c r="C22">
        <v>37</v>
      </c>
      <c r="D22">
        <v>0</v>
      </c>
      <c r="E22">
        <v>5</v>
      </c>
      <c r="F22">
        <v>2</v>
      </c>
      <c r="G22">
        <v>21</v>
      </c>
      <c r="H22">
        <v>11</v>
      </c>
      <c r="I22">
        <v>0.4</v>
      </c>
      <c r="J22">
        <v>0.52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1</v>
      </c>
      <c r="Z22">
        <v>0</v>
      </c>
      <c r="AA22">
        <v>1</v>
      </c>
      <c r="AB22">
        <v>0</v>
      </c>
      <c r="AC22">
        <v>0</v>
      </c>
      <c r="AD22">
        <v>0</v>
      </c>
      <c r="AE22">
        <v>0</v>
      </c>
      <c r="AF22" s="100">
        <f>AVERAGEIFS($C$2:C22, $B$2:B22, B22)</f>
        <v>31</v>
      </c>
      <c r="AG22" s="100">
        <f>AVERAGEIFS($I$2:I22, $B$2:B22, B22)</f>
        <v>0.5</v>
      </c>
      <c r="AH22" s="100">
        <f>AVERAGEIFS($I$2:J22, $B$2:C22, C22)</f>
        <v>0.52</v>
      </c>
      <c r="AI22" s="100">
        <f>AVERAGEIFS($D$2:D22, $B$2:B22, B22)</f>
        <v>0.5</v>
      </c>
    </row>
    <row r="23" spans="1:35" x14ac:dyDescent="0.25">
      <c r="A23" s="106">
        <v>46027</v>
      </c>
      <c r="B23" t="s">
        <v>14</v>
      </c>
      <c r="C23">
        <v>10</v>
      </c>
      <c r="D23">
        <v>0</v>
      </c>
      <c r="E23">
        <v>5</v>
      </c>
      <c r="F23">
        <v>2</v>
      </c>
      <c r="G23">
        <v>21</v>
      </c>
      <c r="H23">
        <v>11</v>
      </c>
      <c r="I23">
        <v>0.4</v>
      </c>
      <c r="J23">
        <v>0.52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1</v>
      </c>
      <c r="Z23">
        <v>0</v>
      </c>
      <c r="AA23">
        <v>1</v>
      </c>
      <c r="AB23">
        <v>0</v>
      </c>
      <c r="AC23">
        <v>0</v>
      </c>
      <c r="AD23">
        <v>0</v>
      </c>
      <c r="AE23">
        <v>0</v>
      </c>
      <c r="AF23" s="100">
        <f>AVERAGEIFS($C$2:C23, $B$2:B23, B23)</f>
        <v>17</v>
      </c>
      <c r="AG23" s="100">
        <f>AVERAGEIFS($I$2:I23, $B$2:B23, B23)</f>
        <v>0.5</v>
      </c>
      <c r="AH23" s="100">
        <f>AVERAGEIFS($I$2:J23, $B$2:C23, C23)</f>
        <v>0.52</v>
      </c>
      <c r="AI23" s="100">
        <f>AVERAGEIFS($D$2:D23, $B$2:B23, B23)</f>
        <v>0.5</v>
      </c>
    </row>
    <row r="24" spans="1:35" x14ac:dyDescent="0.25">
      <c r="A24" s="106">
        <v>46027</v>
      </c>
      <c r="B24" t="s">
        <v>46</v>
      </c>
      <c r="C24">
        <v>26</v>
      </c>
      <c r="D24">
        <v>0</v>
      </c>
      <c r="E24">
        <v>5</v>
      </c>
      <c r="F24">
        <v>2</v>
      </c>
      <c r="G24">
        <v>21</v>
      </c>
      <c r="H24">
        <v>11</v>
      </c>
      <c r="I24">
        <v>0.4</v>
      </c>
      <c r="J24">
        <v>0.52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1</v>
      </c>
      <c r="Z24">
        <v>0</v>
      </c>
      <c r="AA24">
        <v>1</v>
      </c>
      <c r="AB24">
        <v>0</v>
      </c>
      <c r="AC24">
        <v>0</v>
      </c>
      <c r="AD24">
        <v>0</v>
      </c>
      <c r="AE24">
        <v>0</v>
      </c>
      <c r="AF24" s="100">
        <f>AVERAGEIFS($C$2:C24, $B$2:B24, B24)</f>
        <v>21.5</v>
      </c>
      <c r="AG24" s="100">
        <f>AVERAGEIFS($I$2:I24, $B$2:B24, B24)</f>
        <v>0.4</v>
      </c>
      <c r="AH24" s="100">
        <f>AVERAGEIFS($I$2:J24, $B$2:C24, C24)</f>
        <v>0.52</v>
      </c>
      <c r="AI24" s="100">
        <f>AVERAGEIFS($D$2:D24, $B$2:B24, B24)</f>
        <v>0</v>
      </c>
    </row>
    <row r="25" spans="1:35" x14ac:dyDescent="0.25">
      <c r="A25" s="106">
        <v>46027</v>
      </c>
      <c r="B25" t="s">
        <v>27</v>
      </c>
      <c r="C25">
        <v>20</v>
      </c>
      <c r="D25">
        <v>0</v>
      </c>
      <c r="E25">
        <v>5</v>
      </c>
      <c r="F25">
        <v>2</v>
      </c>
      <c r="G25">
        <v>21</v>
      </c>
      <c r="H25">
        <v>11</v>
      </c>
      <c r="I25">
        <v>0.4</v>
      </c>
      <c r="J25">
        <v>0.52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1</v>
      </c>
      <c r="Z25">
        <v>0</v>
      </c>
      <c r="AA25">
        <v>1</v>
      </c>
      <c r="AB25">
        <v>0</v>
      </c>
      <c r="AC25">
        <v>0</v>
      </c>
      <c r="AD25">
        <v>0</v>
      </c>
      <c r="AE25">
        <v>0</v>
      </c>
      <c r="AF25" s="100">
        <f>AVERAGEIFS($C$2:C25, $B$2:B25, B25)</f>
        <v>14.5</v>
      </c>
      <c r="AG25" s="100">
        <f>AVERAGEIFS($I$2:I25, $B$2:B25, B25)</f>
        <v>0.4</v>
      </c>
      <c r="AH25" s="100">
        <f>AVERAGEIFS($I$2:J25, $B$2:C25, C25)</f>
        <v>0.52</v>
      </c>
      <c r="AI25" s="100">
        <f>AVERAGEIFS($D$2:D25, $B$2:B25, B25)</f>
        <v>0</v>
      </c>
    </row>
    <row r="26" spans="1:35" x14ac:dyDescent="0.25">
      <c r="A26" s="106">
        <v>46027</v>
      </c>
      <c r="B26" t="s">
        <v>35</v>
      </c>
      <c r="C26">
        <v>16</v>
      </c>
      <c r="D26">
        <v>0</v>
      </c>
      <c r="E26">
        <v>5</v>
      </c>
      <c r="F26">
        <v>2</v>
      </c>
      <c r="G26">
        <v>21</v>
      </c>
      <c r="H26">
        <v>11</v>
      </c>
      <c r="I26">
        <v>0.4</v>
      </c>
      <c r="J26">
        <v>0.52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1</v>
      </c>
      <c r="Z26">
        <v>0</v>
      </c>
      <c r="AA26">
        <v>1</v>
      </c>
      <c r="AB26">
        <v>0</v>
      </c>
      <c r="AC26">
        <v>0</v>
      </c>
      <c r="AD26">
        <v>0</v>
      </c>
      <c r="AE26">
        <v>0</v>
      </c>
      <c r="AF26" s="100">
        <f>AVERAGEIFS($C$2:C26, $B$2:B26, B26)</f>
        <v>11.5</v>
      </c>
      <c r="AG26" s="100">
        <f>AVERAGEIFS($I$2:I26, $B$2:B26, B26)</f>
        <v>0.5</v>
      </c>
      <c r="AH26" s="100">
        <f>AVERAGEIFS($I$2:J26, $B$2:C26, C26)</f>
        <v>0.59499999999999997</v>
      </c>
      <c r="AI26" s="100">
        <f>AVERAGEIFS($D$2:D26, $B$2:B26, B26)</f>
        <v>0.5</v>
      </c>
    </row>
    <row r="27" spans="1:35" x14ac:dyDescent="0.25">
      <c r="A27" s="106">
        <v>46027</v>
      </c>
      <c r="B27" t="s">
        <v>53</v>
      </c>
      <c r="C27">
        <v>17</v>
      </c>
      <c r="D27">
        <v>0</v>
      </c>
      <c r="E27">
        <v>5</v>
      </c>
      <c r="F27">
        <v>2</v>
      </c>
      <c r="G27">
        <v>21</v>
      </c>
      <c r="H27">
        <v>11</v>
      </c>
      <c r="I27">
        <v>0.4</v>
      </c>
      <c r="J27">
        <v>0.52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1</v>
      </c>
      <c r="Z27">
        <v>0</v>
      </c>
      <c r="AA27">
        <v>1</v>
      </c>
      <c r="AB27">
        <v>0</v>
      </c>
      <c r="AC27">
        <v>0</v>
      </c>
      <c r="AD27">
        <v>0</v>
      </c>
      <c r="AE27">
        <v>0</v>
      </c>
      <c r="AF27" s="100">
        <f>AVERAGEIFS($C$2:C27, $B$2:B27, B27)</f>
        <v>26.5</v>
      </c>
      <c r="AG27" s="100">
        <f>AVERAGEIFS($I$2:I27, $B$2:B27, B27)</f>
        <v>0.4</v>
      </c>
      <c r="AH27" s="100">
        <f>AVERAGEIFS($I$2:J27, $B$2:C27, C27)</f>
        <v>0.42500000000000004</v>
      </c>
      <c r="AI27" s="100">
        <f>AVERAGEIFS($D$2:D27, $B$2:B27, B27)</f>
        <v>0</v>
      </c>
    </row>
    <row r="28" spans="1:35" x14ac:dyDescent="0.25">
      <c r="A28" s="106">
        <v>46027</v>
      </c>
      <c r="B28" t="s">
        <v>17</v>
      </c>
      <c r="C28">
        <v>29</v>
      </c>
      <c r="D28">
        <v>0</v>
      </c>
      <c r="E28">
        <v>5</v>
      </c>
      <c r="F28">
        <v>2</v>
      </c>
      <c r="G28">
        <v>21</v>
      </c>
      <c r="H28">
        <v>11</v>
      </c>
      <c r="I28">
        <v>0.4</v>
      </c>
      <c r="J28">
        <v>0.52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1</v>
      </c>
      <c r="Z28">
        <v>0</v>
      </c>
      <c r="AA28">
        <v>1</v>
      </c>
      <c r="AB28">
        <v>0</v>
      </c>
      <c r="AC28">
        <v>0</v>
      </c>
      <c r="AD28">
        <v>0</v>
      </c>
      <c r="AE28">
        <v>0</v>
      </c>
      <c r="AF28" s="100">
        <f>AVERAGEIFS($C$2:C28, $B$2:B28, B28)</f>
        <v>28.5</v>
      </c>
      <c r="AG28" s="100">
        <f>AVERAGEIFS($I$2:I28, $B$2:B28, B28)</f>
        <v>0.4</v>
      </c>
      <c r="AH28" s="100">
        <f>AVERAGEIFS($I$2:J28, $B$2:C28, C28)</f>
        <v>0.52</v>
      </c>
      <c r="AI28" s="100">
        <f>AVERAGEIFS($D$2:D28, $B$2:B28, B28)</f>
        <v>0</v>
      </c>
    </row>
    <row r="29" spans="1:35" x14ac:dyDescent="0.25">
      <c r="A29" s="106">
        <v>46028</v>
      </c>
      <c r="B29" t="s">
        <v>54</v>
      </c>
      <c r="C29">
        <v>24</v>
      </c>
      <c r="D29">
        <v>1</v>
      </c>
      <c r="E29">
        <v>4</v>
      </c>
      <c r="F29">
        <v>3</v>
      </c>
      <c r="G29">
        <v>15</v>
      </c>
      <c r="H29">
        <v>9</v>
      </c>
      <c r="I29">
        <v>0.75</v>
      </c>
      <c r="J29">
        <v>0.6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1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1</v>
      </c>
      <c r="AB29">
        <v>1</v>
      </c>
      <c r="AC29">
        <v>0</v>
      </c>
      <c r="AD29">
        <v>0</v>
      </c>
      <c r="AE29">
        <v>0</v>
      </c>
      <c r="AF29" s="100">
        <f>AVERAGEIFS($C$2:C29, $B$2:B29, B29)</f>
        <v>28.666666666666668</v>
      </c>
      <c r="AG29" s="100">
        <f>AVERAGEIFS($I$2:I29, $B$2:B29, B29)</f>
        <v>0.58333333333333337</v>
      </c>
      <c r="AH29" s="100">
        <f>AVERAGEIFS($I$2:J29, $B$2:C29, C29)</f>
        <v>0.58333333333333337</v>
      </c>
      <c r="AI29" s="100">
        <f>AVERAGEIFS($D$2:D29, $B$2:B29, B29)</f>
        <v>0.66666666666666663</v>
      </c>
    </row>
    <row r="30" spans="1:35" x14ac:dyDescent="0.25">
      <c r="A30" s="106">
        <v>46028</v>
      </c>
      <c r="B30" t="s">
        <v>5</v>
      </c>
      <c r="C30">
        <v>23</v>
      </c>
      <c r="D30">
        <v>1</v>
      </c>
      <c r="E30">
        <v>4</v>
      </c>
      <c r="F30">
        <v>3</v>
      </c>
      <c r="G30">
        <v>15</v>
      </c>
      <c r="H30">
        <v>9</v>
      </c>
      <c r="I30">
        <v>0.75</v>
      </c>
      <c r="J30">
        <v>0.6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1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1</v>
      </c>
      <c r="AB30">
        <v>1</v>
      </c>
      <c r="AC30">
        <v>0</v>
      </c>
      <c r="AD30">
        <v>0</v>
      </c>
      <c r="AE30">
        <v>0</v>
      </c>
      <c r="AF30" s="100">
        <f>AVERAGEIFS($C$2:C30, $B$2:B30, B30)</f>
        <v>23</v>
      </c>
      <c r="AG30" s="100">
        <f>AVERAGEIFS($I$2:I30, $B$2:B30, B30)</f>
        <v>0.75</v>
      </c>
      <c r="AH30" s="100">
        <f>AVERAGEIFS($I$2:J30, $B$2:C30, C30)</f>
        <v>0.6</v>
      </c>
      <c r="AI30" s="100">
        <f>AVERAGEIFS($D$2:D30, $B$2:B30, B30)</f>
        <v>1</v>
      </c>
    </row>
    <row r="31" spans="1:35" x14ac:dyDescent="0.25">
      <c r="A31" s="106">
        <v>46028</v>
      </c>
      <c r="B31" t="s">
        <v>3</v>
      </c>
      <c r="C31">
        <v>21</v>
      </c>
      <c r="D31">
        <v>1</v>
      </c>
      <c r="E31">
        <v>4</v>
      </c>
      <c r="F31">
        <v>3</v>
      </c>
      <c r="G31">
        <v>15</v>
      </c>
      <c r="H31">
        <v>9</v>
      </c>
      <c r="I31">
        <v>0.75</v>
      </c>
      <c r="J31">
        <v>0.6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1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1</v>
      </c>
      <c r="AB31">
        <v>1</v>
      </c>
      <c r="AC31">
        <v>0</v>
      </c>
      <c r="AD31">
        <v>0</v>
      </c>
      <c r="AE31">
        <v>0</v>
      </c>
      <c r="AF31" s="100">
        <f>AVERAGEIFS($C$2:C31, $B$2:B31, B31)</f>
        <v>22.5</v>
      </c>
      <c r="AG31" s="100">
        <f>AVERAGEIFS($I$2:I31, $B$2:B31, B31)</f>
        <v>0.67500000000000004</v>
      </c>
      <c r="AH31" s="100">
        <f>AVERAGEIFS($I$2:J31, $B$2:C31, C31)</f>
        <v>0.6</v>
      </c>
      <c r="AI31" s="100">
        <f>AVERAGEIFS($D$2:D31, $B$2:B31, B31)</f>
        <v>1</v>
      </c>
    </row>
    <row r="32" spans="1:35" x14ac:dyDescent="0.25">
      <c r="A32" s="106">
        <v>46028</v>
      </c>
      <c r="B32" t="s">
        <v>6</v>
      </c>
      <c r="C32">
        <v>21</v>
      </c>
      <c r="D32">
        <v>1</v>
      </c>
      <c r="E32">
        <v>4</v>
      </c>
      <c r="F32">
        <v>3</v>
      </c>
      <c r="G32">
        <v>15</v>
      </c>
      <c r="H32">
        <v>9</v>
      </c>
      <c r="I32">
        <v>0.75</v>
      </c>
      <c r="J32">
        <v>0.6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1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1</v>
      </c>
      <c r="AB32">
        <v>1</v>
      </c>
      <c r="AC32">
        <v>0</v>
      </c>
      <c r="AD32">
        <v>0</v>
      </c>
      <c r="AE32">
        <v>0</v>
      </c>
      <c r="AF32" s="100">
        <f>AVERAGEIFS($C$2:C32, $B$2:B32, B32)</f>
        <v>18</v>
      </c>
      <c r="AG32" s="100">
        <f>AVERAGEIFS($I$2:I32, $B$2:B32, B32)</f>
        <v>0.67500000000000004</v>
      </c>
      <c r="AH32" s="100">
        <f>AVERAGEIFS($I$2:J32, $B$2:C32, C32)</f>
        <v>0.6</v>
      </c>
      <c r="AI32" s="100">
        <f>AVERAGEIFS($D$2:D32, $B$2:B32, B32)</f>
        <v>1</v>
      </c>
    </row>
    <row r="33" spans="1:35" x14ac:dyDescent="0.25">
      <c r="A33" s="106">
        <v>46028</v>
      </c>
      <c r="B33" t="s">
        <v>35</v>
      </c>
      <c r="C33">
        <v>14</v>
      </c>
      <c r="D33">
        <v>1</v>
      </c>
      <c r="E33">
        <v>4</v>
      </c>
      <c r="F33">
        <v>3</v>
      </c>
      <c r="G33">
        <v>15</v>
      </c>
      <c r="H33">
        <v>9</v>
      </c>
      <c r="I33">
        <v>0.75</v>
      </c>
      <c r="J33">
        <v>0.6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1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1</v>
      </c>
      <c r="AB33">
        <v>1</v>
      </c>
      <c r="AC33">
        <v>0</v>
      </c>
      <c r="AD33">
        <v>0</v>
      </c>
      <c r="AE33">
        <v>0</v>
      </c>
      <c r="AF33" s="100">
        <f>AVERAGEIFS($C$2:C33, $B$2:B33, B33)</f>
        <v>12.333333333333334</v>
      </c>
      <c r="AG33" s="100">
        <f>AVERAGEIFS($I$2:I33, $B$2:B33, B33)</f>
        <v>0.58333333333333337</v>
      </c>
      <c r="AH33" s="100">
        <f>AVERAGEIFS($I$2:J33, $B$2:C33, C33)</f>
        <v>0.6</v>
      </c>
      <c r="AI33" s="100">
        <f>AVERAGEIFS($D$2:D33, $B$2:B33, B33)</f>
        <v>0.66666666666666663</v>
      </c>
    </row>
    <row r="34" spans="1:35" x14ac:dyDescent="0.25">
      <c r="A34" s="106">
        <v>46028</v>
      </c>
      <c r="B34" t="s">
        <v>45</v>
      </c>
      <c r="C34">
        <v>11</v>
      </c>
      <c r="D34">
        <v>1</v>
      </c>
      <c r="E34">
        <v>4</v>
      </c>
      <c r="F34">
        <v>3</v>
      </c>
      <c r="G34">
        <v>15</v>
      </c>
      <c r="H34">
        <v>9</v>
      </c>
      <c r="I34">
        <v>0.75</v>
      </c>
      <c r="J34">
        <v>0.6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1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1</v>
      </c>
      <c r="AB34">
        <v>1</v>
      </c>
      <c r="AC34">
        <v>0</v>
      </c>
      <c r="AD34">
        <v>0</v>
      </c>
      <c r="AE34">
        <v>0</v>
      </c>
      <c r="AF34" s="100">
        <f>AVERAGEIFS($C$2:C34, $B$2:B34, B34)</f>
        <v>11</v>
      </c>
      <c r="AG34" s="100">
        <f>AVERAGEIFS($I$2:I34, $B$2:B34, B34)</f>
        <v>0.75</v>
      </c>
      <c r="AH34" s="100">
        <f>AVERAGEIFS($I$2:J34, $B$2:C34, C34)</f>
        <v>0.63500000000000001</v>
      </c>
      <c r="AI34" s="100">
        <f>AVERAGEIFS($D$2:D34, $B$2:B34, B34)</f>
        <v>1</v>
      </c>
    </row>
    <row r="35" spans="1:35" x14ac:dyDescent="0.25">
      <c r="A35" s="106">
        <v>46028</v>
      </c>
      <c r="B35" t="s">
        <v>14</v>
      </c>
      <c r="C35">
        <v>27</v>
      </c>
      <c r="D35">
        <v>0</v>
      </c>
      <c r="E35">
        <v>4</v>
      </c>
      <c r="F35">
        <v>1</v>
      </c>
      <c r="G35">
        <v>15</v>
      </c>
      <c r="H35">
        <v>6</v>
      </c>
      <c r="I35">
        <v>0.25</v>
      </c>
      <c r="J35">
        <v>0.4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1</v>
      </c>
      <c r="Z35">
        <v>0</v>
      </c>
      <c r="AA35">
        <v>0</v>
      </c>
      <c r="AB35">
        <v>0</v>
      </c>
      <c r="AC35">
        <v>0</v>
      </c>
      <c r="AD35">
        <v>0</v>
      </c>
      <c r="AE35">
        <v>0</v>
      </c>
      <c r="AF35" s="100">
        <f>AVERAGEIFS($C$2:C35, $B$2:B35, B35)</f>
        <v>20.333333333333332</v>
      </c>
      <c r="AG35" s="100">
        <f>AVERAGEIFS($I$2:I35, $B$2:B35, B35)</f>
        <v>0.41666666666666669</v>
      </c>
      <c r="AH35" s="100">
        <f>AVERAGEIFS($I$2:J35, $B$2:C35, C35)</f>
        <v>0.4</v>
      </c>
      <c r="AI35" s="100">
        <f>AVERAGEIFS($D$2:D35, $B$2:B35, B35)</f>
        <v>0.33333333333333331</v>
      </c>
    </row>
    <row r="36" spans="1:35" x14ac:dyDescent="0.25">
      <c r="A36" s="106">
        <v>46028</v>
      </c>
      <c r="B36" t="s">
        <v>50</v>
      </c>
      <c r="C36">
        <v>21</v>
      </c>
      <c r="D36">
        <v>0</v>
      </c>
      <c r="E36">
        <v>4</v>
      </c>
      <c r="F36">
        <v>1</v>
      </c>
      <c r="G36">
        <v>15</v>
      </c>
      <c r="H36">
        <v>6</v>
      </c>
      <c r="I36">
        <v>0.25</v>
      </c>
      <c r="J36">
        <v>0.4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1</v>
      </c>
      <c r="Z36">
        <v>0</v>
      </c>
      <c r="AA36">
        <v>0</v>
      </c>
      <c r="AB36">
        <v>0</v>
      </c>
      <c r="AC36">
        <v>0</v>
      </c>
      <c r="AD36">
        <v>0</v>
      </c>
      <c r="AE36">
        <v>0</v>
      </c>
      <c r="AF36" s="100">
        <f>AVERAGEIFS($C$2:C36, $B$2:B36, B36)</f>
        <v>25.333333333333332</v>
      </c>
      <c r="AG36" s="100">
        <f>AVERAGEIFS($I$2:I36, $B$2:B36, B36)</f>
        <v>0.48333333333333334</v>
      </c>
      <c r="AH36" s="100">
        <f>AVERAGEIFS($I$2:J36, $B$2:C36, C36)</f>
        <v>0.53333333333333333</v>
      </c>
      <c r="AI36" s="100">
        <f>AVERAGEIFS($D$2:D36, $B$2:B36, B36)</f>
        <v>0.66666666666666663</v>
      </c>
    </row>
    <row r="37" spans="1:35" x14ac:dyDescent="0.25">
      <c r="A37" s="106">
        <v>46028</v>
      </c>
      <c r="B37" t="s">
        <v>46</v>
      </c>
      <c r="C37">
        <v>19</v>
      </c>
      <c r="D37">
        <v>0</v>
      </c>
      <c r="E37">
        <v>4</v>
      </c>
      <c r="F37">
        <v>1</v>
      </c>
      <c r="G37">
        <v>15</v>
      </c>
      <c r="H37">
        <v>6</v>
      </c>
      <c r="I37">
        <v>0.25</v>
      </c>
      <c r="J37">
        <v>0.4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1</v>
      </c>
      <c r="Z37">
        <v>0</v>
      </c>
      <c r="AA37">
        <v>0</v>
      </c>
      <c r="AB37">
        <v>0</v>
      </c>
      <c r="AC37">
        <v>0</v>
      </c>
      <c r="AD37">
        <v>0</v>
      </c>
      <c r="AE37">
        <v>0</v>
      </c>
      <c r="AF37" s="100">
        <f>AVERAGEIFS($C$2:C37, $B$2:B37, B37)</f>
        <v>20.666666666666668</v>
      </c>
      <c r="AG37" s="100">
        <f>AVERAGEIFS($I$2:I37, $B$2:B37, B37)</f>
        <v>0.35000000000000003</v>
      </c>
      <c r="AH37" s="100">
        <f>AVERAGEIFS($I$2:J37, $B$2:C37, C37)</f>
        <v>0.4</v>
      </c>
      <c r="AI37" s="100">
        <f>AVERAGEIFS($D$2:D37, $B$2:B37, B37)</f>
        <v>0</v>
      </c>
    </row>
    <row r="38" spans="1:35" x14ac:dyDescent="0.25">
      <c r="A38" s="106">
        <v>46028</v>
      </c>
      <c r="B38" t="s">
        <v>28</v>
      </c>
      <c r="C38">
        <v>11</v>
      </c>
      <c r="D38">
        <v>0</v>
      </c>
      <c r="E38">
        <v>4</v>
      </c>
      <c r="F38">
        <v>1</v>
      </c>
      <c r="G38">
        <v>15</v>
      </c>
      <c r="H38">
        <v>6</v>
      </c>
      <c r="I38">
        <v>0.25</v>
      </c>
      <c r="J38">
        <v>0.4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1</v>
      </c>
      <c r="Z38">
        <v>0</v>
      </c>
      <c r="AA38">
        <v>0</v>
      </c>
      <c r="AB38">
        <v>0</v>
      </c>
      <c r="AC38">
        <v>0</v>
      </c>
      <c r="AD38">
        <v>0</v>
      </c>
      <c r="AE38">
        <v>0</v>
      </c>
      <c r="AF38" s="100">
        <f>AVERAGEIFS($C$2:C38, $B$2:B38, B38)</f>
        <v>13.5</v>
      </c>
      <c r="AG38" s="100">
        <f>AVERAGEIFS($I$2:I38, $B$2:B38, B38)</f>
        <v>0.42499999999999999</v>
      </c>
      <c r="AH38" s="100">
        <f>AVERAGEIFS($I$2:J38, $B$2:C38, C38)</f>
        <v>0.55666666666666664</v>
      </c>
      <c r="AI38" s="100">
        <f>AVERAGEIFS($D$2:D38, $B$2:B38, B38)</f>
        <v>0.5</v>
      </c>
    </row>
    <row r="39" spans="1:35" x14ac:dyDescent="0.25">
      <c r="A39" s="106">
        <v>46028</v>
      </c>
      <c r="B39" t="s">
        <v>74</v>
      </c>
      <c r="C39">
        <v>9</v>
      </c>
      <c r="D39">
        <v>0</v>
      </c>
      <c r="E39">
        <v>4</v>
      </c>
      <c r="F39">
        <v>1</v>
      </c>
      <c r="G39">
        <v>15</v>
      </c>
      <c r="H39">
        <v>6</v>
      </c>
      <c r="I39">
        <v>0.25</v>
      </c>
      <c r="J39">
        <v>0.4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1</v>
      </c>
      <c r="Z39">
        <v>0</v>
      </c>
      <c r="AA39">
        <v>0</v>
      </c>
      <c r="AB39">
        <v>0</v>
      </c>
      <c r="AC39">
        <v>0</v>
      </c>
      <c r="AD39">
        <v>0</v>
      </c>
      <c r="AE39">
        <v>0</v>
      </c>
      <c r="AF39" s="100">
        <f>AVERAGEIFS($C$2:C39, $B$2:B39, B39)</f>
        <v>9</v>
      </c>
      <c r="AG39" s="100">
        <f>AVERAGEIFS($I$2:I39, $B$2:B39, B39)</f>
        <v>0.25</v>
      </c>
      <c r="AH39" s="100">
        <f>AVERAGEIFS($I$2:J39, $B$2:C39, C39)</f>
        <v>0.36499999999999999</v>
      </c>
      <c r="AI39" s="100">
        <f>AVERAGEIFS($D$2:D39, $B$2:B39, B39)</f>
        <v>0</v>
      </c>
    </row>
    <row r="40" spans="1:35" ht="14.25" customHeight="1" x14ac:dyDescent="0.25">
      <c r="A40" s="106">
        <v>46028</v>
      </c>
      <c r="B40" t="s">
        <v>17</v>
      </c>
      <c r="C40">
        <v>12</v>
      </c>
      <c r="D40">
        <v>0</v>
      </c>
      <c r="E40">
        <v>4</v>
      </c>
      <c r="F40">
        <v>1</v>
      </c>
      <c r="G40">
        <v>15</v>
      </c>
      <c r="H40">
        <v>6</v>
      </c>
      <c r="I40">
        <v>0.25</v>
      </c>
      <c r="J40">
        <v>0.4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1</v>
      </c>
      <c r="Z40">
        <v>0</v>
      </c>
      <c r="AA40">
        <v>0</v>
      </c>
      <c r="AB40">
        <v>0</v>
      </c>
      <c r="AC40">
        <v>0</v>
      </c>
      <c r="AD40">
        <v>0</v>
      </c>
      <c r="AE40">
        <v>0</v>
      </c>
      <c r="AF40" s="100">
        <f>AVERAGEIFS($C$2:C40, $B$2:B40, B40)</f>
        <v>23</v>
      </c>
      <c r="AG40" s="100">
        <f>AVERAGEIFS($I$2:I40, $B$2:B40, B40)</f>
        <v>0.35000000000000003</v>
      </c>
      <c r="AH40" s="100">
        <f>AVERAGEIFS($I$2:J40, $B$2:C40, C40)</f>
        <v>0.36499999999999999</v>
      </c>
      <c r="AI40" s="100">
        <f>AVERAGEIFS($D$2:D40, $B$2:B40, B40)</f>
        <v>0</v>
      </c>
    </row>
    <row r="41" spans="1:35" x14ac:dyDescent="0.25">
      <c r="A41" s="106">
        <v>46034</v>
      </c>
      <c r="B41" t="s">
        <v>18</v>
      </c>
      <c r="C41">
        <v>24</v>
      </c>
      <c r="D41">
        <v>1</v>
      </c>
      <c r="E41">
        <v>3</v>
      </c>
      <c r="F41">
        <v>3</v>
      </c>
      <c r="G41">
        <v>13</v>
      </c>
      <c r="H41">
        <v>9</v>
      </c>
      <c r="I41">
        <v>1</v>
      </c>
      <c r="J41">
        <v>0.69</v>
      </c>
      <c r="K41">
        <v>0</v>
      </c>
      <c r="L41">
        <v>1</v>
      </c>
      <c r="M41">
        <v>0</v>
      </c>
      <c r="N41">
        <v>1</v>
      </c>
      <c r="O41">
        <v>0</v>
      </c>
      <c r="P41">
        <v>0</v>
      </c>
      <c r="Q41">
        <v>0</v>
      </c>
      <c r="R41">
        <v>0</v>
      </c>
      <c r="S41">
        <v>0</v>
      </c>
      <c r="T41">
        <v>0</v>
      </c>
      <c r="U41">
        <v>0</v>
      </c>
      <c r="V41">
        <v>0</v>
      </c>
      <c r="W41">
        <v>0</v>
      </c>
      <c r="X41">
        <v>0</v>
      </c>
      <c r="Y41">
        <v>0</v>
      </c>
      <c r="Z41">
        <v>0</v>
      </c>
      <c r="AA41">
        <v>0</v>
      </c>
      <c r="AB41">
        <v>0</v>
      </c>
      <c r="AC41">
        <v>1</v>
      </c>
      <c r="AD41">
        <v>0</v>
      </c>
      <c r="AE41">
        <v>0</v>
      </c>
      <c r="AF41" s="100">
        <f>AVERAGEIFS($C$2:C41, $B$2:B41, B41)</f>
        <v>24</v>
      </c>
      <c r="AG41" s="100">
        <f>AVERAGEIFS($I$2:I41, $B$2:B41, B41)</f>
        <v>1</v>
      </c>
      <c r="AH41" s="100">
        <f>AVERAGEIFS($I$2:J41, $B$2:C41, C41)</f>
        <v>0.61</v>
      </c>
      <c r="AI41" s="100">
        <f>AVERAGEIFS($D$2:D41, $B$2:B41, B41)</f>
        <v>1</v>
      </c>
    </row>
    <row r="42" spans="1:35" x14ac:dyDescent="0.25">
      <c r="A42" s="106">
        <v>46034</v>
      </c>
      <c r="B42" t="s">
        <v>5</v>
      </c>
      <c r="C42">
        <v>23</v>
      </c>
      <c r="D42">
        <v>1</v>
      </c>
      <c r="E42">
        <v>3</v>
      </c>
      <c r="F42">
        <v>3</v>
      </c>
      <c r="G42">
        <v>13</v>
      </c>
      <c r="H42">
        <v>9</v>
      </c>
      <c r="I42">
        <v>1</v>
      </c>
      <c r="J42">
        <v>0.69</v>
      </c>
      <c r="K42">
        <v>0</v>
      </c>
      <c r="L42">
        <v>1</v>
      </c>
      <c r="M42">
        <v>0</v>
      </c>
      <c r="N42">
        <v>1</v>
      </c>
      <c r="O42">
        <v>0</v>
      </c>
      <c r="P42">
        <v>0</v>
      </c>
      <c r="Q42">
        <v>0</v>
      </c>
      <c r="R42">
        <v>0</v>
      </c>
      <c r="S42">
        <v>0</v>
      </c>
      <c r="T42">
        <v>0</v>
      </c>
      <c r="U42">
        <v>0</v>
      </c>
      <c r="V42">
        <v>0</v>
      </c>
      <c r="W42">
        <v>0</v>
      </c>
      <c r="X42">
        <v>0</v>
      </c>
      <c r="Y42">
        <v>0</v>
      </c>
      <c r="Z42">
        <v>0</v>
      </c>
      <c r="AA42">
        <v>0</v>
      </c>
      <c r="AB42">
        <v>0</v>
      </c>
      <c r="AC42">
        <v>1</v>
      </c>
      <c r="AD42">
        <v>0</v>
      </c>
      <c r="AE42">
        <v>0</v>
      </c>
      <c r="AF42" s="100">
        <f>AVERAGEIFS($C$2:C42, $B$2:B42, B42)</f>
        <v>23</v>
      </c>
      <c r="AG42" s="100">
        <f>AVERAGEIFS($I$2:I42, $B$2:B42, B42)</f>
        <v>0.875</v>
      </c>
      <c r="AH42" s="100">
        <f>AVERAGEIFS($I$2:J42, $B$2:C42, C42)</f>
        <v>0.64500000000000002</v>
      </c>
      <c r="AI42" s="100">
        <f>AVERAGEIFS($D$2:D42, $B$2:B42, B42)</f>
        <v>1</v>
      </c>
    </row>
    <row r="43" spans="1:35" x14ac:dyDescent="0.25">
      <c r="A43" s="106">
        <v>46034</v>
      </c>
      <c r="B43" t="s">
        <v>53</v>
      </c>
      <c r="C43">
        <v>18</v>
      </c>
      <c r="D43">
        <v>1</v>
      </c>
      <c r="E43">
        <v>3</v>
      </c>
      <c r="F43">
        <v>3</v>
      </c>
      <c r="G43">
        <v>13</v>
      </c>
      <c r="H43">
        <v>9</v>
      </c>
      <c r="I43">
        <v>1</v>
      </c>
      <c r="J43">
        <v>0.69</v>
      </c>
      <c r="K43">
        <v>0</v>
      </c>
      <c r="L43">
        <v>1</v>
      </c>
      <c r="M43">
        <v>0</v>
      </c>
      <c r="N43">
        <v>1</v>
      </c>
      <c r="O43">
        <v>0</v>
      </c>
      <c r="P43">
        <v>0</v>
      </c>
      <c r="Q43">
        <v>0</v>
      </c>
      <c r="R43">
        <v>0</v>
      </c>
      <c r="S43">
        <v>0</v>
      </c>
      <c r="T43">
        <v>0</v>
      </c>
      <c r="U43">
        <v>0</v>
      </c>
      <c r="V43">
        <v>0</v>
      </c>
      <c r="W43">
        <v>0</v>
      </c>
      <c r="X43">
        <v>0</v>
      </c>
      <c r="Y43">
        <v>0</v>
      </c>
      <c r="Z43">
        <v>0</v>
      </c>
      <c r="AA43">
        <v>0</v>
      </c>
      <c r="AB43">
        <v>0</v>
      </c>
      <c r="AC43">
        <v>1</v>
      </c>
      <c r="AD43">
        <v>0</v>
      </c>
      <c r="AE43">
        <v>0</v>
      </c>
      <c r="AF43" s="100">
        <f>AVERAGEIFS($C$2:C43, $B$2:B43, B43)</f>
        <v>23.666666666666668</v>
      </c>
      <c r="AG43" s="100">
        <f>AVERAGEIFS($I$2:I43, $B$2:B43, B43)</f>
        <v>0.6</v>
      </c>
      <c r="AH43" s="100">
        <f>AVERAGEIFS($I$2:J43, $B$2:C43, C43)</f>
        <v>0.69</v>
      </c>
      <c r="AI43" s="100">
        <f>AVERAGEIFS($D$2:D43, $B$2:B43, B43)</f>
        <v>0.33333333333333331</v>
      </c>
    </row>
    <row r="44" spans="1:35" x14ac:dyDescent="0.25">
      <c r="A44" s="106">
        <v>46034</v>
      </c>
      <c r="B44" t="s">
        <v>50</v>
      </c>
      <c r="C44">
        <v>16</v>
      </c>
      <c r="D44">
        <v>1</v>
      </c>
      <c r="E44">
        <v>3</v>
      </c>
      <c r="F44">
        <v>3</v>
      </c>
      <c r="G44">
        <v>13</v>
      </c>
      <c r="H44">
        <v>9</v>
      </c>
      <c r="I44">
        <v>1</v>
      </c>
      <c r="J44">
        <v>0.69</v>
      </c>
      <c r="K44">
        <v>0</v>
      </c>
      <c r="L44">
        <v>1</v>
      </c>
      <c r="M44">
        <v>0</v>
      </c>
      <c r="N44">
        <v>1</v>
      </c>
      <c r="O44">
        <v>0</v>
      </c>
      <c r="P44">
        <v>0</v>
      </c>
      <c r="Q44">
        <v>0</v>
      </c>
      <c r="R44">
        <v>0</v>
      </c>
      <c r="S44">
        <v>0</v>
      </c>
      <c r="T44">
        <v>0</v>
      </c>
      <c r="U44">
        <v>0</v>
      </c>
      <c r="V44">
        <v>0</v>
      </c>
      <c r="W44">
        <v>0</v>
      </c>
      <c r="X44">
        <v>0</v>
      </c>
      <c r="Y44">
        <v>0</v>
      </c>
      <c r="Z44">
        <v>0</v>
      </c>
      <c r="AA44">
        <v>0</v>
      </c>
      <c r="AB44">
        <v>0</v>
      </c>
      <c r="AC44">
        <v>1</v>
      </c>
      <c r="AD44">
        <v>0</v>
      </c>
      <c r="AE44">
        <v>0</v>
      </c>
      <c r="AF44" s="100">
        <f>AVERAGEIFS($C$2:C44, $B$2:B44, B44)</f>
        <v>23</v>
      </c>
      <c r="AG44" s="100">
        <f>AVERAGEIFS($I$2:I44, $B$2:B44, B44)</f>
        <v>0.61250000000000004</v>
      </c>
      <c r="AH44" s="100">
        <f>AVERAGEIFS($I$2:J44, $B$2:C44, C44)</f>
        <v>0.62666666666666659</v>
      </c>
      <c r="AI44" s="100">
        <f>AVERAGEIFS($D$2:D44, $B$2:B44, B44)</f>
        <v>0.75</v>
      </c>
    </row>
    <row r="45" spans="1:35" x14ac:dyDescent="0.25">
      <c r="A45" s="106">
        <v>46034</v>
      </c>
      <c r="B45" t="s">
        <v>70</v>
      </c>
      <c r="C45">
        <v>12</v>
      </c>
      <c r="D45">
        <v>1</v>
      </c>
      <c r="E45">
        <v>3</v>
      </c>
      <c r="F45">
        <v>3</v>
      </c>
      <c r="G45">
        <v>13</v>
      </c>
      <c r="H45">
        <v>9</v>
      </c>
      <c r="I45">
        <v>1</v>
      </c>
      <c r="J45">
        <v>0.69</v>
      </c>
      <c r="K45">
        <v>0</v>
      </c>
      <c r="L45">
        <v>1</v>
      </c>
      <c r="M45">
        <v>0</v>
      </c>
      <c r="N45">
        <v>1</v>
      </c>
      <c r="O45">
        <v>0</v>
      </c>
      <c r="P45">
        <v>0</v>
      </c>
      <c r="Q45">
        <v>0</v>
      </c>
      <c r="R45">
        <v>0</v>
      </c>
      <c r="S45">
        <v>0</v>
      </c>
      <c r="T45">
        <v>0</v>
      </c>
      <c r="U45">
        <v>0</v>
      </c>
      <c r="V45">
        <v>0</v>
      </c>
      <c r="W45">
        <v>0</v>
      </c>
      <c r="X45">
        <v>0</v>
      </c>
      <c r="Y45">
        <v>0</v>
      </c>
      <c r="Z45">
        <v>0</v>
      </c>
      <c r="AA45">
        <v>0</v>
      </c>
      <c r="AB45">
        <v>0</v>
      </c>
      <c r="AC45">
        <v>1</v>
      </c>
      <c r="AD45">
        <v>0</v>
      </c>
      <c r="AE45">
        <v>0</v>
      </c>
      <c r="AF45" s="100">
        <f>AVERAGEIFS($C$2:C45, $B$2:B45, B45)</f>
        <v>12.5</v>
      </c>
      <c r="AG45" s="100">
        <f>AVERAGEIFS($I$2:I45, $B$2:B45, B45)</f>
        <v>0.8</v>
      </c>
      <c r="AH45" s="100">
        <f>AVERAGEIFS($I$2:J45, $B$2:C45, C45)</f>
        <v>0.47333333333333333</v>
      </c>
      <c r="AI45" s="100">
        <f>AVERAGEIFS($D$2:D45, $B$2:B45, B45)</f>
        <v>1</v>
      </c>
    </row>
    <row r="46" spans="1:35" x14ac:dyDescent="0.25">
      <c r="A46" s="106">
        <v>46034</v>
      </c>
      <c r="B46" t="s">
        <v>19</v>
      </c>
      <c r="C46">
        <v>8</v>
      </c>
      <c r="D46">
        <v>1</v>
      </c>
      <c r="E46">
        <v>3</v>
      </c>
      <c r="F46">
        <v>3</v>
      </c>
      <c r="G46">
        <v>13</v>
      </c>
      <c r="H46">
        <v>9</v>
      </c>
      <c r="I46">
        <v>1</v>
      </c>
      <c r="J46">
        <v>0.69</v>
      </c>
      <c r="K46">
        <v>0</v>
      </c>
      <c r="L46">
        <v>1</v>
      </c>
      <c r="M46">
        <v>0</v>
      </c>
      <c r="N46">
        <v>1</v>
      </c>
      <c r="O46">
        <v>0</v>
      </c>
      <c r="P46">
        <v>0</v>
      </c>
      <c r="Q46">
        <v>0</v>
      </c>
      <c r="R46">
        <v>0</v>
      </c>
      <c r="S46">
        <v>0</v>
      </c>
      <c r="T46">
        <v>0</v>
      </c>
      <c r="U46">
        <v>0</v>
      </c>
      <c r="V46">
        <v>0</v>
      </c>
      <c r="W46">
        <v>0</v>
      </c>
      <c r="X46">
        <v>0</v>
      </c>
      <c r="Y46">
        <v>0</v>
      </c>
      <c r="Z46">
        <v>0</v>
      </c>
      <c r="AA46">
        <v>0</v>
      </c>
      <c r="AB46">
        <v>0</v>
      </c>
      <c r="AC46">
        <v>1</v>
      </c>
      <c r="AD46">
        <v>0</v>
      </c>
      <c r="AE46">
        <v>0</v>
      </c>
      <c r="AF46" s="100">
        <f>AVERAGEIFS($C$2:C46, $B$2:B46, B46)</f>
        <v>9</v>
      </c>
      <c r="AG46" s="100">
        <f>AVERAGEIFS($I$2:I46, $B$2:B46, B46)</f>
        <v>0.73333333333333339</v>
      </c>
      <c r="AH46" s="100">
        <f>AVERAGEIFS($I$2:J46, $B$2:C46, C46)</f>
        <v>0.58499999999999996</v>
      </c>
      <c r="AI46" s="100">
        <f>AVERAGEIFS($D$2:D46, $B$2:B46, B46)</f>
        <v>1</v>
      </c>
    </row>
    <row r="47" spans="1:35" x14ac:dyDescent="0.25">
      <c r="A47" s="106">
        <v>46034</v>
      </c>
      <c r="B47" t="s">
        <v>54</v>
      </c>
      <c r="C47">
        <v>25</v>
      </c>
      <c r="D47">
        <v>0</v>
      </c>
      <c r="E47">
        <v>3</v>
      </c>
      <c r="F47">
        <v>0</v>
      </c>
      <c r="G47">
        <v>13</v>
      </c>
      <c r="H47">
        <v>4</v>
      </c>
      <c r="I47">
        <v>0</v>
      </c>
      <c r="J47">
        <v>0.31</v>
      </c>
      <c r="K47">
        <v>0</v>
      </c>
      <c r="L47">
        <v>0</v>
      </c>
      <c r="M47">
        <v>0</v>
      </c>
      <c r="N47">
        <v>0</v>
      </c>
      <c r="O47">
        <v>0</v>
      </c>
      <c r="P47">
        <v>0</v>
      </c>
      <c r="Q47">
        <v>0</v>
      </c>
      <c r="R47">
        <v>0</v>
      </c>
      <c r="S47">
        <v>0</v>
      </c>
      <c r="T47">
        <v>0</v>
      </c>
      <c r="U47">
        <v>0</v>
      </c>
      <c r="V47">
        <v>0</v>
      </c>
      <c r="W47">
        <v>0</v>
      </c>
      <c r="X47">
        <v>0</v>
      </c>
      <c r="Y47">
        <v>0</v>
      </c>
      <c r="Z47">
        <v>0</v>
      </c>
      <c r="AA47">
        <v>0</v>
      </c>
      <c r="AB47">
        <v>0</v>
      </c>
      <c r="AC47">
        <v>0</v>
      </c>
      <c r="AD47">
        <v>0</v>
      </c>
      <c r="AE47">
        <v>0</v>
      </c>
      <c r="AF47" s="100">
        <f>AVERAGEIFS($C$2:C47, $B$2:B47, B47)</f>
        <v>27.75</v>
      </c>
      <c r="AG47" s="100">
        <f>AVERAGEIFS($I$2:I47, $B$2:B47, B47)</f>
        <v>0.4375</v>
      </c>
      <c r="AH47" s="100">
        <f>AVERAGEIFS($I$2:J47, $B$2:C47, C47)</f>
        <v>0.55000000000000004</v>
      </c>
      <c r="AI47" s="100">
        <f>AVERAGEIFS($D$2:D47, $B$2:B47, B47)</f>
        <v>0.5</v>
      </c>
    </row>
    <row r="48" spans="1:35" x14ac:dyDescent="0.25">
      <c r="A48" s="106">
        <v>46034</v>
      </c>
      <c r="B48" t="s">
        <v>17</v>
      </c>
      <c r="C48">
        <v>19</v>
      </c>
      <c r="D48">
        <v>0</v>
      </c>
      <c r="E48">
        <v>3</v>
      </c>
      <c r="F48">
        <v>0</v>
      </c>
      <c r="G48">
        <v>13</v>
      </c>
      <c r="H48">
        <v>4</v>
      </c>
      <c r="I48">
        <v>0</v>
      </c>
      <c r="J48">
        <v>0.31</v>
      </c>
      <c r="K48">
        <v>0</v>
      </c>
      <c r="L48">
        <v>0</v>
      </c>
      <c r="M48">
        <v>0</v>
      </c>
      <c r="N48">
        <v>0</v>
      </c>
      <c r="O48">
        <v>0</v>
      </c>
      <c r="P48">
        <v>0</v>
      </c>
      <c r="Q48">
        <v>0</v>
      </c>
      <c r="R48">
        <v>0</v>
      </c>
      <c r="S48">
        <v>0</v>
      </c>
      <c r="T48">
        <v>0</v>
      </c>
      <c r="U48">
        <v>0</v>
      </c>
      <c r="V48">
        <v>0</v>
      </c>
      <c r="W48">
        <v>0</v>
      </c>
      <c r="X48">
        <v>0</v>
      </c>
      <c r="Y48">
        <v>0</v>
      </c>
      <c r="Z48">
        <v>0</v>
      </c>
      <c r="AA48">
        <v>0</v>
      </c>
      <c r="AB48">
        <v>0</v>
      </c>
      <c r="AC48">
        <v>0</v>
      </c>
      <c r="AD48">
        <v>0</v>
      </c>
      <c r="AE48">
        <v>0</v>
      </c>
      <c r="AF48" s="100">
        <f>AVERAGEIFS($C$2:C48, $B$2:B48, B48)</f>
        <v>22</v>
      </c>
      <c r="AG48" s="100">
        <f>AVERAGEIFS($I$2:I48, $B$2:B48, B48)</f>
        <v>0.26250000000000001</v>
      </c>
      <c r="AH48" s="100">
        <f>AVERAGEIFS($I$2:J48, $B$2:C48, C48)</f>
        <v>0.35499999999999998</v>
      </c>
      <c r="AI48" s="100">
        <f>AVERAGEIFS($D$2:D48, $B$2:B48, B48)</f>
        <v>0</v>
      </c>
    </row>
    <row r="49" spans="1:35" x14ac:dyDescent="0.25">
      <c r="A49" s="106">
        <v>46034</v>
      </c>
      <c r="B49" t="s">
        <v>6</v>
      </c>
      <c r="C49">
        <v>17</v>
      </c>
      <c r="D49">
        <v>0</v>
      </c>
      <c r="E49">
        <v>3</v>
      </c>
      <c r="F49">
        <v>0</v>
      </c>
      <c r="G49">
        <v>13</v>
      </c>
      <c r="H49">
        <v>4</v>
      </c>
      <c r="I49">
        <v>0</v>
      </c>
      <c r="J49">
        <v>0.31</v>
      </c>
      <c r="K49">
        <v>0</v>
      </c>
      <c r="L49">
        <v>0</v>
      </c>
      <c r="M49">
        <v>0</v>
      </c>
      <c r="N49">
        <v>0</v>
      </c>
      <c r="O49">
        <v>0</v>
      </c>
      <c r="P49">
        <v>0</v>
      </c>
      <c r="Q49">
        <v>0</v>
      </c>
      <c r="R49">
        <v>0</v>
      </c>
      <c r="S49">
        <v>0</v>
      </c>
      <c r="T49">
        <v>0</v>
      </c>
      <c r="U49">
        <v>0</v>
      </c>
      <c r="V49">
        <v>0</v>
      </c>
      <c r="W49">
        <v>0</v>
      </c>
      <c r="X49">
        <v>0</v>
      </c>
      <c r="Y49">
        <v>0</v>
      </c>
      <c r="Z49">
        <v>0</v>
      </c>
      <c r="AA49">
        <v>0</v>
      </c>
      <c r="AB49">
        <v>0</v>
      </c>
      <c r="AC49">
        <v>0</v>
      </c>
      <c r="AD49">
        <v>0</v>
      </c>
      <c r="AE49">
        <v>0</v>
      </c>
      <c r="AF49" s="100">
        <f>AVERAGEIFS($C$2:C49, $B$2:B49, B49)</f>
        <v>17.666666666666668</v>
      </c>
      <c r="AG49" s="100">
        <f>AVERAGEIFS($I$2:I49, $B$2:B49, B49)</f>
        <v>0.45</v>
      </c>
      <c r="AH49" s="100">
        <f>AVERAGEIFS($I$2:J49, $B$2:C49, C49)</f>
        <v>0.38666666666666671</v>
      </c>
      <c r="AI49" s="100">
        <f>AVERAGEIFS($D$2:D49, $B$2:B49, B49)</f>
        <v>0.66666666666666663</v>
      </c>
    </row>
    <row r="50" spans="1:35" x14ac:dyDescent="0.25">
      <c r="A50" s="106">
        <v>46034</v>
      </c>
      <c r="B50" t="s">
        <v>35</v>
      </c>
      <c r="C50">
        <v>10</v>
      </c>
      <c r="D50">
        <v>0</v>
      </c>
      <c r="E50">
        <v>3</v>
      </c>
      <c r="F50">
        <v>0</v>
      </c>
      <c r="G50">
        <v>13</v>
      </c>
      <c r="H50">
        <v>4</v>
      </c>
      <c r="I50">
        <v>0</v>
      </c>
      <c r="J50">
        <v>0.31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0</v>
      </c>
      <c r="T50">
        <v>0</v>
      </c>
      <c r="U50">
        <v>0</v>
      </c>
      <c r="V50">
        <v>0</v>
      </c>
      <c r="W50">
        <v>0</v>
      </c>
      <c r="X50">
        <v>0</v>
      </c>
      <c r="Y50">
        <v>0</v>
      </c>
      <c r="Z50">
        <v>0</v>
      </c>
      <c r="AA50">
        <v>0</v>
      </c>
      <c r="AB50">
        <v>0</v>
      </c>
      <c r="AC50">
        <v>0</v>
      </c>
      <c r="AD50">
        <v>0</v>
      </c>
      <c r="AE50">
        <v>0</v>
      </c>
      <c r="AF50" s="100">
        <f>AVERAGEIFS($C$2:C50, $B$2:B50, B50)</f>
        <v>11.75</v>
      </c>
      <c r="AG50" s="100">
        <f>AVERAGEIFS($I$2:I50, $B$2:B50, B50)</f>
        <v>0.4375</v>
      </c>
      <c r="AH50" s="100">
        <f>AVERAGEIFS($I$2:J50, $B$2:C50, C50)</f>
        <v>0.41500000000000004</v>
      </c>
      <c r="AI50" s="100">
        <f>AVERAGEIFS($D$2:D50, $B$2:B50, B50)</f>
        <v>0.5</v>
      </c>
    </row>
    <row r="51" spans="1:35" x14ac:dyDescent="0.25">
      <c r="A51" s="106">
        <v>46034</v>
      </c>
      <c r="B51" t="s">
        <v>89</v>
      </c>
      <c r="C51">
        <v>3</v>
      </c>
      <c r="D51">
        <v>0</v>
      </c>
      <c r="E51">
        <v>3</v>
      </c>
      <c r="F51">
        <v>0</v>
      </c>
      <c r="G51">
        <v>13</v>
      </c>
      <c r="H51">
        <v>4</v>
      </c>
      <c r="I51">
        <v>0</v>
      </c>
      <c r="J51">
        <v>0.31</v>
      </c>
      <c r="K51">
        <v>0</v>
      </c>
      <c r="L51">
        <v>0</v>
      </c>
      <c r="M51">
        <v>0</v>
      </c>
      <c r="N51">
        <v>0</v>
      </c>
      <c r="O51">
        <v>0</v>
      </c>
      <c r="P51">
        <v>0</v>
      </c>
      <c r="Q51">
        <v>0</v>
      </c>
      <c r="R51">
        <v>0</v>
      </c>
      <c r="S51">
        <v>0</v>
      </c>
      <c r="T51">
        <v>0</v>
      </c>
      <c r="U51">
        <v>0</v>
      </c>
      <c r="V51">
        <v>0</v>
      </c>
      <c r="W51">
        <v>0</v>
      </c>
      <c r="X51">
        <v>0</v>
      </c>
      <c r="Y51">
        <v>0</v>
      </c>
      <c r="Z51">
        <v>0</v>
      </c>
      <c r="AA51">
        <v>0</v>
      </c>
      <c r="AB51">
        <v>0</v>
      </c>
      <c r="AC51">
        <v>0</v>
      </c>
      <c r="AD51">
        <v>0</v>
      </c>
      <c r="AE51">
        <v>0</v>
      </c>
      <c r="AF51" s="100">
        <f>AVERAGEIFS($C$2:C51, $B$2:B51, B51)</f>
        <v>3</v>
      </c>
      <c r="AG51" s="100">
        <f>AVERAGEIFS($I$2:I51, $B$2:B51, B51)</f>
        <v>0</v>
      </c>
      <c r="AH51" s="100">
        <f>AVERAGEIFS($I$2:J51, $B$2:C51, C51)</f>
        <v>0.32</v>
      </c>
      <c r="AI51" s="100">
        <f>AVERAGEIFS($D$2:D51, $B$2:B51, B51)</f>
        <v>0</v>
      </c>
    </row>
    <row r="52" spans="1:35" x14ac:dyDescent="0.25">
      <c r="A52" s="106">
        <v>46034</v>
      </c>
      <c r="B52" t="s">
        <v>55</v>
      </c>
      <c r="C52">
        <v>2</v>
      </c>
      <c r="D52">
        <v>0</v>
      </c>
      <c r="E52">
        <v>3</v>
      </c>
      <c r="F52">
        <v>0</v>
      </c>
      <c r="G52">
        <v>13</v>
      </c>
      <c r="H52">
        <v>4</v>
      </c>
      <c r="I52">
        <v>0</v>
      </c>
      <c r="J52">
        <v>0.31</v>
      </c>
      <c r="K52">
        <v>0</v>
      </c>
      <c r="L52">
        <v>0</v>
      </c>
      <c r="M52">
        <v>0</v>
      </c>
      <c r="N52">
        <v>0</v>
      </c>
      <c r="O52">
        <v>0</v>
      </c>
      <c r="P52">
        <v>0</v>
      </c>
      <c r="Q52">
        <v>0</v>
      </c>
      <c r="R52">
        <v>0</v>
      </c>
      <c r="S52">
        <v>0</v>
      </c>
      <c r="T52">
        <v>0</v>
      </c>
      <c r="U52">
        <v>0</v>
      </c>
      <c r="V52">
        <v>0</v>
      </c>
      <c r="W52">
        <v>0</v>
      </c>
      <c r="X52">
        <v>0</v>
      </c>
      <c r="Y52">
        <v>0</v>
      </c>
      <c r="Z52">
        <v>0</v>
      </c>
      <c r="AA52">
        <v>0</v>
      </c>
      <c r="AB52">
        <v>0</v>
      </c>
      <c r="AC52">
        <v>0</v>
      </c>
      <c r="AD52">
        <v>0</v>
      </c>
      <c r="AE52">
        <v>0</v>
      </c>
      <c r="AF52" s="100">
        <f>AVERAGEIFS($C$2:C52, $B$2:B52, B52)</f>
        <v>2</v>
      </c>
      <c r="AG52" s="100">
        <f>AVERAGEIFS($I$2:I52, $B$2:B52, B52)</f>
        <v>0</v>
      </c>
      <c r="AH52" s="100">
        <f>AVERAGEIFS($I$2:J52, $B$2:C52, C52)</f>
        <v>0.31</v>
      </c>
      <c r="AI52" s="100">
        <f>AVERAGEIFS($D$2:D52, $B$2:B52, B52)</f>
        <v>0</v>
      </c>
    </row>
    <row r="53" spans="1:35" x14ac:dyDescent="0.25">
      <c r="A53" s="106">
        <v>46036</v>
      </c>
      <c r="B53" t="s">
        <v>6</v>
      </c>
      <c r="C53">
        <v>35</v>
      </c>
      <c r="D53">
        <v>1</v>
      </c>
      <c r="E53">
        <v>3</v>
      </c>
      <c r="F53">
        <v>3</v>
      </c>
      <c r="G53">
        <v>14</v>
      </c>
      <c r="H53">
        <v>9</v>
      </c>
      <c r="I53">
        <v>1</v>
      </c>
      <c r="J53">
        <v>0.64</v>
      </c>
      <c r="K53">
        <v>0</v>
      </c>
      <c r="L53">
        <v>0</v>
      </c>
      <c r="M53">
        <v>0</v>
      </c>
      <c r="N53">
        <v>0</v>
      </c>
      <c r="O53">
        <v>0</v>
      </c>
      <c r="P53">
        <v>0</v>
      </c>
      <c r="Q53">
        <v>0</v>
      </c>
      <c r="R53">
        <v>0</v>
      </c>
      <c r="S53">
        <v>0</v>
      </c>
      <c r="T53">
        <v>0</v>
      </c>
      <c r="U53">
        <v>1</v>
      </c>
      <c r="V53">
        <v>0</v>
      </c>
      <c r="W53">
        <v>0</v>
      </c>
      <c r="X53">
        <v>0</v>
      </c>
      <c r="Y53">
        <v>0</v>
      </c>
      <c r="Z53">
        <v>0</v>
      </c>
      <c r="AA53">
        <v>1</v>
      </c>
      <c r="AB53">
        <v>1</v>
      </c>
      <c r="AC53">
        <v>0</v>
      </c>
      <c r="AD53">
        <v>0</v>
      </c>
      <c r="AE53">
        <v>0</v>
      </c>
      <c r="AF53" s="100">
        <f>AVERAGEIFS($C$2:C53, $B$2:B53, B53)</f>
        <v>22</v>
      </c>
      <c r="AG53" s="100">
        <f>AVERAGEIFS($I$2:I53, $B$2:B53, B53)</f>
        <v>0.58750000000000002</v>
      </c>
      <c r="AH53" s="100">
        <f>AVERAGEIFS($I$2:J53, $B$2:C53, C53)</f>
        <v>0.64</v>
      </c>
      <c r="AI53" s="100">
        <f>AVERAGEIFS($D$2:D53, $B$2:B53, B53)</f>
        <v>0.75</v>
      </c>
    </row>
    <row r="54" spans="1:35" x14ac:dyDescent="0.25">
      <c r="A54" s="106">
        <v>46036</v>
      </c>
      <c r="B54" t="s">
        <v>54</v>
      </c>
      <c r="C54">
        <v>24</v>
      </c>
      <c r="D54">
        <v>1</v>
      </c>
      <c r="E54">
        <v>3</v>
      </c>
      <c r="F54">
        <v>3</v>
      </c>
      <c r="G54">
        <v>14</v>
      </c>
      <c r="H54">
        <v>9</v>
      </c>
      <c r="I54">
        <v>1</v>
      </c>
      <c r="J54">
        <v>0.64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0</v>
      </c>
      <c r="T54">
        <v>0</v>
      </c>
      <c r="U54">
        <v>1</v>
      </c>
      <c r="V54">
        <v>0</v>
      </c>
      <c r="W54">
        <v>0</v>
      </c>
      <c r="X54">
        <v>0</v>
      </c>
      <c r="Y54">
        <v>0</v>
      </c>
      <c r="Z54">
        <v>0</v>
      </c>
      <c r="AA54">
        <v>1</v>
      </c>
      <c r="AB54">
        <v>1</v>
      </c>
      <c r="AC54">
        <v>0</v>
      </c>
      <c r="AD54">
        <v>0</v>
      </c>
      <c r="AE54">
        <v>0</v>
      </c>
      <c r="AF54" s="100">
        <f>AVERAGEIFS($C$2:C54, $B$2:B54, B54)</f>
        <v>27</v>
      </c>
      <c r="AG54" s="100">
        <f>AVERAGEIFS($I$2:I54, $B$2:B54, B54)</f>
        <v>0.55000000000000004</v>
      </c>
      <c r="AH54" s="100">
        <f>AVERAGEIFS($I$2:J54, $B$2:C54, C54)</f>
        <v>0.61599999999999999</v>
      </c>
      <c r="AI54" s="100">
        <f>AVERAGEIFS($D$2:D54, $B$2:B54, B54)</f>
        <v>0.6</v>
      </c>
    </row>
    <row r="55" spans="1:35" x14ac:dyDescent="0.25">
      <c r="A55" s="106">
        <v>46036</v>
      </c>
      <c r="B55" t="s">
        <v>5</v>
      </c>
      <c r="C55">
        <v>23</v>
      </c>
      <c r="D55">
        <v>1</v>
      </c>
      <c r="E55">
        <v>3</v>
      </c>
      <c r="F55">
        <v>3</v>
      </c>
      <c r="G55">
        <v>14</v>
      </c>
      <c r="H55">
        <v>9</v>
      </c>
      <c r="I55">
        <v>1</v>
      </c>
      <c r="J55">
        <v>0.64</v>
      </c>
      <c r="K55">
        <v>0</v>
      </c>
      <c r="L55">
        <v>0</v>
      </c>
      <c r="M55">
        <v>0</v>
      </c>
      <c r="N55">
        <v>0</v>
      </c>
      <c r="O55">
        <v>0</v>
      </c>
      <c r="P55">
        <v>0</v>
      </c>
      <c r="Q55">
        <v>0</v>
      </c>
      <c r="R55">
        <v>0</v>
      </c>
      <c r="S55">
        <v>0</v>
      </c>
      <c r="T55">
        <v>0</v>
      </c>
      <c r="U55">
        <v>1</v>
      </c>
      <c r="V55">
        <v>0</v>
      </c>
      <c r="W55">
        <v>0</v>
      </c>
      <c r="X55">
        <v>0</v>
      </c>
      <c r="Y55">
        <v>0</v>
      </c>
      <c r="Z55">
        <v>0</v>
      </c>
      <c r="AA55">
        <v>1</v>
      </c>
      <c r="AB55">
        <v>1</v>
      </c>
      <c r="AC55">
        <v>0</v>
      </c>
      <c r="AD55">
        <v>0</v>
      </c>
      <c r="AE55">
        <v>0</v>
      </c>
      <c r="AF55" s="100">
        <f>AVERAGEIFS($C$2:C55, $B$2:B55, B55)</f>
        <v>23</v>
      </c>
      <c r="AG55" s="100">
        <f>AVERAGEIFS($I$2:I55, $B$2:B55, B55)</f>
        <v>0.91666666666666663</v>
      </c>
      <c r="AH55" s="100">
        <f>AVERAGEIFS($I$2:J55, $B$2:C55, C55)</f>
        <v>0.64333333333333342</v>
      </c>
      <c r="AI55" s="100">
        <f>AVERAGEIFS($D$2:D55, $B$2:B55, B55)</f>
        <v>1</v>
      </c>
    </row>
    <row r="56" spans="1:35" x14ac:dyDescent="0.25">
      <c r="A56" s="106">
        <v>46036</v>
      </c>
      <c r="B56" t="s">
        <v>53</v>
      </c>
      <c r="C56">
        <v>22</v>
      </c>
      <c r="D56">
        <v>1</v>
      </c>
      <c r="E56">
        <v>3</v>
      </c>
      <c r="F56">
        <v>3</v>
      </c>
      <c r="G56">
        <v>14</v>
      </c>
      <c r="H56">
        <v>9</v>
      </c>
      <c r="I56">
        <v>1</v>
      </c>
      <c r="J56">
        <v>0.64</v>
      </c>
      <c r="K56">
        <v>0</v>
      </c>
      <c r="L56">
        <v>0</v>
      </c>
      <c r="M56">
        <v>0</v>
      </c>
      <c r="N56">
        <v>0</v>
      </c>
      <c r="O56">
        <v>0</v>
      </c>
      <c r="P56">
        <v>0</v>
      </c>
      <c r="Q56">
        <v>0</v>
      </c>
      <c r="R56">
        <v>0</v>
      </c>
      <c r="S56">
        <v>0</v>
      </c>
      <c r="T56">
        <v>0</v>
      </c>
      <c r="U56">
        <v>1</v>
      </c>
      <c r="V56">
        <v>0</v>
      </c>
      <c r="W56">
        <v>0</v>
      </c>
      <c r="X56">
        <v>0</v>
      </c>
      <c r="Y56">
        <v>0</v>
      </c>
      <c r="Z56">
        <v>0</v>
      </c>
      <c r="AA56">
        <v>1</v>
      </c>
      <c r="AB56">
        <v>1</v>
      </c>
      <c r="AC56">
        <v>0</v>
      </c>
      <c r="AD56">
        <v>0</v>
      </c>
      <c r="AE56">
        <v>0</v>
      </c>
      <c r="AF56" s="100">
        <f>AVERAGEIFS($C$2:C56, $B$2:B56, B56)</f>
        <v>23.25</v>
      </c>
      <c r="AG56" s="100">
        <f>AVERAGEIFS($I$2:I56, $B$2:B56, B56)</f>
        <v>0.7</v>
      </c>
      <c r="AH56" s="100">
        <f>AVERAGEIFS($I$2:J56, $B$2:C56, C56)</f>
        <v>0.64</v>
      </c>
      <c r="AI56" s="100">
        <f>AVERAGEIFS($D$2:D56, $B$2:B56, B56)</f>
        <v>0.5</v>
      </c>
    </row>
    <row r="57" spans="1:35" x14ac:dyDescent="0.25">
      <c r="A57" s="106">
        <v>46036</v>
      </c>
      <c r="B57" t="s">
        <v>37</v>
      </c>
      <c r="C57">
        <v>12</v>
      </c>
      <c r="D57">
        <v>1</v>
      </c>
      <c r="E57">
        <v>3</v>
      </c>
      <c r="F57">
        <v>3</v>
      </c>
      <c r="G57">
        <v>14</v>
      </c>
      <c r="H57">
        <v>9</v>
      </c>
      <c r="I57">
        <v>1</v>
      </c>
      <c r="J57">
        <v>0.64</v>
      </c>
      <c r="K57">
        <v>0</v>
      </c>
      <c r="L57">
        <v>0</v>
      </c>
      <c r="M57">
        <v>0</v>
      </c>
      <c r="N57">
        <v>0</v>
      </c>
      <c r="O57">
        <v>0</v>
      </c>
      <c r="P57">
        <v>0</v>
      </c>
      <c r="Q57">
        <v>0</v>
      </c>
      <c r="R57">
        <v>0</v>
      </c>
      <c r="S57">
        <v>0</v>
      </c>
      <c r="T57">
        <v>0</v>
      </c>
      <c r="U57">
        <v>1</v>
      </c>
      <c r="V57">
        <v>0</v>
      </c>
      <c r="W57">
        <v>0</v>
      </c>
      <c r="X57">
        <v>0</v>
      </c>
      <c r="Y57">
        <v>0</v>
      </c>
      <c r="Z57">
        <v>0</v>
      </c>
      <c r="AA57">
        <v>1</v>
      </c>
      <c r="AB57">
        <v>1</v>
      </c>
      <c r="AC57">
        <v>0</v>
      </c>
      <c r="AD57">
        <v>0</v>
      </c>
      <c r="AE57">
        <v>0</v>
      </c>
      <c r="AF57" s="100">
        <f>AVERAGEIFS($C$2:C57, $B$2:B57, B57)</f>
        <v>12</v>
      </c>
      <c r="AG57" s="100">
        <f>AVERAGEIFS($I$2:I57, $B$2:B57, B57)</f>
        <v>1</v>
      </c>
      <c r="AH57" s="100">
        <f>AVERAGEIFS($I$2:J57, $B$2:C57, C57)</f>
        <v>0.51500000000000001</v>
      </c>
      <c r="AI57" s="100">
        <f>AVERAGEIFS($D$2:D57, $B$2:B57, B57)</f>
        <v>1</v>
      </c>
    </row>
    <row r="58" spans="1:35" x14ac:dyDescent="0.25">
      <c r="A58" s="106">
        <v>46036</v>
      </c>
      <c r="B58" t="s">
        <v>90</v>
      </c>
      <c r="C58">
        <v>3</v>
      </c>
      <c r="D58">
        <v>1</v>
      </c>
      <c r="E58">
        <v>3</v>
      </c>
      <c r="F58">
        <v>3</v>
      </c>
      <c r="G58">
        <v>14</v>
      </c>
      <c r="H58">
        <v>9</v>
      </c>
      <c r="I58">
        <v>1</v>
      </c>
      <c r="J58">
        <v>0.64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0</v>
      </c>
      <c r="T58">
        <v>0</v>
      </c>
      <c r="U58">
        <v>1</v>
      </c>
      <c r="V58">
        <v>0</v>
      </c>
      <c r="W58">
        <v>0</v>
      </c>
      <c r="X58">
        <v>0</v>
      </c>
      <c r="Y58">
        <v>0</v>
      </c>
      <c r="Z58">
        <v>0</v>
      </c>
      <c r="AA58">
        <v>1</v>
      </c>
      <c r="AB58">
        <v>1</v>
      </c>
      <c r="AC58">
        <v>0</v>
      </c>
      <c r="AD58">
        <v>0</v>
      </c>
      <c r="AE58">
        <v>0</v>
      </c>
      <c r="AF58" s="100">
        <f>AVERAGEIFS($C$2:C58, $B$2:B58, B58)</f>
        <v>3</v>
      </c>
      <c r="AG58" s="100">
        <f>AVERAGEIFS($I$2:I58, $B$2:B58, B58)</f>
        <v>1</v>
      </c>
      <c r="AH58" s="100">
        <f>AVERAGEIFS($I$2:J58, $B$2:C58, C58)</f>
        <v>0.42666666666666669</v>
      </c>
      <c r="AI58" s="100">
        <f>AVERAGEIFS($D$2:D58, $B$2:B58, B58)</f>
        <v>1</v>
      </c>
    </row>
    <row r="59" spans="1:35" x14ac:dyDescent="0.25">
      <c r="A59" s="106">
        <v>46036</v>
      </c>
      <c r="B59" t="s">
        <v>1</v>
      </c>
      <c r="C59">
        <v>25</v>
      </c>
      <c r="D59">
        <v>0</v>
      </c>
      <c r="E59">
        <v>3</v>
      </c>
      <c r="F59">
        <v>0</v>
      </c>
      <c r="G59">
        <v>14</v>
      </c>
      <c r="H59">
        <v>5</v>
      </c>
      <c r="I59">
        <v>0</v>
      </c>
      <c r="J59">
        <v>0.36</v>
      </c>
      <c r="K59">
        <v>0</v>
      </c>
      <c r="L59">
        <v>0</v>
      </c>
      <c r="M59">
        <v>0</v>
      </c>
      <c r="N59">
        <v>0</v>
      </c>
      <c r="O59">
        <v>0</v>
      </c>
      <c r="P59">
        <v>0</v>
      </c>
      <c r="Q59">
        <v>0</v>
      </c>
      <c r="R59">
        <v>0</v>
      </c>
      <c r="S59">
        <v>0</v>
      </c>
      <c r="T59">
        <v>0</v>
      </c>
      <c r="U59">
        <v>0</v>
      </c>
      <c r="V59">
        <v>0</v>
      </c>
      <c r="W59">
        <v>0</v>
      </c>
      <c r="X59">
        <v>0</v>
      </c>
      <c r="Y59">
        <v>0</v>
      </c>
      <c r="Z59">
        <v>0</v>
      </c>
      <c r="AA59">
        <v>0</v>
      </c>
      <c r="AB59">
        <v>0</v>
      </c>
      <c r="AC59">
        <v>0</v>
      </c>
      <c r="AD59">
        <v>0</v>
      </c>
      <c r="AE59">
        <v>0</v>
      </c>
      <c r="AF59" s="100">
        <f>AVERAGEIFS($C$2:C59, $B$2:B59, B59)</f>
        <v>28.5</v>
      </c>
      <c r="AG59" s="100">
        <f>AVERAGEIFS($I$2:I59, $B$2:B59, B59)</f>
        <v>0.3</v>
      </c>
      <c r="AH59" s="100">
        <f>AVERAGEIFS($I$2:J59, $B$2:C59, C59)</f>
        <v>0.50250000000000006</v>
      </c>
      <c r="AI59" s="100">
        <f>AVERAGEIFS($D$2:D59, $B$2:B59, B59)</f>
        <v>0.5</v>
      </c>
    </row>
    <row r="60" spans="1:35" x14ac:dyDescent="0.25">
      <c r="A60" s="106">
        <v>46036</v>
      </c>
      <c r="B60" t="s">
        <v>28</v>
      </c>
      <c r="C60">
        <v>19</v>
      </c>
      <c r="D60">
        <v>0</v>
      </c>
      <c r="E60">
        <v>3</v>
      </c>
      <c r="F60">
        <v>0</v>
      </c>
      <c r="G60">
        <v>14</v>
      </c>
      <c r="H60">
        <v>5</v>
      </c>
      <c r="I60">
        <v>0</v>
      </c>
      <c r="J60">
        <v>0.36</v>
      </c>
      <c r="K60">
        <v>0</v>
      </c>
      <c r="L60">
        <v>0</v>
      </c>
      <c r="M60">
        <v>0</v>
      </c>
      <c r="N60">
        <v>0</v>
      </c>
      <c r="O60">
        <v>0</v>
      </c>
      <c r="P60">
        <v>0</v>
      </c>
      <c r="Q60">
        <v>0</v>
      </c>
      <c r="R60">
        <v>0</v>
      </c>
      <c r="S60">
        <v>0</v>
      </c>
      <c r="T60">
        <v>0</v>
      </c>
      <c r="U60">
        <v>0</v>
      </c>
      <c r="V60">
        <v>0</v>
      </c>
      <c r="W60">
        <v>0</v>
      </c>
      <c r="X60">
        <v>0</v>
      </c>
      <c r="Y60">
        <v>0</v>
      </c>
      <c r="Z60">
        <v>0</v>
      </c>
      <c r="AA60">
        <v>0</v>
      </c>
      <c r="AB60">
        <v>0</v>
      </c>
      <c r="AC60">
        <v>0</v>
      </c>
      <c r="AD60">
        <v>0</v>
      </c>
      <c r="AE60">
        <v>0</v>
      </c>
      <c r="AF60" s="100">
        <f>AVERAGEIFS($C$2:C60, $B$2:B60, B60)</f>
        <v>15.333333333333334</v>
      </c>
      <c r="AG60" s="100">
        <f>AVERAGEIFS($I$2:I60, $B$2:B60, B60)</f>
        <v>0.28333333333333333</v>
      </c>
      <c r="AH60" s="100">
        <f>AVERAGEIFS($I$2:J60, $B$2:C60, C60)</f>
        <v>0.35666666666666663</v>
      </c>
      <c r="AI60" s="100">
        <f>AVERAGEIFS($D$2:D60, $B$2:B60, B60)</f>
        <v>0.33333333333333331</v>
      </c>
    </row>
    <row r="61" spans="1:35" x14ac:dyDescent="0.25">
      <c r="A61" s="106">
        <v>46036</v>
      </c>
      <c r="B61" t="s">
        <v>35</v>
      </c>
      <c r="C61">
        <v>17</v>
      </c>
      <c r="D61">
        <v>0</v>
      </c>
      <c r="E61">
        <v>3</v>
      </c>
      <c r="F61">
        <v>0</v>
      </c>
      <c r="G61">
        <v>14</v>
      </c>
      <c r="H61">
        <v>5</v>
      </c>
      <c r="I61">
        <v>0</v>
      </c>
      <c r="J61">
        <v>0.36</v>
      </c>
      <c r="K61">
        <v>0</v>
      </c>
      <c r="L61">
        <v>0</v>
      </c>
      <c r="M61">
        <v>0</v>
      </c>
      <c r="N61">
        <v>0</v>
      </c>
      <c r="O61">
        <v>0</v>
      </c>
      <c r="P61">
        <v>0</v>
      </c>
      <c r="Q61">
        <v>0</v>
      </c>
      <c r="R61">
        <v>0</v>
      </c>
      <c r="S61">
        <v>0</v>
      </c>
      <c r="T61">
        <v>0</v>
      </c>
      <c r="U61">
        <v>0</v>
      </c>
      <c r="V61">
        <v>0</v>
      </c>
      <c r="W61">
        <v>0</v>
      </c>
      <c r="X61">
        <v>0</v>
      </c>
      <c r="Y61">
        <v>0</v>
      </c>
      <c r="Z61">
        <v>0</v>
      </c>
      <c r="AA61">
        <v>0</v>
      </c>
      <c r="AB61">
        <v>0</v>
      </c>
      <c r="AC61">
        <v>0</v>
      </c>
      <c r="AD61">
        <v>0</v>
      </c>
      <c r="AE61">
        <v>0</v>
      </c>
      <c r="AF61" s="100">
        <f>AVERAGEIFS($C$2:C61, $B$2:B61, B61)</f>
        <v>12.8</v>
      </c>
      <c r="AG61" s="100">
        <f>AVERAGEIFS($I$2:I61, $B$2:B61, B61)</f>
        <v>0.35</v>
      </c>
      <c r="AH61" s="100">
        <f>AVERAGEIFS($I$2:J61, $B$2:C61, C61)</f>
        <v>0.38</v>
      </c>
      <c r="AI61" s="100">
        <f>AVERAGEIFS($D$2:D61, $B$2:B61, B61)</f>
        <v>0.4</v>
      </c>
    </row>
    <row r="62" spans="1:35" x14ac:dyDescent="0.25">
      <c r="A62" s="106">
        <v>46036</v>
      </c>
      <c r="B62" t="s">
        <v>50</v>
      </c>
      <c r="C62">
        <v>16</v>
      </c>
      <c r="D62">
        <v>0</v>
      </c>
      <c r="E62">
        <v>3</v>
      </c>
      <c r="F62">
        <v>0</v>
      </c>
      <c r="G62">
        <v>14</v>
      </c>
      <c r="H62">
        <v>5</v>
      </c>
      <c r="I62">
        <v>0</v>
      </c>
      <c r="J62">
        <v>0.36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0</v>
      </c>
      <c r="T62">
        <v>0</v>
      </c>
      <c r="U62">
        <v>0</v>
      </c>
      <c r="V62">
        <v>0</v>
      </c>
      <c r="W62">
        <v>0</v>
      </c>
      <c r="X62">
        <v>0</v>
      </c>
      <c r="Y62">
        <v>0</v>
      </c>
      <c r="Z62">
        <v>0</v>
      </c>
      <c r="AA62">
        <v>0</v>
      </c>
      <c r="AB62">
        <v>0</v>
      </c>
      <c r="AC62">
        <v>0</v>
      </c>
      <c r="AD62">
        <v>0</v>
      </c>
      <c r="AE62">
        <v>0</v>
      </c>
      <c r="AF62" s="100">
        <f>AVERAGEIFS($C$2:C62, $B$2:B62, B62)</f>
        <v>21.6</v>
      </c>
      <c r="AG62" s="100">
        <f>AVERAGEIFS($I$2:I62, $B$2:B62, B62)</f>
        <v>0.49000000000000005</v>
      </c>
      <c r="AH62" s="100">
        <f>AVERAGEIFS($I$2:J62, $B$2:C62, C62)</f>
        <v>0.55999999999999994</v>
      </c>
      <c r="AI62" s="100">
        <f>AVERAGEIFS($D$2:D62, $B$2:B62, B62)</f>
        <v>0.6</v>
      </c>
    </row>
    <row r="63" spans="1:35" x14ac:dyDescent="0.25">
      <c r="A63" s="106">
        <v>46036</v>
      </c>
      <c r="B63" t="s">
        <v>2</v>
      </c>
      <c r="C63">
        <v>15</v>
      </c>
      <c r="D63">
        <v>0</v>
      </c>
      <c r="E63">
        <v>3</v>
      </c>
      <c r="F63">
        <v>0</v>
      </c>
      <c r="G63">
        <v>14</v>
      </c>
      <c r="H63">
        <v>5</v>
      </c>
      <c r="I63">
        <v>0</v>
      </c>
      <c r="J63">
        <v>0.36</v>
      </c>
      <c r="K63">
        <v>0</v>
      </c>
      <c r="L63">
        <v>0</v>
      </c>
      <c r="M63">
        <v>0</v>
      </c>
      <c r="N63">
        <v>0</v>
      </c>
      <c r="O63">
        <v>0</v>
      </c>
      <c r="P63">
        <v>0</v>
      </c>
      <c r="Q63">
        <v>0</v>
      </c>
      <c r="R63">
        <v>0</v>
      </c>
      <c r="S63">
        <v>0</v>
      </c>
      <c r="T63">
        <v>0</v>
      </c>
      <c r="U63">
        <v>0</v>
      </c>
      <c r="V63">
        <v>0</v>
      </c>
      <c r="W63">
        <v>0</v>
      </c>
      <c r="X63">
        <v>0</v>
      </c>
      <c r="Y63">
        <v>0</v>
      </c>
      <c r="Z63">
        <v>0</v>
      </c>
      <c r="AA63">
        <v>0</v>
      </c>
      <c r="AB63">
        <v>0</v>
      </c>
      <c r="AC63">
        <v>0</v>
      </c>
      <c r="AD63">
        <v>0</v>
      </c>
      <c r="AE63">
        <v>0</v>
      </c>
      <c r="AF63" s="100">
        <f>AVERAGEIFS($C$2:C63, $B$2:B63, B63)</f>
        <v>15</v>
      </c>
      <c r="AG63" s="100">
        <f>AVERAGEIFS($I$2:I63, $B$2:B63, B63)</f>
        <v>0</v>
      </c>
      <c r="AH63" s="100">
        <f>AVERAGEIFS($I$2:J63, $B$2:C63, C63)</f>
        <v>0.42</v>
      </c>
      <c r="AI63" s="100">
        <f>AVERAGEIFS($D$2:D63, $B$2:B63, B63)</f>
        <v>0</v>
      </c>
    </row>
    <row r="64" spans="1:35" x14ac:dyDescent="0.25">
      <c r="A64" s="106">
        <v>46036</v>
      </c>
      <c r="B64" t="s">
        <v>3</v>
      </c>
      <c r="C64">
        <v>7</v>
      </c>
      <c r="D64">
        <v>0</v>
      </c>
      <c r="E64">
        <v>3</v>
      </c>
      <c r="F64">
        <v>0</v>
      </c>
      <c r="G64">
        <v>14</v>
      </c>
      <c r="H64">
        <v>5</v>
      </c>
      <c r="I64">
        <v>0</v>
      </c>
      <c r="J64">
        <v>0.36</v>
      </c>
      <c r="K64">
        <v>0</v>
      </c>
      <c r="L64">
        <v>0</v>
      </c>
      <c r="M64">
        <v>0</v>
      </c>
      <c r="N64">
        <v>0</v>
      </c>
      <c r="O64">
        <v>0</v>
      </c>
      <c r="P64">
        <v>0</v>
      </c>
      <c r="Q64">
        <v>0</v>
      </c>
      <c r="R64">
        <v>0</v>
      </c>
      <c r="S64">
        <v>0</v>
      </c>
      <c r="T64">
        <v>0</v>
      </c>
      <c r="U64">
        <v>0</v>
      </c>
      <c r="V64">
        <v>0</v>
      </c>
      <c r="W64">
        <v>0</v>
      </c>
      <c r="X64">
        <v>0</v>
      </c>
      <c r="Y64">
        <v>0</v>
      </c>
      <c r="Z64">
        <v>0</v>
      </c>
      <c r="AA64">
        <v>0</v>
      </c>
      <c r="AB64">
        <v>0</v>
      </c>
      <c r="AC64">
        <v>0</v>
      </c>
      <c r="AD64">
        <v>0</v>
      </c>
      <c r="AE64">
        <v>0</v>
      </c>
      <c r="AF64" s="100">
        <f>AVERAGEIFS($C$2:C64, $B$2:B64, B64)</f>
        <v>17.333333333333332</v>
      </c>
      <c r="AG64" s="100">
        <f>AVERAGEIFS($I$2:I64, $B$2:B64, B64)</f>
        <v>0.45</v>
      </c>
      <c r="AH64" s="100">
        <f>AVERAGEIFS($I$2:J64, $B$2:C64, C64)</f>
        <v>0.51500000000000001</v>
      </c>
      <c r="AI64" s="100">
        <f>AVERAGEIFS($D$2:D64, $B$2:B64, B64)</f>
        <v>0.66666666666666663</v>
      </c>
    </row>
    <row r="65" spans="1:35" x14ac:dyDescent="0.25">
      <c r="A65" s="106">
        <v>46052</v>
      </c>
      <c r="B65" t="s">
        <v>2</v>
      </c>
      <c r="C65">
        <v>22</v>
      </c>
      <c r="D65">
        <v>1</v>
      </c>
      <c r="E65">
        <v>3</v>
      </c>
      <c r="F65">
        <v>3</v>
      </c>
      <c r="G65">
        <v>11</v>
      </c>
      <c r="H65">
        <v>9</v>
      </c>
      <c r="I65">
        <v>1</v>
      </c>
      <c r="J65">
        <v>0.82</v>
      </c>
      <c r="K65">
        <v>0</v>
      </c>
      <c r="L65">
        <v>0</v>
      </c>
      <c r="M65">
        <v>0</v>
      </c>
      <c r="N65">
        <v>0</v>
      </c>
      <c r="O65">
        <v>0</v>
      </c>
      <c r="P65">
        <v>0</v>
      </c>
      <c r="Q65">
        <v>0</v>
      </c>
      <c r="R65">
        <v>0</v>
      </c>
      <c r="S65">
        <v>0</v>
      </c>
      <c r="T65">
        <v>0</v>
      </c>
      <c r="U65">
        <v>0</v>
      </c>
      <c r="V65">
        <v>0</v>
      </c>
      <c r="W65">
        <v>1</v>
      </c>
      <c r="X65">
        <v>0</v>
      </c>
      <c r="Y65">
        <v>1</v>
      </c>
      <c r="Z65">
        <v>0</v>
      </c>
      <c r="AA65">
        <v>1</v>
      </c>
      <c r="AB65">
        <v>0</v>
      </c>
      <c r="AC65">
        <v>0</v>
      </c>
      <c r="AD65">
        <v>0</v>
      </c>
      <c r="AE65">
        <v>0</v>
      </c>
      <c r="AF65" s="100">
        <f>AVERAGEIFS($C$2:C65, $B$2:B65, B65)</f>
        <v>18.5</v>
      </c>
      <c r="AG65" s="100">
        <f>AVERAGEIFS($I$2:I65, $B$2:B65, B65)</f>
        <v>0.5</v>
      </c>
      <c r="AH65" s="100">
        <f>AVERAGEIFS($I$2:J65, $B$2:C65, C65)</f>
        <v>0.73</v>
      </c>
      <c r="AI65" s="100">
        <f>AVERAGEIFS($D$2:D65, $B$2:B65, B65)</f>
        <v>0.5</v>
      </c>
    </row>
    <row r="66" spans="1:35" x14ac:dyDescent="0.25">
      <c r="A66" s="106">
        <v>46052</v>
      </c>
      <c r="B66" t="s">
        <v>6</v>
      </c>
      <c r="C66">
        <v>19</v>
      </c>
      <c r="D66">
        <v>1</v>
      </c>
      <c r="E66">
        <v>3</v>
      </c>
      <c r="F66">
        <v>3</v>
      </c>
      <c r="G66">
        <v>11</v>
      </c>
      <c r="H66">
        <v>9</v>
      </c>
      <c r="I66">
        <v>1</v>
      </c>
      <c r="J66">
        <v>0.82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0</v>
      </c>
      <c r="T66">
        <v>0</v>
      </c>
      <c r="U66">
        <v>0</v>
      </c>
      <c r="V66">
        <v>0</v>
      </c>
      <c r="W66">
        <v>1</v>
      </c>
      <c r="X66">
        <v>0</v>
      </c>
      <c r="Y66">
        <v>1</v>
      </c>
      <c r="Z66">
        <v>0</v>
      </c>
      <c r="AA66">
        <v>1</v>
      </c>
      <c r="AB66">
        <v>0</v>
      </c>
      <c r="AC66">
        <v>0</v>
      </c>
      <c r="AD66">
        <v>0</v>
      </c>
      <c r="AE66">
        <v>0</v>
      </c>
      <c r="AF66" s="100">
        <f>AVERAGEIFS($C$2:C66, $B$2:B66, B66)</f>
        <v>21.4</v>
      </c>
      <c r="AG66" s="100">
        <f>AVERAGEIFS($I$2:I66, $B$2:B66, B66)</f>
        <v>0.67</v>
      </c>
      <c r="AH66" s="100">
        <f>AVERAGEIFS($I$2:J66, $B$2:C66, C66)</f>
        <v>0.47249999999999992</v>
      </c>
      <c r="AI66" s="100">
        <f>AVERAGEIFS($D$2:D66, $B$2:B66, B66)</f>
        <v>0.8</v>
      </c>
    </row>
    <row r="67" spans="1:35" x14ac:dyDescent="0.25">
      <c r="A67" s="106">
        <v>46052</v>
      </c>
      <c r="B67" t="s">
        <v>19</v>
      </c>
      <c r="C67">
        <v>11</v>
      </c>
      <c r="D67">
        <v>1</v>
      </c>
      <c r="E67">
        <v>3</v>
      </c>
      <c r="F67">
        <v>3</v>
      </c>
      <c r="G67">
        <v>11</v>
      </c>
      <c r="H67">
        <v>9</v>
      </c>
      <c r="I67">
        <v>1</v>
      </c>
      <c r="J67">
        <v>0.82</v>
      </c>
      <c r="K67">
        <v>0</v>
      </c>
      <c r="L67">
        <v>0</v>
      </c>
      <c r="M67">
        <v>0</v>
      </c>
      <c r="N67">
        <v>0</v>
      </c>
      <c r="O67">
        <v>0</v>
      </c>
      <c r="P67">
        <v>0</v>
      </c>
      <c r="Q67">
        <v>0</v>
      </c>
      <c r="R67">
        <v>0</v>
      </c>
      <c r="S67">
        <v>0</v>
      </c>
      <c r="T67">
        <v>0</v>
      </c>
      <c r="U67">
        <v>0</v>
      </c>
      <c r="V67">
        <v>0</v>
      </c>
      <c r="W67">
        <v>1</v>
      </c>
      <c r="X67">
        <v>0</v>
      </c>
      <c r="Y67">
        <v>1</v>
      </c>
      <c r="Z67">
        <v>0</v>
      </c>
      <c r="AA67">
        <v>1</v>
      </c>
      <c r="AB67">
        <v>0</v>
      </c>
      <c r="AC67">
        <v>0</v>
      </c>
      <c r="AD67">
        <v>0</v>
      </c>
      <c r="AE67">
        <v>0</v>
      </c>
      <c r="AF67" s="100">
        <f>AVERAGEIFS($C$2:C67, $B$2:B67, B67)</f>
        <v>9.5</v>
      </c>
      <c r="AG67" s="100">
        <f>AVERAGEIFS($I$2:I67, $B$2:B67, B67)</f>
        <v>0.8</v>
      </c>
      <c r="AH67" s="100">
        <f>AVERAGEIFS($I$2:J67, $B$2:C67, C67)</f>
        <v>0.62249999999999994</v>
      </c>
      <c r="AI67" s="100">
        <f>AVERAGEIFS($D$2:D67, $B$2:B67, B67)</f>
        <v>1</v>
      </c>
    </row>
    <row r="68" spans="1:35" x14ac:dyDescent="0.25">
      <c r="A68" s="106">
        <v>46052</v>
      </c>
      <c r="B68" t="s">
        <v>50</v>
      </c>
      <c r="C68">
        <v>11</v>
      </c>
      <c r="D68">
        <v>1</v>
      </c>
      <c r="E68">
        <v>3</v>
      </c>
      <c r="F68">
        <v>3</v>
      </c>
      <c r="G68">
        <v>11</v>
      </c>
      <c r="H68">
        <v>9</v>
      </c>
      <c r="I68">
        <v>1</v>
      </c>
      <c r="J68">
        <v>0.82</v>
      </c>
      <c r="K68">
        <v>0</v>
      </c>
      <c r="L68">
        <v>0</v>
      </c>
      <c r="M68">
        <v>0</v>
      </c>
      <c r="N68">
        <v>0</v>
      </c>
      <c r="O68">
        <v>0</v>
      </c>
      <c r="P68">
        <v>0</v>
      </c>
      <c r="Q68">
        <v>0</v>
      </c>
      <c r="R68">
        <v>0</v>
      </c>
      <c r="S68">
        <v>0</v>
      </c>
      <c r="T68">
        <v>0</v>
      </c>
      <c r="U68">
        <v>0</v>
      </c>
      <c r="V68">
        <v>0</v>
      </c>
      <c r="W68">
        <v>1</v>
      </c>
      <c r="X68">
        <v>0</v>
      </c>
      <c r="Y68">
        <v>1</v>
      </c>
      <c r="Z68">
        <v>0</v>
      </c>
      <c r="AA68">
        <v>1</v>
      </c>
      <c r="AB68">
        <v>0</v>
      </c>
      <c r="AC68">
        <v>0</v>
      </c>
      <c r="AD68">
        <v>0</v>
      </c>
      <c r="AE68">
        <v>0</v>
      </c>
      <c r="AF68" s="100">
        <f>AVERAGEIFS($C$2:C68, $B$2:B68, B68)</f>
        <v>19.833333333333332</v>
      </c>
      <c r="AG68" s="100">
        <f>AVERAGEIFS($I$2:I68, $B$2:B68, B68)</f>
        <v>0.57500000000000007</v>
      </c>
      <c r="AH68" s="100">
        <f>AVERAGEIFS($I$2:J68, $B$2:C68, C68)</f>
        <v>0.66199999999999992</v>
      </c>
      <c r="AI68" s="100">
        <f>AVERAGEIFS($D$2:D68, $B$2:B68, B68)</f>
        <v>0.66666666666666663</v>
      </c>
    </row>
    <row r="69" spans="1:35" x14ac:dyDescent="0.25">
      <c r="A69" s="106">
        <v>46052</v>
      </c>
      <c r="B69" t="s">
        <v>28</v>
      </c>
      <c r="C69">
        <v>7</v>
      </c>
      <c r="D69">
        <v>1</v>
      </c>
      <c r="E69">
        <v>3</v>
      </c>
      <c r="F69">
        <v>3</v>
      </c>
      <c r="G69">
        <v>11</v>
      </c>
      <c r="H69">
        <v>9</v>
      </c>
      <c r="I69">
        <v>1</v>
      </c>
      <c r="J69">
        <v>0.82</v>
      </c>
      <c r="K69">
        <v>0</v>
      </c>
      <c r="L69">
        <v>0</v>
      </c>
      <c r="M69">
        <v>0</v>
      </c>
      <c r="N69">
        <v>0</v>
      </c>
      <c r="O69">
        <v>0</v>
      </c>
      <c r="P69">
        <v>0</v>
      </c>
      <c r="Q69">
        <v>0</v>
      </c>
      <c r="R69">
        <v>0</v>
      </c>
      <c r="S69">
        <v>0</v>
      </c>
      <c r="T69">
        <v>0</v>
      </c>
      <c r="U69">
        <v>0</v>
      </c>
      <c r="V69">
        <v>0</v>
      </c>
      <c r="W69">
        <v>1</v>
      </c>
      <c r="X69">
        <v>0</v>
      </c>
      <c r="Y69">
        <v>1</v>
      </c>
      <c r="Z69">
        <v>0</v>
      </c>
      <c r="AA69">
        <v>1</v>
      </c>
      <c r="AB69">
        <v>0</v>
      </c>
      <c r="AC69">
        <v>0</v>
      </c>
      <c r="AD69">
        <v>0</v>
      </c>
      <c r="AE69">
        <v>0</v>
      </c>
      <c r="AF69" s="100">
        <f>AVERAGEIFS($C$2:C69, $B$2:B69, B69)</f>
        <v>13.25</v>
      </c>
      <c r="AG69" s="100">
        <f>AVERAGEIFS($I$2:I69, $B$2:B69, B69)</f>
        <v>0.46250000000000002</v>
      </c>
      <c r="AH69" s="100">
        <f>AVERAGEIFS($I$2:J69, $B$2:C69, C69)</f>
        <v>0.6166666666666667</v>
      </c>
      <c r="AI69" s="100">
        <f>AVERAGEIFS($D$2:D69, $B$2:B69, B69)</f>
        <v>0.5</v>
      </c>
    </row>
    <row r="70" spans="1:35" x14ac:dyDescent="0.25">
      <c r="A70" s="106">
        <v>46052</v>
      </c>
      <c r="B70" t="s">
        <v>35</v>
      </c>
      <c r="C70">
        <v>6</v>
      </c>
      <c r="D70">
        <v>1</v>
      </c>
      <c r="E70">
        <v>3</v>
      </c>
      <c r="F70">
        <v>3</v>
      </c>
      <c r="G70">
        <v>11</v>
      </c>
      <c r="H70">
        <v>9</v>
      </c>
      <c r="I70">
        <v>1</v>
      </c>
      <c r="J70">
        <v>0.82</v>
      </c>
      <c r="K70">
        <v>0</v>
      </c>
      <c r="L70">
        <v>0</v>
      </c>
      <c r="M70">
        <v>0</v>
      </c>
      <c r="N70">
        <v>0</v>
      </c>
      <c r="O70">
        <v>0</v>
      </c>
      <c r="P70">
        <v>0</v>
      </c>
      <c r="Q70">
        <v>0</v>
      </c>
      <c r="R70">
        <v>0</v>
      </c>
      <c r="S70">
        <v>0</v>
      </c>
      <c r="T70">
        <v>0</v>
      </c>
      <c r="U70">
        <v>0</v>
      </c>
      <c r="V70">
        <v>0</v>
      </c>
      <c r="W70">
        <v>1</v>
      </c>
      <c r="X70">
        <v>0</v>
      </c>
      <c r="Y70">
        <v>1</v>
      </c>
      <c r="Z70">
        <v>0</v>
      </c>
      <c r="AA70">
        <v>1</v>
      </c>
      <c r="AB70">
        <v>0</v>
      </c>
      <c r="AC70">
        <v>0</v>
      </c>
      <c r="AD70">
        <v>0</v>
      </c>
      <c r="AE70">
        <v>0</v>
      </c>
      <c r="AF70" s="100">
        <f>AVERAGEIFS($C$2:C70, $B$2:B70, B70)</f>
        <v>11.666666666666666</v>
      </c>
      <c r="AG70" s="100">
        <f>AVERAGEIFS($I$2:I70, $B$2:B70, B70)</f>
        <v>0.45833333333333331</v>
      </c>
      <c r="AH70" s="100">
        <f>AVERAGEIFS($I$2:J70, $B$2:C70, C70)</f>
        <v>0.64999999999999991</v>
      </c>
      <c r="AI70" s="100">
        <f>AVERAGEIFS($D$2:D70, $B$2:B70, B70)</f>
        <v>0.5</v>
      </c>
    </row>
    <row r="71" spans="1:35" x14ac:dyDescent="0.25">
      <c r="A71" s="106">
        <v>46052</v>
      </c>
      <c r="B71" t="s">
        <v>17</v>
      </c>
      <c r="C71">
        <v>20</v>
      </c>
      <c r="D71">
        <v>0</v>
      </c>
      <c r="E71">
        <v>3</v>
      </c>
      <c r="F71">
        <v>0</v>
      </c>
      <c r="G71">
        <v>11</v>
      </c>
      <c r="H71">
        <v>2</v>
      </c>
      <c r="I71">
        <v>0</v>
      </c>
      <c r="J71">
        <v>0.18</v>
      </c>
      <c r="K71">
        <v>0</v>
      </c>
      <c r="L71">
        <v>0</v>
      </c>
      <c r="M71">
        <v>0</v>
      </c>
      <c r="N71">
        <v>0</v>
      </c>
      <c r="O71">
        <v>0</v>
      </c>
      <c r="P71">
        <v>0</v>
      </c>
      <c r="Q71">
        <v>0</v>
      </c>
      <c r="R71">
        <v>0</v>
      </c>
      <c r="S71">
        <v>0</v>
      </c>
      <c r="T71">
        <v>0</v>
      </c>
      <c r="U71">
        <v>0</v>
      </c>
      <c r="V71">
        <v>0</v>
      </c>
      <c r="W71">
        <v>0</v>
      </c>
      <c r="X71">
        <v>0</v>
      </c>
      <c r="Y71">
        <v>0</v>
      </c>
      <c r="Z71">
        <v>0</v>
      </c>
      <c r="AA71">
        <v>0</v>
      </c>
      <c r="AB71">
        <v>0</v>
      </c>
      <c r="AC71">
        <v>0</v>
      </c>
      <c r="AD71">
        <v>0</v>
      </c>
      <c r="AE71">
        <v>0</v>
      </c>
      <c r="AF71" s="100">
        <f>AVERAGEIFS($C$2:C71, $B$2:B71, B71)</f>
        <v>21.6</v>
      </c>
      <c r="AG71" s="100">
        <f>AVERAGEIFS($I$2:I71, $B$2:B71, B71)</f>
        <v>0.21000000000000002</v>
      </c>
      <c r="AH71" s="100">
        <f>AVERAGEIFS($I$2:J71, $B$2:C71, C71)</f>
        <v>0.35</v>
      </c>
      <c r="AI71" s="100">
        <f>AVERAGEIFS($D$2:D71, $B$2:B71, B71)</f>
        <v>0</v>
      </c>
    </row>
    <row r="72" spans="1:35" x14ac:dyDescent="0.25">
      <c r="A72" s="106">
        <v>46052</v>
      </c>
      <c r="B72" t="s">
        <v>54</v>
      </c>
      <c r="C72">
        <v>17</v>
      </c>
      <c r="D72">
        <v>0</v>
      </c>
      <c r="E72">
        <v>3</v>
      </c>
      <c r="F72">
        <v>0</v>
      </c>
      <c r="G72">
        <v>11</v>
      </c>
      <c r="H72">
        <v>2</v>
      </c>
      <c r="I72">
        <v>0</v>
      </c>
      <c r="J72">
        <v>0.18</v>
      </c>
      <c r="K72">
        <v>0</v>
      </c>
      <c r="L72">
        <v>0</v>
      </c>
      <c r="M72">
        <v>0</v>
      </c>
      <c r="N72">
        <v>0</v>
      </c>
      <c r="O72">
        <v>0</v>
      </c>
      <c r="P72">
        <v>0</v>
      </c>
      <c r="Q72">
        <v>0</v>
      </c>
      <c r="R72">
        <v>0</v>
      </c>
      <c r="S72">
        <v>0</v>
      </c>
      <c r="T72">
        <v>0</v>
      </c>
      <c r="U72">
        <v>0</v>
      </c>
      <c r="V72">
        <v>0</v>
      </c>
      <c r="W72">
        <v>0</v>
      </c>
      <c r="X72">
        <v>0</v>
      </c>
      <c r="Y72">
        <v>0</v>
      </c>
      <c r="Z72">
        <v>0</v>
      </c>
      <c r="AA72">
        <v>0</v>
      </c>
      <c r="AB72">
        <v>0</v>
      </c>
      <c r="AC72">
        <v>0</v>
      </c>
      <c r="AD72">
        <v>0</v>
      </c>
      <c r="AE72">
        <v>0</v>
      </c>
      <c r="AF72" s="100">
        <f>AVERAGEIFS($C$2:C72, $B$2:B72, B72)</f>
        <v>25.333333333333332</v>
      </c>
      <c r="AG72" s="100">
        <f>AVERAGEIFS($I$2:I72, $B$2:B72, B72)</f>
        <v>0.45833333333333331</v>
      </c>
      <c r="AH72" s="100">
        <f>AVERAGEIFS($I$2:J72, $B$2:C72, C72)</f>
        <v>0.33999999999999997</v>
      </c>
      <c r="AI72" s="100">
        <f>AVERAGEIFS($D$2:D72, $B$2:B72, B72)</f>
        <v>0.5</v>
      </c>
    </row>
    <row r="73" spans="1:35" x14ac:dyDescent="0.25">
      <c r="A73" s="106">
        <v>46052</v>
      </c>
      <c r="B73" t="s">
        <v>14</v>
      </c>
      <c r="C73">
        <v>9</v>
      </c>
      <c r="D73">
        <v>0</v>
      </c>
      <c r="E73">
        <v>3</v>
      </c>
      <c r="F73">
        <v>0</v>
      </c>
      <c r="G73">
        <v>11</v>
      </c>
      <c r="H73">
        <v>2</v>
      </c>
      <c r="I73">
        <v>0</v>
      </c>
      <c r="J73">
        <v>0.18</v>
      </c>
      <c r="K73">
        <v>0</v>
      </c>
      <c r="L73">
        <v>0</v>
      </c>
      <c r="M73">
        <v>0</v>
      </c>
      <c r="N73">
        <v>0</v>
      </c>
      <c r="O73">
        <v>0</v>
      </c>
      <c r="P73">
        <v>0</v>
      </c>
      <c r="Q73">
        <v>0</v>
      </c>
      <c r="R73">
        <v>0</v>
      </c>
      <c r="S73">
        <v>0</v>
      </c>
      <c r="T73">
        <v>0</v>
      </c>
      <c r="U73">
        <v>0</v>
      </c>
      <c r="V73">
        <v>0</v>
      </c>
      <c r="W73">
        <v>0</v>
      </c>
      <c r="X73">
        <v>0</v>
      </c>
      <c r="Y73">
        <v>0</v>
      </c>
      <c r="Z73">
        <v>0</v>
      </c>
      <c r="AA73">
        <v>0</v>
      </c>
      <c r="AB73">
        <v>0</v>
      </c>
      <c r="AC73">
        <v>0</v>
      </c>
      <c r="AD73">
        <v>0</v>
      </c>
      <c r="AE73">
        <v>0</v>
      </c>
      <c r="AF73" s="100">
        <f>AVERAGEIFS($C$2:C73, $B$2:B73, B73)</f>
        <v>17.5</v>
      </c>
      <c r="AG73" s="100">
        <f>AVERAGEIFS($I$2:I73, $B$2:B73, B73)</f>
        <v>0.3125</v>
      </c>
      <c r="AH73" s="100">
        <f>AVERAGEIFS($I$2:J73, $B$2:C73, C73)</f>
        <v>0.30333333333333329</v>
      </c>
      <c r="AI73" s="100">
        <f>AVERAGEIFS($D$2:D73, $B$2:B73, B73)</f>
        <v>0.25</v>
      </c>
    </row>
    <row r="74" spans="1:35" x14ac:dyDescent="0.25">
      <c r="A74" s="106">
        <v>46052</v>
      </c>
      <c r="B74" t="s">
        <v>5</v>
      </c>
      <c r="C74">
        <v>6</v>
      </c>
      <c r="D74">
        <v>0</v>
      </c>
      <c r="E74">
        <v>3</v>
      </c>
      <c r="F74">
        <v>0</v>
      </c>
      <c r="G74">
        <v>11</v>
      </c>
      <c r="H74">
        <v>2</v>
      </c>
      <c r="I74">
        <v>0</v>
      </c>
      <c r="J74">
        <v>0.18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0</v>
      </c>
      <c r="T74">
        <v>0</v>
      </c>
      <c r="U74">
        <v>0</v>
      </c>
      <c r="V74">
        <v>0</v>
      </c>
      <c r="W74">
        <v>0</v>
      </c>
      <c r="X74">
        <v>0</v>
      </c>
      <c r="Y74">
        <v>0</v>
      </c>
      <c r="Z74">
        <v>0</v>
      </c>
      <c r="AA74">
        <v>0</v>
      </c>
      <c r="AB74">
        <v>0</v>
      </c>
      <c r="AC74">
        <v>0</v>
      </c>
      <c r="AD74">
        <v>0</v>
      </c>
      <c r="AE74">
        <v>0</v>
      </c>
      <c r="AF74" s="100">
        <f>AVERAGEIFS($C$2:C74, $B$2:B74, B74)</f>
        <v>18.75</v>
      </c>
      <c r="AG74" s="100">
        <f>AVERAGEIFS($I$2:I74, $B$2:B74, B74)</f>
        <v>0.6875</v>
      </c>
      <c r="AH74" s="100">
        <f>AVERAGEIFS($I$2:J74, $B$2:C74, C74)</f>
        <v>0.49333333333333323</v>
      </c>
      <c r="AI74" s="100">
        <f>AVERAGEIFS($D$2:D74, $B$2:B74, B74)</f>
        <v>0.75</v>
      </c>
    </row>
    <row r="75" spans="1:35" x14ac:dyDescent="0.25">
      <c r="A75" s="106">
        <v>46052</v>
      </c>
      <c r="B75" t="s">
        <v>51</v>
      </c>
      <c r="C75">
        <v>5</v>
      </c>
      <c r="D75">
        <v>0</v>
      </c>
      <c r="E75">
        <v>3</v>
      </c>
      <c r="F75">
        <v>0</v>
      </c>
      <c r="G75">
        <v>11</v>
      </c>
      <c r="H75">
        <v>2</v>
      </c>
      <c r="I75">
        <v>0</v>
      </c>
      <c r="J75">
        <v>0.18</v>
      </c>
      <c r="K75">
        <v>0</v>
      </c>
      <c r="L75">
        <v>0</v>
      </c>
      <c r="M75">
        <v>0</v>
      </c>
      <c r="N75">
        <v>0</v>
      </c>
      <c r="O75">
        <v>0</v>
      </c>
      <c r="P75">
        <v>0</v>
      </c>
      <c r="Q75">
        <v>0</v>
      </c>
      <c r="R75">
        <v>0</v>
      </c>
      <c r="S75">
        <v>0</v>
      </c>
      <c r="T75">
        <v>0</v>
      </c>
      <c r="U75">
        <v>0</v>
      </c>
      <c r="V75">
        <v>0</v>
      </c>
      <c r="W75">
        <v>0</v>
      </c>
      <c r="X75">
        <v>0</v>
      </c>
      <c r="Y75">
        <v>0</v>
      </c>
      <c r="Z75">
        <v>0</v>
      </c>
      <c r="AA75">
        <v>0</v>
      </c>
      <c r="AB75">
        <v>0</v>
      </c>
      <c r="AC75">
        <v>0</v>
      </c>
      <c r="AD75">
        <v>0</v>
      </c>
      <c r="AE75">
        <v>0</v>
      </c>
      <c r="AF75" s="100">
        <f>AVERAGEIFS($C$2:C75, $B$2:B75, B75)</f>
        <v>5</v>
      </c>
      <c r="AG75" s="100">
        <f>AVERAGEIFS($I$2:I75, $B$2:B75, B75)</f>
        <v>0</v>
      </c>
      <c r="AH75" s="100">
        <f>AVERAGEIFS($I$2:J75, $B$2:C75, C75)</f>
        <v>0.32999999999999996</v>
      </c>
      <c r="AI75" s="100">
        <f>AVERAGEIFS($D$2:D75, $B$2:B75, B75)</f>
        <v>0</v>
      </c>
    </row>
    <row r="76" spans="1:35" x14ac:dyDescent="0.25">
      <c r="A76" s="106">
        <v>46052</v>
      </c>
      <c r="B76" t="s">
        <v>38</v>
      </c>
      <c r="C76">
        <v>2</v>
      </c>
      <c r="D76">
        <v>0</v>
      </c>
      <c r="E76">
        <v>3</v>
      </c>
      <c r="F76">
        <v>0</v>
      </c>
      <c r="G76">
        <v>11</v>
      </c>
      <c r="H76">
        <v>2</v>
      </c>
      <c r="I76">
        <v>0</v>
      </c>
      <c r="J76">
        <v>0.18</v>
      </c>
      <c r="K76">
        <v>0</v>
      </c>
      <c r="L76">
        <v>0</v>
      </c>
      <c r="M76">
        <v>0</v>
      </c>
      <c r="N76">
        <v>0</v>
      </c>
      <c r="O76">
        <v>0</v>
      </c>
      <c r="P76">
        <v>0</v>
      </c>
      <c r="Q76">
        <v>0</v>
      </c>
      <c r="R76">
        <v>0</v>
      </c>
      <c r="S76">
        <v>0</v>
      </c>
      <c r="T76">
        <v>0</v>
      </c>
      <c r="U76">
        <v>0</v>
      </c>
      <c r="V76">
        <v>0</v>
      </c>
      <c r="W76">
        <v>0</v>
      </c>
      <c r="X76">
        <v>0</v>
      </c>
      <c r="Y76">
        <v>0</v>
      </c>
      <c r="Z76">
        <v>0</v>
      </c>
      <c r="AA76">
        <v>0</v>
      </c>
      <c r="AB76">
        <v>0</v>
      </c>
      <c r="AC76">
        <v>0</v>
      </c>
      <c r="AD76">
        <v>0</v>
      </c>
      <c r="AE76">
        <v>0</v>
      </c>
      <c r="AF76" s="100">
        <f>AVERAGEIFS($C$2:C76, $B$2:B76, B76)</f>
        <v>2</v>
      </c>
      <c r="AG76" s="100">
        <f>AVERAGEIFS($I$2:I76, $B$2:B76, B76)</f>
        <v>0</v>
      </c>
      <c r="AH76" s="100">
        <f>AVERAGEIFS($I$2:J76, $B$2:C76, C76)</f>
        <v>0.245</v>
      </c>
      <c r="AI76" s="100">
        <f>AVERAGEIFS($D$2:D76, $B$2:B76, B76)</f>
        <v>0</v>
      </c>
    </row>
    <row r="77" spans="1:35" x14ac:dyDescent="0.25">
      <c r="A77" s="106">
        <v>46053</v>
      </c>
      <c r="B77" t="s">
        <v>54</v>
      </c>
      <c r="C77">
        <v>31</v>
      </c>
      <c r="D77">
        <v>1</v>
      </c>
      <c r="E77">
        <v>3</v>
      </c>
      <c r="F77">
        <v>2</v>
      </c>
      <c r="G77">
        <v>15</v>
      </c>
      <c r="H77">
        <v>8</v>
      </c>
      <c r="I77">
        <v>0.67</v>
      </c>
      <c r="J77">
        <v>0.53</v>
      </c>
      <c r="K77">
        <v>0</v>
      </c>
      <c r="L77">
        <v>0</v>
      </c>
      <c r="M77">
        <v>0</v>
      </c>
      <c r="N77">
        <v>0</v>
      </c>
      <c r="O77">
        <v>0</v>
      </c>
      <c r="P77">
        <v>0</v>
      </c>
      <c r="Q77">
        <v>0</v>
      </c>
      <c r="R77">
        <v>0</v>
      </c>
      <c r="S77">
        <v>0</v>
      </c>
      <c r="T77">
        <v>0</v>
      </c>
      <c r="U77">
        <v>0</v>
      </c>
      <c r="V77">
        <v>0</v>
      </c>
      <c r="W77">
        <v>0</v>
      </c>
      <c r="X77">
        <v>1</v>
      </c>
      <c r="Y77">
        <v>0</v>
      </c>
      <c r="Z77">
        <v>0</v>
      </c>
      <c r="AA77">
        <v>0</v>
      </c>
      <c r="AB77">
        <v>1</v>
      </c>
      <c r="AC77">
        <v>0</v>
      </c>
      <c r="AD77">
        <v>0</v>
      </c>
      <c r="AE77">
        <v>0</v>
      </c>
      <c r="AF77" s="100">
        <f>AVERAGEIFS($C$2:C77, $B$2:B77, B77)</f>
        <v>26.142857142857142</v>
      </c>
      <c r="AG77" s="100">
        <f>AVERAGEIFS($I$2:I77, $B$2:B77, B77)</f>
        <v>0.48857142857142855</v>
      </c>
      <c r="AH77" s="100">
        <f>AVERAGEIFS($I$2:J77, $B$2:C77, C77)</f>
        <v>0.53</v>
      </c>
      <c r="AI77" s="100">
        <f>AVERAGEIFS($D$2:D77, $B$2:B77, B77)</f>
        <v>0.5714285714285714</v>
      </c>
    </row>
    <row r="78" spans="1:35" x14ac:dyDescent="0.25">
      <c r="A78" s="106">
        <v>46053</v>
      </c>
      <c r="B78" t="s">
        <v>17</v>
      </c>
      <c r="C78">
        <v>24</v>
      </c>
      <c r="D78">
        <v>1</v>
      </c>
      <c r="E78">
        <v>3</v>
      </c>
      <c r="F78">
        <v>2</v>
      </c>
      <c r="G78">
        <v>15</v>
      </c>
      <c r="H78">
        <v>8</v>
      </c>
      <c r="I78">
        <v>0.67</v>
      </c>
      <c r="J78">
        <v>0.53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0</v>
      </c>
      <c r="T78">
        <v>0</v>
      </c>
      <c r="U78">
        <v>0</v>
      </c>
      <c r="V78">
        <v>0</v>
      </c>
      <c r="W78">
        <v>0</v>
      </c>
      <c r="X78">
        <v>1</v>
      </c>
      <c r="Y78">
        <v>0</v>
      </c>
      <c r="Z78">
        <v>0</v>
      </c>
      <c r="AA78">
        <v>0</v>
      </c>
      <c r="AB78">
        <v>1</v>
      </c>
      <c r="AC78">
        <v>0</v>
      </c>
      <c r="AD78">
        <v>0</v>
      </c>
      <c r="AE78">
        <v>0</v>
      </c>
      <c r="AF78" s="100">
        <f>AVERAGEIFS($C$2:C78, $B$2:B78, B78)</f>
        <v>22</v>
      </c>
      <c r="AG78" s="100">
        <f>AVERAGEIFS($I$2:I78, $B$2:B78, B78)</f>
        <v>0.28666666666666668</v>
      </c>
      <c r="AH78" s="100">
        <f>AVERAGEIFS($I$2:J78, $B$2:C78, C78)</f>
        <v>0.60166666666666668</v>
      </c>
      <c r="AI78" s="100">
        <f>AVERAGEIFS($D$2:D78, $B$2:B78, B78)</f>
        <v>0.16666666666666666</v>
      </c>
    </row>
    <row r="79" spans="1:35" x14ac:dyDescent="0.25">
      <c r="A79" s="106">
        <v>46053</v>
      </c>
      <c r="B79" t="s">
        <v>14</v>
      </c>
      <c r="C79">
        <v>23</v>
      </c>
      <c r="D79">
        <v>1</v>
      </c>
      <c r="E79">
        <v>3</v>
      </c>
      <c r="F79">
        <v>2</v>
      </c>
      <c r="G79">
        <v>15</v>
      </c>
      <c r="H79">
        <v>8</v>
      </c>
      <c r="I79">
        <v>0.67</v>
      </c>
      <c r="J79">
        <v>0.53</v>
      </c>
      <c r="K79">
        <v>0</v>
      </c>
      <c r="L79">
        <v>0</v>
      </c>
      <c r="M79">
        <v>0</v>
      </c>
      <c r="N79">
        <v>0</v>
      </c>
      <c r="O79">
        <v>0</v>
      </c>
      <c r="P79">
        <v>0</v>
      </c>
      <c r="Q79">
        <v>0</v>
      </c>
      <c r="R79">
        <v>0</v>
      </c>
      <c r="S79">
        <v>0</v>
      </c>
      <c r="T79">
        <v>0</v>
      </c>
      <c r="U79">
        <v>0</v>
      </c>
      <c r="V79">
        <v>0</v>
      </c>
      <c r="W79">
        <v>0</v>
      </c>
      <c r="X79">
        <v>1</v>
      </c>
      <c r="Y79">
        <v>0</v>
      </c>
      <c r="Z79">
        <v>0</v>
      </c>
      <c r="AA79">
        <v>0</v>
      </c>
      <c r="AB79">
        <v>1</v>
      </c>
      <c r="AC79">
        <v>0</v>
      </c>
      <c r="AD79">
        <v>0</v>
      </c>
      <c r="AE79">
        <v>0</v>
      </c>
      <c r="AF79" s="100">
        <f>AVERAGEIFS($C$2:C79, $B$2:B79, B79)</f>
        <v>18.600000000000001</v>
      </c>
      <c r="AG79" s="100">
        <f>AVERAGEIFS($I$2:I79, $B$2:B79, B79)</f>
        <v>0.38400000000000001</v>
      </c>
      <c r="AH79" s="100">
        <f>AVERAGEIFS($I$2:J79, $B$2:C79, C79)</f>
        <v>0.61499999999999999</v>
      </c>
      <c r="AI79" s="100">
        <f>AVERAGEIFS($D$2:D79, $B$2:B79, B79)</f>
        <v>0.4</v>
      </c>
    </row>
    <row r="80" spans="1:35" x14ac:dyDescent="0.25">
      <c r="A80" s="106">
        <v>46053</v>
      </c>
      <c r="B80" t="s">
        <v>5</v>
      </c>
      <c r="C80">
        <v>22</v>
      </c>
      <c r="D80">
        <v>1</v>
      </c>
      <c r="E80">
        <v>3</v>
      </c>
      <c r="F80">
        <v>2</v>
      </c>
      <c r="G80">
        <v>15</v>
      </c>
      <c r="H80">
        <v>8</v>
      </c>
      <c r="I80">
        <v>0.67</v>
      </c>
      <c r="J80">
        <v>0.53</v>
      </c>
      <c r="K80">
        <v>0</v>
      </c>
      <c r="L80">
        <v>0</v>
      </c>
      <c r="M80">
        <v>0</v>
      </c>
      <c r="N80">
        <v>0</v>
      </c>
      <c r="O80">
        <v>0</v>
      </c>
      <c r="P80">
        <v>0</v>
      </c>
      <c r="Q80">
        <v>0</v>
      </c>
      <c r="R80">
        <v>0</v>
      </c>
      <c r="S80">
        <v>0</v>
      </c>
      <c r="T80">
        <v>0</v>
      </c>
      <c r="U80">
        <v>0</v>
      </c>
      <c r="V80">
        <v>0</v>
      </c>
      <c r="W80">
        <v>0</v>
      </c>
      <c r="X80">
        <v>1</v>
      </c>
      <c r="Y80">
        <v>0</v>
      </c>
      <c r="Z80">
        <v>0</v>
      </c>
      <c r="AA80">
        <v>0</v>
      </c>
      <c r="AB80">
        <v>1</v>
      </c>
      <c r="AC80">
        <v>0</v>
      </c>
      <c r="AD80">
        <v>0</v>
      </c>
      <c r="AE80">
        <v>0</v>
      </c>
      <c r="AF80" s="100">
        <f>AVERAGEIFS($C$2:C80, $B$2:B80, B80)</f>
        <v>19.399999999999999</v>
      </c>
      <c r="AG80" s="100">
        <f>AVERAGEIFS($I$2:I80, $B$2:B80, B80)</f>
        <v>0.68399999999999994</v>
      </c>
      <c r="AH80" s="100">
        <f>AVERAGEIFS($I$2:J80, $B$2:C80, C80)</f>
        <v>0.66333333333333333</v>
      </c>
      <c r="AI80" s="100">
        <f>AVERAGEIFS($D$2:D80, $B$2:B80, B80)</f>
        <v>0.8</v>
      </c>
    </row>
    <row r="81" spans="1:35" x14ac:dyDescent="0.25">
      <c r="A81" s="106">
        <v>46053</v>
      </c>
      <c r="B81" t="s">
        <v>51</v>
      </c>
      <c r="C81">
        <v>16</v>
      </c>
      <c r="D81">
        <v>1</v>
      </c>
      <c r="E81">
        <v>3</v>
      </c>
      <c r="F81">
        <v>2</v>
      </c>
      <c r="G81">
        <v>15</v>
      </c>
      <c r="H81">
        <v>8</v>
      </c>
      <c r="I81">
        <v>0.67</v>
      </c>
      <c r="J81">
        <v>0.53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0</v>
      </c>
      <c r="T81">
        <v>0</v>
      </c>
      <c r="U81">
        <v>0</v>
      </c>
      <c r="V81">
        <v>0</v>
      </c>
      <c r="W81">
        <v>0</v>
      </c>
      <c r="X81">
        <v>1</v>
      </c>
      <c r="Y81">
        <v>0</v>
      </c>
      <c r="Z81">
        <v>0</v>
      </c>
      <c r="AA81">
        <v>0</v>
      </c>
      <c r="AB81">
        <v>1</v>
      </c>
      <c r="AC81">
        <v>0</v>
      </c>
      <c r="AD81">
        <v>0</v>
      </c>
      <c r="AE81">
        <v>0</v>
      </c>
      <c r="AF81" s="100">
        <f>AVERAGEIFS($C$2:C81, $B$2:B81, B81)</f>
        <v>10.5</v>
      </c>
      <c r="AG81" s="100">
        <f>AVERAGEIFS($I$2:I81, $B$2:B81, B81)</f>
        <v>0.33500000000000002</v>
      </c>
      <c r="AH81" s="100">
        <f>AVERAGEIFS($I$2:J81, $B$2:C81, C81)</f>
        <v>0.55399999999999994</v>
      </c>
      <c r="AI81" s="100">
        <f>AVERAGEIFS($D$2:D81, $B$2:B81, B81)</f>
        <v>0.5</v>
      </c>
    </row>
    <row r="82" spans="1:35" x14ac:dyDescent="0.25">
      <c r="A82" s="106">
        <v>46053</v>
      </c>
      <c r="B82" t="s">
        <v>45</v>
      </c>
      <c r="C82">
        <v>3</v>
      </c>
      <c r="D82">
        <v>1</v>
      </c>
      <c r="E82">
        <v>3</v>
      </c>
      <c r="F82">
        <v>2</v>
      </c>
      <c r="G82">
        <v>15</v>
      </c>
      <c r="H82">
        <v>8</v>
      </c>
      <c r="I82">
        <v>0.67</v>
      </c>
      <c r="J82">
        <v>0.53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0</v>
      </c>
      <c r="T82">
        <v>0</v>
      </c>
      <c r="U82">
        <v>0</v>
      </c>
      <c r="V82">
        <v>0</v>
      </c>
      <c r="W82">
        <v>0</v>
      </c>
      <c r="X82">
        <v>1</v>
      </c>
      <c r="Y82">
        <v>0</v>
      </c>
      <c r="Z82">
        <v>0</v>
      </c>
      <c r="AA82">
        <v>0</v>
      </c>
      <c r="AB82">
        <v>1</v>
      </c>
      <c r="AC82">
        <v>0</v>
      </c>
      <c r="AD82">
        <v>0</v>
      </c>
      <c r="AE82">
        <v>0</v>
      </c>
      <c r="AF82" s="100">
        <f>AVERAGEIFS($C$2:C82, $B$2:B82, B82)</f>
        <v>7</v>
      </c>
      <c r="AG82" s="100">
        <f>AVERAGEIFS($I$2:I82, $B$2:B82, B82)</f>
        <v>0.71</v>
      </c>
      <c r="AH82" s="100">
        <f>AVERAGEIFS($I$2:J82, $B$2:C82, C82)</f>
        <v>0.45250000000000001</v>
      </c>
      <c r="AI82" s="100">
        <f>AVERAGEIFS($D$2:D82, $B$2:B82, B82)</f>
        <v>1</v>
      </c>
    </row>
    <row r="83" spans="1:35" x14ac:dyDescent="0.25">
      <c r="A83" s="106">
        <v>46053</v>
      </c>
      <c r="B83" t="s">
        <v>2</v>
      </c>
      <c r="C83">
        <v>27</v>
      </c>
      <c r="D83">
        <v>0</v>
      </c>
      <c r="E83">
        <v>3</v>
      </c>
      <c r="F83">
        <v>1</v>
      </c>
      <c r="G83">
        <v>15</v>
      </c>
      <c r="H83">
        <v>7</v>
      </c>
      <c r="I83">
        <v>0.33</v>
      </c>
      <c r="J83">
        <v>0.47</v>
      </c>
      <c r="K83">
        <v>0</v>
      </c>
      <c r="L83">
        <v>0</v>
      </c>
      <c r="M83">
        <v>0</v>
      </c>
      <c r="N83">
        <v>0</v>
      </c>
      <c r="O83">
        <v>0</v>
      </c>
      <c r="P83">
        <v>0</v>
      </c>
      <c r="Q83">
        <v>1</v>
      </c>
      <c r="R83">
        <v>0</v>
      </c>
      <c r="S83">
        <v>0</v>
      </c>
      <c r="T83">
        <v>0</v>
      </c>
      <c r="U83">
        <v>0</v>
      </c>
      <c r="V83">
        <v>0</v>
      </c>
      <c r="W83">
        <v>0</v>
      </c>
      <c r="X83">
        <v>0</v>
      </c>
      <c r="Y83">
        <v>0</v>
      </c>
      <c r="Z83">
        <v>0</v>
      </c>
      <c r="AA83">
        <v>0</v>
      </c>
      <c r="AB83">
        <v>0</v>
      </c>
      <c r="AC83">
        <v>0</v>
      </c>
      <c r="AD83">
        <v>0</v>
      </c>
      <c r="AE83">
        <v>0</v>
      </c>
      <c r="AF83" s="100">
        <f>AVERAGEIFS($C$2:C83, $B$2:B83, B83)</f>
        <v>21.333333333333332</v>
      </c>
      <c r="AG83" s="100">
        <f>AVERAGEIFS($I$2:I83, $B$2:B83, B83)</f>
        <v>0.44333333333333336</v>
      </c>
      <c r="AH83" s="100">
        <f>AVERAGEIFS($I$2:J83, $B$2:C83, C83)</f>
        <v>0.435</v>
      </c>
      <c r="AI83" s="100">
        <f>AVERAGEIFS($D$2:D83, $B$2:B83, B83)</f>
        <v>0.33333333333333331</v>
      </c>
    </row>
    <row r="84" spans="1:35" x14ac:dyDescent="0.25">
      <c r="A84" s="106">
        <v>46053</v>
      </c>
      <c r="B84" t="s">
        <v>28</v>
      </c>
      <c r="C84">
        <v>25</v>
      </c>
      <c r="D84">
        <v>0</v>
      </c>
      <c r="E84">
        <v>3</v>
      </c>
      <c r="F84">
        <v>1</v>
      </c>
      <c r="G84">
        <v>15</v>
      </c>
      <c r="H84">
        <v>7</v>
      </c>
      <c r="I84">
        <v>0.33</v>
      </c>
      <c r="J84">
        <v>0.47</v>
      </c>
      <c r="K84">
        <v>0</v>
      </c>
      <c r="L84">
        <v>0</v>
      </c>
      <c r="M84">
        <v>0</v>
      </c>
      <c r="N84">
        <v>0</v>
      </c>
      <c r="O84">
        <v>0</v>
      </c>
      <c r="P84">
        <v>0</v>
      </c>
      <c r="Q84">
        <v>1</v>
      </c>
      <c r="R84">
        <v>0</v>
      </c>
      <c r="S84">
        <v>0</v>
      </c>
      <c r="T84">
        <v>0</v>
      </c>
      <c r="U84">
        <v>0</v>
      </c>
      <c r="V84">
        <v>0</v>
      </c>
      <c r="W84">
        <v>0</v>
      </c>
      <c r="X84">
        <v>0</v>
      </c>
      <c r="Y84">
        <v>0</v>
      </c>
      <c r="Z84">
        <v>0</v>
      </c>
      <c r="AA84">
        <v>0</v>
      </c>
      <c r="AB84">
        <v>0</v>
      </c>
      <c r="AC84">
        <v>0</v>
      </c>
      <c r="AD84">
        <v>0</v>
      </c>
      <c r="AE84">
        <v>0</v>
      </c>
      <c r="AF84" s="100">
        <f>AVERAGEIFS($C$2:C84, $B$2:B84, B84)</f>
        <v>15.6</v>
      </c>
      <c r="AG84" s="100">
        <f>AVERAGEIFS($I$2:I84, $B$2:B84, B84)</f>
        <v>0.43600000000000005</v>
      </c>
      <c r="AH84" s="100">
        <f>AVERAGEIFS($I$2:J84, $B$2:C84, C84)</f>
        <v>0.49600000000000011</v>
      </c>
      <c r="AI84" s="100">
        <f>AVERAGEIFS($D$2:D84, $B$2:B84, B84)</f>
        <v>0.4</v>
      </c>
    </row>
    <row r="85" spans="1:35" x14ac:dyDescent="0.25">
      <c r="A85" s="106">
        <v>46053</v>
      </c>
      <c r="B85" t="s">
        <v>6</v>
      </c>
      <c r="C85">
        <v>22</v>
      </c>
      <c r="D85">
        <v>0</v>
      </c>
      <c r="E85">
        <v>3</v>
      </c>
      <c r="F85">
        <v>1</v>
      </c>
      <c r="G85">
        <v>15</v>
      </c>
      <c r="H85">
        <v>7</v>
      </c>
      <c r="I85">
        <v>0.33</v>
      </c>
      <c r="J85">
        <v>0.47</v>
      </c>
      <c r="K85">
        <v>0</v>
      </c>
      <c r="L85">
        <v>0</v>
      </c>
      <c r="M85">
        <v>0</v>
      </c>
      <c r="N85">
        <v>0</v>
      </c>
      <c r="O85">
        <v>0</v>
      </c>
      <c r="P85">
        <v>0</v>
      </c>
      <c r="Q85">
        <v>1</v>
      </c>
      <c r="R85">
        <v>0</v>
      </c>
      <c r="S85">
        <v>0</v>
      </c>
      <c r="T85">
        <v>0</v>
      </c>
      <c r="U85">
        <v>0</v>
      </c>
      <c r="V85">
        <v>0</v>
      </c>
      <c r="W85">
        <v>0</v>
      </c>
      <c r="X85">
        <v>0</v>
      </c>
      <c r="Y85">
        <v>0</v>
      </c>
      <c r="Z85">
        <v>0</v>
      </c>
      <c r="AA85">
        <v>0</v>
      </c>
      <c r="AB85">
        <v>0</v>
      </c>
      <c r="AC85">
        <v>0</v>
      </c>
      <c r="AD85">
        <v>0</v>
      </c>
      <c r="AE85">
        <v>0</v>
      </c>
      <c r="AF85" s="100">
        <f>AVERAGEIFS($C$2:C85, $B$2:B85, B85)</f>
        <v>21.5</v>
      </c>
      <c r="AG85" s="100">
        <f>AVERAGEIFS($I$2:I85, $B$2:B85, B85)</f>
        <v>0.6133333333333334</v>
      </c>
      <c r="AH85" s="100">
        <f>AVERAGEIFS($I$2:J85, $B$2:C85, C85)</f>
        <v>0.61499999999999999</v>
      </c>
      <c r="AI85" s="100">
        <f>AVERAGEIFS($D$2:D85, $B$2:B85, B85)</f>
        <v>0.66666666666666663</v>
      </c>
    </row>
    <row r="86" spans="1:35" x14ac:dyDescent="0.25">
      <c r="A86" s="106">
        <v>46053</v>
      </c>
      <c r="B86" t="s">
        <v>50</v>
      </c>
      <c r="C86">
        <v>16</v>
      </c>
      <c r="D86">
        <v>0</v>
      </c>
      <c r="E86">
        <v>3</v>
      </c>
      <c r="F86">
        <v>1</v>
      </c>
      <c r="G86">
        <v>15</v>
      </c>
      <c r="H86">
        <v>7</v>
      </c>
      <c r="I86">
        <v>0.33</v>
      </c>
      <c r="J86">
        <v>0.47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1</v>
      </c>
      <c r="R86">
        <v>0</v>
      </c>
      <c r="S86">
        <v>0</v>
      </c>
      <c r="T86">
        <v>0</v>
      </c>
      <c r="U86">
        <v>0</v>
      </c>
      <c r="V86">
        <v>0</v>
      </c>
      <c r="W86">
        <v>0</v>
      </c>
      <c r="X86">
        <v>0</v>
      </c>
      <c r="Y86">
        <v>0</v>
      </c>
      <c r="Z86">
        <v>0</v>
      </c>
      <c r="AA86">
        <v>0</v>
      </c>
      <c r="AB86">
        <v>0</v>
      </c>
      <c r="AC86">
        <v>0</v>
      </c>
      <c r="AD86">
        <v>0</v>
      </c>
      <c r="AE86">
        <v>0</v>
      </c>
      <c r="AF86" s="100">
        <f>AVERAGEIFS($C$2:C86, $B$2:B86, B86)</f>
        <v>19.285714285714285</v>
      </c>
      <c r="AG86" s="100">
        <f>AVERAGEIFS($I$2:I86, $B$2:B86, B86)</f>
        <v>0.54</v>
      </c>
      <c r="AH86" s="100">
        <f>AVERAGEIFS($I$2:J86, $B$2:C86, C86)</f>
        <v>0.53999999999999992</v>
      </c>
      <c r="AI86" s="100">
        <f>AVERAGEIFS($D$2:D86, $B$2:B86, B86)</f>
        <v>0.5714285714285714</v>
      </c>
    </row>
    <row r="87" spans="1:35" x14ac:dyDescent="0.25">
      <c r="A87" s="106">
        <v>46053</v>
      </c>
      <c r="B87" t="s">
        <v>35</v>
      </c>
      <c r="C87">
        <v>14</v>
      </c>
      <c r="D87">
        <v>0</v>
      </c>
      <c r="E87">
        <v>3</v>
      </c>
      <c r="F87">
        <v>1</v>
      </c>
      <c r="G87">
        <v>15</v>
      </c>
      <c r="H87">
        <v>7</v>
      </c>
      <c r="I87">
        <v>0.33</v>
      </c>
      <c r="J87">
        <v>0.47</v>
      </c>
      <c r="K87">
        <v>0</v>
      </c>
      <c r="L87">
        <v>0</v>
      </c>
      <c r="M87">
        <v>0</v>
      </c>
      <c r="N87">
        <v>0</v>
      </c>
      <c r="O87">
        <v>0</v>
      </c>
      <c r="P87">
        <v>0</v>
      </c>
      <c r="Q87">
        <v>1</v>
      </c>
      <c r="R87">
        <v>0</v>
      </c>
      <c r="S87">
        <v>0</v>
      </c>
      <c r="T87">
        <v>0</v>
      </c>
      <c r="U87">
        <v>0</v>
      </c>
      <c r="V87">
        <v>0</v>
      </c>
      <c r="W87">
        <v>0</v>
      </c>
      <c r="X87">
        <v>0</v>
      </c>
      <c r="Y87">
        <v>0</v>
      </c>
      <c r="Z87">
        <v>0</v>
      </c>
      <c r="AA87">
        <v>0</v>
      </c>
      <c r="AB87">
        <v>0</v>
      </c>
      <c r="AC87">
        <v>0</v>
      </c>
      <c r="AD87">
        <v>0</v>
      </c>
      <c r="AE87">
        <v>0</v>
      </c>
      <c r="AF87" s="100">
        <f>AVERAGEIFS($C$2:C87, $B$2:B87, B87)</f>
        <v>12</v>
      </c>
      <c r="AG87" s="100">
        <f>AVERAGEIFS($I$2:I87, $B$2:B87, B87)</f>
        <v>0.44</v>
      </c>
      <c r="AH87" s="100">
        <f>AVERAGEIFS($I$2:J87, $B$2:C87, C87)</f>
        <v>0.53499999999999992</v>
      </c>
      <c r="AI87" s="100">
        <f>AVERAGEIFS($D$2:D87, $B$2:B87, B87)</f>
        <v>0.42857142857142855</v>
      </c>
    </row>
    <row r="88" spans="1:35" x14ac:dyDescent="0.25">
      <c r="A88" s="106">
        <v>46053</v>
      </c>
      <c r="B88" t="s">
        <v>19</v>
      </c>
      <c r="C88">
        <v>8</v>
      </c>
      <c r="D88">
        <v>0</v>
      </c>
      <c r="E88">
        <v>3</v>
      </c>
      <c r="F88">
        <v>1</v>
      </c>
      <c r="G88">
        <v>15</v>
      </c>
      <c r="H88">
        <v>7</v>
      </c>
      <c r="I88">
        <v>0.33</v>
      </c>
      <c r="J88">
        <v>0.47</v>
      </c>
      <c r="K88">
        <v>0</v>
      </c>
      <c r="L88">
        <v>0</v>
      </c>
      <c r="M88">
        <v>0</v>
      </c>
      <c r="N88">
        <v>0</v>
      </c>
      <c r="O88">
        <v>0</v>
      </c>
      <c r="P88">
        <v>0</v>
      </c>
      <c r="Q88">
        <v>1</v>
      </c>
      <c r="R88">
        <v>0</v>
      </c>
      <c r="S88">
        <v>0</v>
      </c>
      <c r="T88">
        <v>0</v>
      </c>
      <c r="U88">
        <v>0</v>
      </c>
      <c r="V88">
        <v>0</v>
      </c>
      <c r="W88">
        <v>0</v>
      </c>
      <c r="X88">
        <v>0</v>
      </c>
      <c r="Y88">
        <v>0</v>
      </c>
      <c r="Z88">
        <v>0</v>
      </c>
      <c r="AA88">
        <v>0</v>
      </c>
      <c r="AB88">
        <v>0</v>
      </c>
      <c r="AC88">
        <v>0</v>
      </c>
      <c r="AD88">
        <v>0</v>
      </c>
      <c r="AE88">
        <v>0</v>
      </c>
      <c r="AF88" s="100">
        <f>AVERAGEIFS($C$2:C88, $B$2:B88, B88)</f>
        <v>9.1999999999999993</v>
      </c>
      <c r="AG88" s="100">
        <f>AVERAGEIFS($I$2:I88, $B$2:B88, B88)</f>
        <v>0.70600000000000007</v>
      </c>
      <c r="AH88" s="100">
        <f>AVERAGEIFS($I$2:J88, $B$2:C88, C88)</f>
        <v>0.54666666666666663</v>
      </c>
      <c r="AI88" s="100">
        <f>AVERAGEIFS($D$2:D88, $B$2:B88, B88)</f>
        <v>0.8</v>
      </c>
    </row>
    <row r="89" spans="1:35" x14ac:dyDescent="0.25">
      <c r="A89" s="106">
        <v>46056</v>
      </c>
      <c r="B89" t="s">
        <v>1</v>
      </c>
      <c r="C89">
        <v>23</v>
      </c>
      <c r="D89">
        <v>1</v>
      </c>
      <c r="E89">
        <v>4</v>
      </c>
      <c r="F89">
        <v>3</v>
      </c>
      <c r="G89">
        <v>15</v>
      </c>
      <c r="H89">
        <v>9</v>
      </c>
      <c r="I89">
        <v>0.75</v>
      </c>
      <c r="J89">
        <v>0.6</v>
      </c>
      <c r="K89">
        <v>1</v>
      </c>
      <c r="L89">
        <v>1</v>
      </c>
      <c r="M89">
        <v>0</v>
      </c>
      <c r="N89">
        <v>0</v>
      </c>
      <c r="O89">
        <v>0</v>
      </c>
      <c r="P89">
        <v>0</v>
      </c>
      <c r="Q89">
        <v>0</v>
      </c>
      <c r="R89">
        <v>0</v>
      </c>
      <c r="S89">
        <v>0</v>
      </c>
      <c r="T89">
        <v>0</v>
      </c>
      <c r="U89">
        <v>1</v>
      </c>
      <c r="V89">
        <v>0</v>
      </c>
      <c r="W89">
        <v>0</v>
      </c>
      <c r="X89">
        <v>0</v>
      </c>
      <c r="Y89">
        <v>0</v>
      </c>
      <c r="Z89">
        <v>0</v>
      </c>
      <c r="AA89">
        <v>0</v>
      </c>
      <c r="AB89">
        <v>0</v>
      </c>
      <c r="AC89">
        <v>0</v>
      </c>
      <c r="AD89">
        <v>0</v>
      </c>
      <c r="AE89">
        <v>0</v>
      </c>
      <c r="AF89" s="100">
        <f>AVERAGEIFS($C$2:C89, $B$2:B89, B89)</f>
        <v>26.666666666666668</v>
      </c>
      <c r="AG89" s="100">
        <f>AVERAGEIFS($I$2:I89, $B$2:B89, B89)</f>
        <v>0.45</v>
      </c>
      <c r="AH89" s="100">
        <f>AVERAGEIFS($I$2:J89, $B$2:C89, C89)</f>
        <v>0.61199999999999999</v>
      </c>
      <c r="AI89" s="100">
        <f>AVERAGEIFS($D$2:D89, $B$2:B89, B89)</f>
        <v>0.66666666666666663</v>
      </c>
    </row>
    <row r="90" spans="1:35" x14ac:dyDescent="0.25">
      <c r="A90" s="106">
        <v>46056</v>
      </c>
      <c r="B90" t="s">
        <v>50</v>
      </c>
      <c r="C90">
        <v>22</v>
      </c>
      <c r="D90">
        <v>1</v>
      </c>
      <c r="E90">
        <v>4</v>
      </c>
      <c r="F90">
        <v>3</v>
      </c>
      <c r="G90">
        <v>15</v>
      </c>
      <c r="H90">
        <v>9</v>
      </c>
      <c r="I90">
        <v>0.75</v>
      </c>
      <c r="J90">
        <v>0.6</v>
      </c>
      <c r="K90">
        <v>1</v>
      </c>
      <c r="L90">
        <v>1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0</v>
      </c>
      <c r="T90">
        <v>0</v>
      </c>
      <c r="U90">
        <v>1</v>
      </c>
      <c r="V90">
        <v>0</v>
      </c>
      <c r="W90">
        <v>0</v>
      </c>
      <c r="X90">
        <v>0</v>
      </c>
      <c r="Y90">
        <v>0</v>
      </c>
      <c r="Z90">
        <v>0</v>
      </c>
      <c r="AA90">
        <v>0</v>
      </c>
      <c r="AB90">
        <v>0</v>
      </c>
      <c r="AC90">
        <v>0</v>
      </c>
      <c r="AD90">
        <v>0</v>
      </c>
      <c r="AE90">
        <v>0</v>
      </c>
      <c r="AF90" s="100">
        <f>AVERAGEIFS($C$2:C90, $B$2:B90, B90)</f>
        <v>19.625</v>
      </c>
      <c r="AG90" s="100">
        <f>AVERAGEIFS($I$2:I90, $B$2:B90, B90)</f>
        <v>0.56625000000000003</v>
      </c>
      <c r="AH90" s="100">
        <f>AVERAGEIFS($I$2:J90, $B$2:C90, C90)</f>
        <v>0.61199999999999999</v>
      </c>
      <c r="AI90" s="100">
        <f>AVERAGEIFS($D$2:D90, $B$2:B90, B90)</f>
        <v>0.625</v>
      </c>
    </row>
    <row r="91" spans="1:35" x14ac:dyDescent="0.25">
      <c r="A91" s="106">
        <v>46056</v>
      </c>
      <c r="B91" t="s">
        <v>37</v>
      </c>
      <c r="C91">
        <v>19</v>
      </c>
      <c r="D91">
        <v>1</v>
      </c>
      <c r="E91">
        <v>4</v>
      </c>
      <c r="F91">
        <v>3</v>
      </c>
      <c r="G91">
        <v>15</v>
      </c>
      <c r="H91">
        <v>9</v>
      </c>
      <c r="I91">
        <v>0.75</v>
      </c>
      <c r="J91">
        <v>0.6</v>
      </c>
      <c r="K91">
        <v>1</v>
      </c>
      <c r="L91">
        <v>1</v>
      </c>
      <c r="M91">
        <v>0</v>
      </c>
      <c r="N91">
        <v>0</v>
      </c>
      <c r="O91">
        <v>0</v>
      </c>
      <c r="P91">
        <v>0</v>
      </c>
      <c r="Q91">
        <v>0</v>
      </c>
      <c r="R91">
        <v>0</v>
      </c>
      <c r="S91">
        <v>0</v>
      </c>
      <c r="T91">
        <v>0</v>
      </c>
      <c r="U91">
        <v>1</v>
      </c>
      <c r="V91">
        <v>0</v>
      </c>
      <c r="W91">
        <v>0</v>
      </c>
      <c r="X91">
        <v>0</v>
      </c>
      <c r="Y91">
        <v>0</v>
      </c>
      <c r="Z91">
        <v>0</v>
      </c>
      <c r="AA91">
        <v>0</v>
      </c>
      <c r="AB91">
        <v>0</v>
      </c>
      <c r="AC91">
        <v>0</v>
      </c>
      <c r="AD91">
        <v>0</v>
      </c>
      <c r="AE91">
        <v>0</v>
      </c>
      <c r="AF91" s="100">
        <f>AVERAGEIFS($C$2:C91, $B$2:B91, B91)</f>
        <v>15.5</v>
      </c>
      <c r="AG91" s="100">
        <f>AVERAGEIFS($I$2:I91, $B$2:B91, B91)</f>
        <v>0.875</v>
      </c>
      <c r="AH91" s="100">
        <f>AVERAGEIFS($I$2:J91, $B$2:C91, C91)</f>
        <v>0.49799999999999994</v>
      </c>
      <c r="AI91" s="100">
        <f>AVERAGEIFS($D$2:D91, $B$2:B91, B91)</f>
        <v>1</v>
      </c>
    </row>
    <row r="92" spans="1:35" x14ac:dyDescent="0.25">
      <c r="A92" s="106">
        <v>46056</v>
      </c>
      <c r="B92" t="s">
        <v>17</v>
      </c>
      <c r="C92">
        <v>15</v>
      </c>
      <c r="D92">
        <v>1</v>
      </c>
      <c r="E92">
        <v>4</v>
      </c>
      <c r="F92">
        <v>3</v>
      </c>
      <c r="G92">
        <v>15</v>
      </c>
      <c r="H92">
        <v>9</v>
      </c>
      <c r="I92">
        <v>0.75</v>
      </c>
      <c r="J92">
        <v>0.6</v>
      </c>
      <c r="K92">
        <v>1</v>
      </c>
      <c r="L92">
        <v>1</v>
      </c>
      <c r="M92">
        <v>0</v>
      </c>
      <c r="N92">
        <v>0</v>
      </c>
      <c r="O92">
        <v>0</v>
      </c>
      <c r="P92">
        <v>0</v>
      </c>
      <c r="Q92">
        <v>0</v>
      </c>
      <c r="R92">
        <v>0</v>
      </c>
      <c r="S92">
        <v>0</v>
      </c>
      <c r="T92">
        <v>0</v>
      </c>
      <c r="U92">
        <v>1</v>
      </c>
      <c r="V92">
        <v>0</v>
      </c>
      <c r="W92">
        <v>0</v>
      </c>
      <c r="X92">
        <v>0</v>
      </c>
      <c r="Y92">
        <v>0</v>
      </c>
      <c r="Z92">
        <v>0</v>
      </c>
      <c r="AA92">
        <v>0</v>
      </c>
      <c r="AB92">
        <v>0</v>
      </c>
      <c r="AC92">
        <v>0</v>
      </c>
      <c r="AD92">
        <v>0</v>
      </c>
      <c r="AE92">
        <v>0</v>
      </c>
      <c r="AF92" s="100">
        <f>AVERAGEIFS($C$2:C92, $B$2:B92, B92)</f>
        <v>21</v>
      </c>
      <c r="AG92" s="100">
        <f>AVERAGEIFS($I$2:I92, $B$2:B92, B92)</f>
        <v>0.35285714285714287</v>
      </c>
      <c r="AH92" s="100">
        <f>AVERAGEIFS($I$2:J92, $B$2:C92, C92)</f>
        <v>0.48</v>
      </c>
      <c r="AI92" s="100">
        <f>AVERAGEIFS($D$2:D92, $B$2:B92, B92)</f>
        <v>0.2857142857142857</v>
      </c>
    </row>
    <row r="93" spans="1:35" x14ac:dyDescent="0.25">
      <c r="A93" s="106">
        <v>46056</v>
      </c>
      <c r="B93" t="s">
        <v>54</v>
      </c>
      <c r="C93">
        <v>14</v>
      </c>
      <c r="D93">
        <v>1</v>
      </c>
      <c r="E93">
        <v>4</v>
      </c>
      <c r="F93">
        <v>3</v>
      </c>
      <c r="G93">
        <v>15</v>
      </c>
      <c r="H93">
        <v>9</v>
      </c>
      <c r="I93">
        <v>0.75</v>
      </c>
      <c r="J93">
        <v>0.6</v>
      </c>
      <c r="K93">
        <v>1</v>
      </c>
      <c r="L93">
        <v>1</v>
      </c>
      <c r="M93">
        <v>0</v>
      </c>
      <c r="N93">
        <v>0</v>
      </c>
      <c r="O93">
        <v>0</v>
      </c>
      <c r="P93">
        <v>0</v>
      </c>
      <c r="Q93">
        <v>0</v>
      </c>
      <c r="R93">
        <v>0</v>
      </c>
      <c r="S93">
        <v>0</v>
      </c>
      <c r="T93">
        <v>0</v>
      </c>
      <c r="U93">
        <v>1</v>
      </c>
      <c r="V93">
        <v>0</v>
      </c>
      <c r="W93">
        <v>0</v>
      </c>
      <c r="X93">
        <v>0</v>
      </c>
      <c r="Y93">
        <v>0</v>
      </c>
      <c r="Z93">
        <v>0</v>
      </c>
      <c r="AA93">
        <v>0</v>
      </c>
      <c r="AB93">
        <v>0</v>
      </c>
      <c r="AC93">
        <v>0</v>
      </c>
      <c r="AD93">
        <v>0</v>
      </c>
      <c r="AE93">
        <v>0</v>
      </c>
      <c r="AF93" s="100">
        <f>AVERAGEIFS($C$2:C93, $B$2:B93, B93)</f>
        <v>24.625</v>
      </c>
      <c r="AG93" s="100">
        <f>AVERAGEIFS($I$2:I93, $B$2:B93, B93)</f>
        <v>0.52124999999999999</v>
      </c>
      <c r="AH93" s="100">
        <f>AVERAGEIFS($I$2:J93, $B$2:C93, C93)</f>
        <v>0.55666666666666664</v>
      </c>
      <c r="AI93" s="100">
        <f>AVERAGEIFS($D$2:D93, $B$2:B93, B93)</f>
        <v>0.625</v>
      </c>
    </row>
    <row r="94" spans="1:35" x14ac:dyDescent="0.25">
      <c r="A94" s="106">
        <v>46056</v>
      </c>
      <c r="B94" t="s">
        <v>38</v>
      </c>
      <c r="C94">
        <v>3</v>
      </c>
      <c r="D94">
        <v>1</v>
      </c>
      <c r="E94">
        <v>4</v>
      </c>
      <c r="F94">
        <v>3</v>
      </c>
      <c r="G94">
        <v>15</v>
      </c>
      <c r="H94">
        <v>9</v>
      </c>
      <c r="I94">
        <v>0.75</v>
      </c>
      <c r="J94">
        <v>0.6</v>
      </c>
      <c r="K94">
        <v>1</v>
      </c>
      <c r="L94">
        <v>1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0</v>
      </c>
      <c r="T94">
        <v>0</v>
      </c>
      <c r="U94">
        <v>1</v>
      </c>
      <c r="V94">
        <v>0</v>
      </c>
      <c r="W94">
        <v>0</v>
      </c>
      <c r="X94">
        <v>0</v>
      </c>
      <c r="Y94">
        <v>0</v>
      </c>
      <c r="Z94">
        <v>0</v>
      </c>
      <c r="AA94">
        <v>0</v>
      </c>
      <c r="AB94">
        <v>0</v>
      </c>
      <c r="AC94">
        <v>0</v>
      </c>
      <c r="AD94">
        <v>0</v>
      </c>
      <c r="AE94">
        <v>0</v>
      </c>
      <c r="AF94" s="100">
        <f>AVERAGEIFS($C$2:C94, $B$2:B94, B94)</f>
        <v>2.5</v>
      </c>
      <c r="AG94" s="100">
        <f>AVERAGEIFS($I$2:I94, $B$2:B94, B94)</f>
        <v>0.375</v>
      </c>
      <c r="AH94" s="100">
        <f>AVERAGEIFS($I$2:J94, $B$2:C94, C94)</f>
        <v>0.48200000000000004</v>
      </c>
      <c r="AI94" s="100">
        <f>AVERAGEIFS($D$2:D94, $B$2:B94, B94)</f>
        <v>0.5</v>
      </c>
    </row>
    <row r="95" spans="1:35" x14ac:dyDescent="0.25">
      <c r="A95" s="106">
        <v>46056</v>
      </c>
      <c r="B95" t="s">
        <v>2</v>
      </c>
      <c r="C95">
        <v>25</v>
      </c>
      <c r="D95">
        <v>0</v>
      </c>
      <c r="E95">
        <v>4</v>
      </c>
      <c r="F95">
        <v>1</v>
      </c>
      <c r="G95">
        <v>15</v>
      </c>
      <c r="H95">
        <v>6</v>
      </c>
      <c r="I95">
        <v>0.25</v>
      </c>
      <c r="J95">
        <v>0.4</v>
      </c>
      <c r="K95">
        <v>0</v>
      </c>
      <c r="L95">
        <v>0</v>
      </c>
      <c r="M95">
        <v>0</v>
      </c>
      <c r="N95">
        <v>0</v>
      </c>
      <c r="O95">
        <v>0</v>
      </c>
      <c r="P95">
        <v>0</v>
      </c>
      <c r="Q95">
        <v>0</v>
      </c>
      <c r="R95">
        <v>0</v>
      </c>
      <c r="S95">
        <v>0</v>
      </c>
      <c r="T95">
        <v>0</v>
      </c>
      <c r="U95">
        <v>0</v>
      </c>
      <c r="V95">
        <v>0</v>
      </c>
      <c r="W95">
        <v>0</v>
      </c>
      <c r="X95">
        <v>0</v>
      </c>
      <c r="Y95">
        <v>0</v>
      </c>
      <c r="Z95">
        <v>0</v>
      </c>
      <c r="AA95">
        <v>1</v>
      </c>
      <c r="AB95">
        <v>0</v>
      </c>
      <c r="AC95">
        <v>0</v>
      </c>
      <c r="AD95">
        <v>0</v>
      </c>
      <c r="AE95">
        <v>0</v>
      </c>
      <c r="AF95" s="100">
        <f>AVERAGEIFS($C$2:C95, $B$2:B95, B95)</f>
        <v>22.25</v>
      </c>
      <c r="AG95" s="100">
        <f>AVERAGEIFS($I$2:I95, $B$2:B95, B95)</f>
        <v>0.39500000000000002</v>
      </c>
      <c r="AH95" s="100">
        <f>AVERAGEIFS($I$2:J95, $B$2:C95, C95)</f>
        <v>0.48000000000000004</v>
      </c>
      <c r="AI95" s="100">
        <f>AVERAGEIFS($D$2:D95, $B$2:B95, B95)</f>
        <v>0.25</v>
      </c>
    </row>
    <row r="96" spans="1:35" x14ac:dyDescent="0.25">
      <c r="A96" s="106">
        <v>46056</v>
      </c>
      <c r="B96" t="s">
        <v>46</v>
      </c>
      <c r="C96">
        <v>18</v>
      </c>
      <c r="D96">
        <v>0</v>
      </c>
      <c r="E96">
        <v>4</v>
      </c>
      <c r="F96">
        <v>1</v>
      </c>
      <c r="G96">
        <v>15</v>
      </c>
      <c r="H96">
        <v>6</v>
      </c>
      <c r="I96">
        <v>0.25</v>
      </c>
      <c r="J96">
        <v>0.4</v>
      </c>
      <c r="K96">
        <v>0</v>
      </c>
      <c r="L96">
        <v>0</v>
      </c>
      <c r="M96">
        <v>0</v>
      </c>
      <c r="N96">
        <v>0</v>
      </c>
      <c r="O96">
        <v>0</v>
      </c>
      <c r="P96">
        <v>0</v>
      </c>
      <c r="Q96">
        <v>0</v>
      </c>
      <c r="R96">
        <v>0</v>
      </c>
      <c r="S96">
        <v>0</v>
      </c>
      <c r="T96">
        <v>0</v>
      </c>
      <c r="U96">
        <v>0</v>
      </c>
      <c r="V96">
        <v>0</v>
      </c>
      <c r="W96">
        <v>0</v>
      </c>
      <c r="X96">
        <v>0</v>
      </c>
      <c r="Y96">
        <v>0</v>
      </c>
      <c r="Z96">
        <v>0</v>
      </c>
      <c r="AA96">
        <v>1</v>
      </c>
      <c r="AB96">
        <v>0</v>
      </c>
      <c r="AC96">
        <v>0</v>
      </c>
      <c r="AD96">
        <v>0</v>
      </c>
      <c r="AE96">
        <v>0</v>
      </c>
      <c r="AF96" s="100">
        <f>AVERAGEIFS($C$2:C96, $B$2:B96, B96)</f>
        <v>20</v>
      </c>
      <c r="AG96" s="100">
        <f>AVERAGEIFS($I$2:I96, $B$2:B96, B96)</f>
        <v>0.32500000000000001</v>
      </c>
      <c r="AH96" s="100">
        <f>AVERAGEIFS($I$2:J96, $B$2:C96, C96)</f>
        <v>0.54499999999999993</v>
      </c>
      <c r="AI96" s="100">
        <f>AVERAGEIFS($D$2:D96, $B$2:B96, B96)</f>
        <v>0</v>
      </c>
    </row>
    <row r="97" spans="1:35" x14ac:dyDescent="0.25">
      <c r="A97" s="106">
        <v>46056</v>
      </c>
      <c r="B97" t="s">
        <v>53</v>
      </c>
      <c r="C97">
        <v>18</v>
      </c>
      <c r="D97">
        <v>0</v>
      </c>
      <c r="E97">
        <v>4</v>
      </c>
      <c r="F97">
        <v>1</v>
      </c>
      <c r="G97">
        <v>15</v>
      </c>
      <c r="H97">
        <v>6</v>
      </c>
      <c r="I97">
        <v>0.25</v>
      </c>
      <c r="J97">
        <v>0.4</v>
      </c>
      <c r="K97">
        <v>0</v>
      </c>
      <c r="L97">
        <v>0</v>
      </c>
      <c r="M97">
        <v>0</v>
      </c>
      <c r="N97">
        <v>0</v>
      </c>
      <c r="O97">
        <v>0</v>
      </c>
      <c r="P97">
        <v>0</v>
      </c>
      <c r="Q97">
        <v>0</v>
      </c>
      <c r="R97">
        <v>0</v>
      </c>
      <c r="S97">
        <v>0</v>
      </c>
      <c r="T97">
        <v>0</v>
      </c>
      <c r="U97">
        <v>0</v>
      </c>
      <c r="V97">
        <v>0</v>
      </c>
      <c r="W97">
        <v>0</v>
      </c>
      <c r="X97">
        <v>0</v>
      </c>
      <c r="Y97">
        <v>0</v>
      </c>
      <c r="Z97">
        <v>0</v>
      </c>
      <c r="AA97">
        <v>1</v>
      </c>
      <c r="AB97">
        <v>0</v>
      </c>
      <c r="AC97">
        <v>0</v>
      </c>
      <c r="AD97">
        <v>0</v>
      </c>
      <c r="AE97">
        <v>0</v>
      </c>
      <c r="AF97" s="100">
        <f>AVERAGEIFS($C$2:C97, $B$2:B97, B97)</f>
        <v>22.2</v>
      </c>
      <c r="AG97" s="100">
        <f>AVERAGEIFS($I$2:I97, $B$2:B97, B97)</f>
        <v>0.61</v>
      </c>
      <c r="AH97" s="100">
        <f>AVERAGEIFS($I$2:J97, $B$2:C97, C97)</f>
        <v>0.49666666666666659</v>
      </c>
      <c r="AI97" s="100">
        <f>AVERAGEIFS($D$2:D97, $B$2:B97, B97)</f>
        <v>0.4</v>
      </c>
    </row>
    <row r="98" spans="1:35" x14ac:dyDescent="0.25">
      <c r="A98" s="106">
        <v>46056</v>
      </c>
      <c r="B98" t="s">
        <v>14</v>
      </c>
      <c r="C98">
        <v>13</v>
      </c>
      <c r="D98">
        <v>0</v>
      </c>
      <c r="E98">
        <v>4</v>
      </c>
      <c r="F98">
        <v>1</v>
      </c>
      <c r="G98">
        <v>15</v>
      </c>
      <c r="H98">
        <v>6</v>
      </c>
      <c r="I98">
        <v>0.25</v>
      </c>
      <c r="J98">
        <v>0.4</v>
      </c>
      <c r="K98">
        <v>0</v>
      </c>
      <c r="L98">
        <v>0</v>
      </c>
      <c r="M98">
        <v>0</v>
      </c>
      <c r="N98">
        <v>0</v>
      </c>
      <c r="O98">
        <v>0</v>
      </c>
      <c r="P98">
        <v>0</v>
      </c>
      <c r="Q98">
        <v>0</v>
      </c>
      <c r="R98">
        <v>0</v>
      </c>
      <c r="S98">
        <v>0</v>
      </c>
      <c r="T98">
        <v>0</v>
      </c>
      <c r="U98">
        <v>0</v>
      </c>
      <c r="V98">
        <v>0</v>
      </c>
      <c r="W98">
        <v>0</v>
      </c>
      <c r="X98">
        <v>0</v>
      </c>
      <c r="Y98">
        <v>0</v>
      </c>
      <c r="Z98">
        <v>0</v>
      </c>
      <c r="AA98">
        <v>1</v>
      </c>
      <c r="AB98">
        <v>0</v>
      </c>
      <c r="AC98">
        <v>0</v>
      </c>
      <c r="AD98">
        <v>0</v>
      </c>
      <c r="AE98">
        <v>0</v>
      </c>
      <c r="AF98" s="100">
        <f>AVERAGEIFS($C$2:C98, $B$2:B98, B98)</f>
        <v>17.666666666666668</v>
      </c>
      <c r="AG98" s="100">
        <f>AVERAGEIFS($I$2:I98, $B$2:B98, B98)</f>
        <v>0.36166666666666664</v>
      </c>
      <c r="AH98" s="100">
        <f>AVERAGEIFS($I$2:J98, $B$2:C98, C98)</f>
        <v>0.44</v>
      </c>
      <c r="AI98" s="100">
        <f>AVERAGEIFS($D$2:D98, $B$2:B98, B98)</f>
        <v>0.33333333333333331</v>
      </c>
    </row>
    <row r="99" spans="1:35" x14ac:dyDescent="0.25">
      <c r="A99" s="106">
        <v>46056</v>
      </c>
      <c r="B99" t="s">
        <v>52</v>
      </c>
      <c r="C99">
        <v>12</v>
      </c>
      <c r="D99">
        <v>0</v>
      </c>
      <c r="E99">
        <v>4</v>
      </c>
      <c r="F99">
        <v>1</v>
      </c>
      <c r="G99">
        <v>15</v>
      </c>
      <c r="H99">
        <v>6</v>
      </c>
      <c r="I99">
        <v>0.25</v>
      </c>
      <c r="J99">
        <v>0.4</v>
      </c>
      <c r="K99">
        <v>0</v>
      </c>
      <c r="L99">
        <v>0</v>
      </c>
      <c r="M99">
        <v>0</v>
      </c>
      <c r="N99">
        <v>0</v>
      </c>
      <c r="O99">
        <v>0</v>
      </c>
      <c r="P99">
        <v>0</v>
      </c>
      <c r="Q99">
        <v>0</v>
      </c>
      <c r="R99">
        <v>0</v>
      </c>
      <c r="S99">
        <v>0</v>
      </c>
      <c r="T99">
        <v>0</v>
      </c>
      <c r="U99">
        <v>0</v>
      </c>
      <c r="V99">
        <v>0</v>
      </c>
      <c r="W99">
        <v>0</v>
      </c>
      <c r="X99">
        <v>0</v>
      </c>
      <c r="Y99">
        <v>0</v>
      </c>
      <c r="Z99">
        <v>0</v>
      </c>
      <c r="AA99">
        <v>1</v>
      </c>
      <c r="AB99">
        <v>0</v>
      </c>
      <c r="AC99">
        <v>0</v>
      </c>
      <c r="AD99">
        <v>0</v>
      </c>
      <c r="AE99">
        <v>0</v>
      </c>
      <c r="AF99" s="100">
        <f>AVERAGEIFS($C$2:C99, $B$2:B99, B99)</f>
        <v>12</v>
      </c>
      <c r="AG99" s="100">
        <f>AVERAGEIFS($I$2:I99, $B$2:B99, B99)</f>
        <v>0.25</v>
      </c>
      <c r="AH99" s="100">
        <f>AVERAGEIFS($I$2:J99, $B$2:C99, C99)</f>
        <v>0.49199999999999999</v>
      </c>
      <c r="AI99" s="100">
        <f>AVERAGEIFS($D$2:D99, $B$2:B99, B99)</f>
        <v>0</v>
      </c>
    </row>
    <row r="100" spans="1:35" x14ac:dyDescent="0.25">
      <c r="A100" s="106">
        <v>46056</v>
      </c>
      <c r="B100" t="s">
        <v>19</v>
      </c>
      <c r="C100">
        <v>9</v>
      </c>
      <c r="D100">
        <v>0</v>
      </c>
      <c r="E100">
        <v>4</v>
      </c>
      <c r="F100">
        <v>1</v>
      </c>
      <c r="G100">
        <v>15</v>
      </c>
      <c r="H100">
        <v>6</v>
      </c>
      <c r="I100">
        <v>0.25</v>
      </c>
      <c r="J100">
        <v>0.4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1</v>
      </c>
      <c r="AB100">
        <v>0</v>
      </c>
      <c r="AC100">
        <v>0</v>
      </c>
      <c r="AD100">
        <v>0</v>
      </c>
      <c r="AE100">
        <v>0</v>
      </c>
      <c r="AF100" s="100">
        <f>AVERAGEIFS($C$2:C100, $B$2:B100, B100)</f>
        <v>9.1666666666666661</v>
      </c>
      <c r="AG100" s="100">
        <f>AVERAGEIFS($I$2:I100, $B$2:B100, B100)</f>
        <v>0.63</v>
      </c>
      <c r="AH100" s="100">
        <f>AVERAGEIFS($I$2:J100, $B$2:C100, C100)</f>
        <v>0.32750000000000001</v>
      </c>
      <c r="AI100" s="100">
        <f>AVERAGEIFS($D$2:D100, $B$2:B100, B100)</f>
        <v>0.66666666666666663</v>
      </c>
    </row>
    <row r="101" spans="1:35" x14ac:dyDescent="0.25">
      <c r="A101" s="106">
        <v>46057</v>
      </c>
      <c r="B101" t="s">
        <v>46</v>
      </c>
      <c r="C101">
        <v>22</v>
      </c>
      <c r="D101">
        <v>1</v>
      </c>
      <c r="E101">
        <v>5</v>
      </c>
      <c r="F101">
        <v>3</v>
      </c>
      <c r="G101">
        <v>21</v>
      </c>
      <c r="H101">
        <v>11</v>
      </c>
      <c r="I101">
        <v>0.6</v>
      </c>
      <c r="J101">
        <v>0.52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1</v>
      </c>
      <c r="W101">
        <v>1</v>
      </c>
      <c r="X101">
        <v>0</v>
      </c>
      <c r="Y101">
        <v>1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 s="100">
        <f>AVERAGEIFS($C$2:C101, $B$2:B101, B101)</f>
        <v>20.399999999999999</v>
      </c>
      <c r="AG101" s="100">
        <f>AVERAGEIFS($I$2:I101, $B$2:B101, B101)</f>
        <v>0.38</v>
      </c>
      <c r="AH101" s="100">
        <f>AVERAGEIFS($I$2:J101, $B$2:C101, C101)</f>
        <v>0.59666666666666668</v>
      </c>
      <c r="AI101" s="100">
        <f>AVERAGEIFS($D$2:D101, $B$2:B101, B101)</f>
        <v>0.2</v>
      </c>
    </row>
    <row r="102" spans="1:35" x14ac:dyDescent="0.25">
      <c r="A102" s="106">
        <v>46057</v>
      </c>
      <c r="B102" t="s">
        <v>94</v>
      </c>
      <c r="C102">
        <v>18</v>
      </c>
      <c r="D102">
        <v>1</v>
      </c>
      <c r="E102">
        <v>5</v>
      </c>
      <c r="F102">
        <v>3</v>
      </c>
      <c r="G102">
        <v>21</v>
      </c>
      <c r="H102">
        <v>11</v>
      </c>
      <c r="I102">
        <v>0.6</v>
      </c>
      <c r="J102">
        <v>0.52</v>
      </c>
      <c r="K102">
        <v>0</v>
      </c>
      <c r="L102">
        <v>0</v>
      </c>
      <c r="M102">
        <v>0</v>
      </c>
      <c r="N102">
        <v>0</v>
      </c>
      <c r="O102">
        <v>0</v>
      </c>
      <c r="P102">
        <v>0</v>
      </c>
      <c r="Q102">
        <v>0</v>
      </c>
      <c r="R102">
        <v>0</v>
      </c>
      <c r="S102">
        <v>0</v>
      </c>
      <c r="T102">
        <v>0</v>
      </c>
      <c r="U102">
        <v>0</v>
      </c>
      <c r="V102">
        <v>1</v>
      </c>
      <c r="W102">
        <v>1</v>
      </c>
      <c r="X102">
        <v>0</v>
      </c>
      <c r="Y102">
        <v>1</v>
      </c>
      <c r="Z102">
        <v>0</v>
      </c>
      <c r="AA102">
        <v>0</v>
      </c>
      <c r="AB102">
        <v>0</v>
      </c>
      <c r="AC102">
        <v>0</v>
      </c>
      <c r="AD102">
        <v>0</v>
      </c>
      <c r="AE102">
        <v>0</v>
      </c>
      <c r="AF102" s="100">
        <f>AVERAGEIFS($C$2:C102, $B$2:B102, B102)</f>
        <v>18</v>
      </c>
      <c r="AG102" s="100">
        <f>AVERAGEIFS($I$2:I102, $B$2:B102, B102)</f>
        <v>0.6</v>
      </c>
      <c r="AH102" s="100">
        <f>AVERAGEIFS($I$2:J102, $B$2:C102, C102)</f>
        <v>0.50249999999999995</v>
      </c>
      <c r="AI102" s="100">
        <f>AVERAGEIFS($D$2:D102, $B$2:B102, B102)</f>
        <v>1</v>
      </c>
    </row>
    <row r="103" spans="1:35" x14ac:dyDescent="0.25">
      <c r="A103" s="106">
        <v>46057</v>
      </c>
      <c r="B103" t="s">
        <v>18</v>
      </c>
      <c r="C103">
        <v>14</v>
      </c>
      <c r="D103">
        <v>1</v>
      </c>
      <c r="E103">
        <v>5</v>
      </c>
      <c r="F103">
        <v>3</v>
      </c>
      <c r="G103">
        <v>21</v>
      </c>
      <c r="H103">
        <v>11</v>
      </c>
      <c r="I103">
        <v>0.6</v>
      </c>
      <c r="J103">
        <v>0.52</v>
      </c>
      <c r="K103">
        <v>0</v>
      </c>
      <c r="L103">
        <v>0</v>
      </c>
      <c r="M103">
        <v>0</v>
      </c>
      <c r="N103">
        <v>0</v>
      </c>
      <c r="O103">
        <v>0</v>
      </c>
      <c r="P103">
        <v>0</v>
      </c>
      <c r="Q103">
        <v>0</v>
      </c>
      <c r="R103">
        <v>0</v>
      </c>
      <c r="S103">
        <v>0</v>
      </c>
      <c r="T103">
        <v>0</v>
      </c>
      <c r="U103">
        <v>0</v>
      </c>
      <c r="V103">
        <v>1</v>
      </c>
      <c r="W103">
        <v>1</v>
      </c>
      <c r="X103">
        <v>0</v>
      </c>
      <c r="Y103">
        <v>1</v>
      </c>
      <c r="Z103">
        <v>0</v>
      </c>
      <c r="AA103">
        <v>0</v>
      </c>
      <c r="AB103">
        <v>0</v>
      </c>
      <c r="AC103">
        <v>0</v>
      </c>
      <c r="AD103">
        <v>0</v>
      </c>
      <c r="AE103">
        <v>0</v>
      </c>
      <c r="AF103" s="100">
        <f>AVERAGEIFS($C$2:C103, $B$2:B103, B103)</f>
        <v>19</v>
      </c>
      <c r="AG103" s="100">
        <f>AVERAGEIFS($I$2:I103, $B$2:B103, B103)</f>
        <v>0.8</v>
      </c>
      <c r="AH103" s="100">
        <f>AVERAGEIFS($I$2:J103, $B$2:C103, C103)</f>
        <v>0.54749999999999999</v>
      </c>
      <c r="AI103" s="100">
        <f>AVERAGEIFS($D$2:D103, $B$2:B103, B103)</f>
        <v>1</v>
      </c>
    </row>
    <row r="104" spans="1:35" x14ac:dyDescent="0.25">
      <c r="A104" s="106">
        <v>46057</v>
      </c>
      <c r="B104" t="s">
        <v>14</v>
      </c>
      <c r="C104">
        <v>13</v>
      </c>
      <c r="D104">
        <v>1</v>
      </c>
      <c r="E104">
        <v>5</v>
      </c>
      <c r="F104">
        <v>3</v>
      </c>
      <c r="G104">
        <v>21</v>
      </c>
      <c r="H104">
        <v>11</v>
      </c>
      <c r="I104">
        <v>0.6</v>
      </c>
      <c r="J104">
        <v>0.52</v>
      </c>
      <c r="K104">
        <v>0</v>
      </c>
      <c r="L104">
        <v>0</v>
      </c>
      <c r="M104">
        <v>0</v>
      </c>
      <c r="N104">
        <v>0</v>
      </c>
      <c r="O104">
        <v>0</v>
      </c>
      <c r="P104">
        <v>0</v>
      </c>
      <c r="Q104">
        <v>0</v>
      </c>
      <c r="R104">
        <v>0</v>
      </c>
      <c r="S104">
        <v>0</v>
      </c>
      <c r="T104">
        <v>0</v>
      </c>
      <c r="U104">
        <v>0</v>
      </c>
      <c r="V104">
        <v>1</v>
      </c>
      <c r="W104">
        <v>1</v>
      </c>
      <c r="X104">
        <v>0</v>
      </c>
      <c r="Y104">
        <v>1</v>
      </c>
      <c r="Z104">
        <v>0</v>
      </c>
      <c r="AA104">
        <v>0</v>
      </c>
      <c r="AB104">
        <v>0</v>
      </c>
      <c r="AC104">
        <v>0</v>
      </c>
      <c r="AD104">
        <v>0</v>
      </c>
      <c r="AE104">
        <v>0</v>
      </c>
      <c r="AF104" s="100">
        <f>AVERAGEIFS($C$2:C104, $B$2:B104, B104)</f>
        <v>17</v>
      </c>
      <c r="AG104" s="100">
        <f>AVERAGEIFS($I$2:I104, $B$2:B104, B104)</f>
        <v>0.39571428571428574</v>
      </c>
      <c r="AH104" s="100">
        <f>AVERAGEIFS($I$2:J104, $B$2:C104, C104)</f>
        <v>0.46666666666666662</v>
      </c>
      <c r="AI104" s="100">
        <f>AVERAGEIFS($D$2:D104, $B$2:B104, B104)</f>
        <v>0.42857142857142855</v>
      </c>
    </row>
    <row r="105" spans="1:35" x14ac:dyDescent="0.25">
      <c r="A105" s="106">
        <v>46057</v>
      </c>
      <c r="B105" t="s">
        <v>53</v>
      </c>
      <c r="C105">
        <v>12</v>
      </c>
      <c r="D105">
        <v>1</v>
      </c>
      <c r="E105">
        <v>5</v>
      </c>
      <c r="F105">
        <v>3</v>
      </c>
      <c r="G105">
        <v>21</v>
      </c>
      <c r="H105">
        <v>11</v>
      </c>
      <c r="I105">
        <v>0.6</v>
      </c>
      <c r="J105">
        <v>0.52</v>
      </c>
      <c r="K105">
        <v>0</v>
      </c>
      <c r="L105">
        <v>0</v>
      </c>
      <c r="M105">
        <v>0</v>
      </c>
      <c r="N105">
        <v>0</v>
      </c>
      <c r="O105">
        <v>0</v>
      </c>
      <c r="P105">
        <v>0</v>
      </c>
      <c r="Q105">
        <v>0</v>
      </c>
      <c r="R105">
        <v>0</v>
      </c>
      <c r="S105">
        <v>0</v>
      </c>
      <c r="T105">
        <v>0</v>
      </c>
      <c r="U105">
        <v>0</v>
      </c>
      <c r="V105">
        <v>1</v>
      </c>
      <c r="W105">
        <v>1</v>
      </c>
      <c r="X105">
        <v>0</v>
      </c>
      <c r="Y105">
        <v>1</v>
      </c>
      <c r="Z105">
        <v>0</v>
      </c>
      <c r="AA105">
        <v>0</v>
      </c>
      <c r="AB105">
        <v>0</v>
      </c>
      <c r="AC105">
        <v>0</v>
      </c>
      <c r="AD105">
        <v>0</v>
      </c>
      <c r="AE105">
        <v>0</v>
      </c>
      <c r="AF105" s="100">
        <f>AVERAGEIFS($C$2:C105, $B$2:B105, B105)</f>
        <v>20.5</v>
      </c>
      <c r="AG105" s="100">
        <f>AVERAGEIFS($I$2:I105, $B$2:B105, B105)</f>
        <v>0.60833333333333328</v>
      </c>
      <c r="AH105" s="100">
        <f>AVERAGEIFS($I$2:J105, $B$2:C105, C105)</f>
        <v>0.49666666666666665</v>
      </c>
      <c r="AI105" s="100">
        <f>AVERAGEIFS($D$2:D105, $B$2:B105, B105)</f>
        <v>0.5</v>
      </c>
    </row>
    <row r="106" spans="1:35" x14ac:dyDescent="0.25">
      <c r="A106" s="106">
        <v>46057</v>
      </c>
      <c r="B106" t="s">
        <v>54</v>
      </c>
      <c r="C106">
        <v>25</v>
      </c>
      <c r="D106">
        <v>0</v>
      </c>
      <c r="E106">
        <v>5</v>
      </c>
      <c r="F106">
        <v>2</v>
      </c>
      <c r="G106">
        <v>21</v>
      </c>
      <c r="H106">
        <v>10</v>
      </c>
      <c r="I106">
        <v>0.4</v>
      </c>
      <c r="J106">
        <v>0.48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0</v>
      </c>
      <c r="T106">
        <v>0</v>
      </c>
      <c r="U106">
        <v>0</v>
      </c>
      <c r="V106">
        <v>0</v>
      </c>
      <c r="W106">
        <v>0</v>
      </c>
      <c r="X106">
        <v>0</v>
      </c>
      <c r="Y106">
        <v>0</v>
      </c>
      <c r="Z106">
        <v>0</v>
      </c>
      <c r="AA106">
        <v>0</v>
      </c>
      <c r="AB106">
        <v>0</v>
      </c>
      <c r="AC106">
        <v>1</v>
      </c>
      <c r="AD106">
        <v>0</v>
      </c>
      <c r="AE106">
        <v>1</v>
      </c>
      <c r="AF106" s="100">
        <f>AVERAGEIFS($C$2:C106, $B$2:B106, B106)</f>
        <v>24.666666666666668</v>
      </c>
      <c r="AG106" s="100">
        <f>AVERAGEIFS($I$2:I106, $B$2:B106, B106)</f>
        <v>0.50777777777777777</v>
      </c>
      <c r="AH106" s="100">
        <f>AVERAGEIFS($I$2:J106, $B$2:C106, C106)</f>
        <v>0.48000000000000004</v>
      </c>
      <c r="AI106" s="100">
        <f>AVERAGEIFS($D$2:D106, $B$2:B106, B106)</f>
        <v>0.55555555555555558</v>
      </c>
    </row>
    <row r="107" spans="1:35" x14ac:dyDescent="0.25">
      <c r="A107" s="106">
        <v>46057</v>
      </c>
      <c r="B107" t="s">
        <v>17</v>
      </c>
      <c r="C107">
        <v>20</v>
      </c>
      <c r="D107">
        <v>0</v>
      </c>
      <c r="E107">
        <v>5</v>
      </c>
      <c r="F107">
        <v>2</v>
      </c>
      <c r="G107">
        <v>21</v>
      </c>
      <c r="H107">
        <v>10</v>
      </c>
      <c r="I107">
        <v>0.4</v>
      </c>
      <c r="J107">
        <v>0.48</v>
      </c>
      <c r="K107">
        <v>0</v>
      </c>
      <c r="L107">
        <v>0</v>
      </c>
      <c r="M107">
        <v>0</v>
      </c>
      <c r="N107">
        <v>0</v>
      </c>
      <c r="O107">
        <v>0</v>
      </c>
      <c r="P107">
        <v>0</v>
      </c>
      <c r="Q107">
        <v>0</v>
      </c>
      <c r="R107">
        <v>0</v>
      </c>
      <c r="S107">
        <v>0</v>
      </c>
      <c r="T107">
        <v>0</v>
      </c>
      <c r="U107">
        <v>0</v>
      </c>
      <c r="V107">
        <v>0</v>
      </c>
      <c r="W107">
        <v>0</v>
      </c>
      <c r="X107">
        <v>0</v>
      </c>
      <c r="Y107">
        <v>0</v>
      </c>
      <c r="Z107">
        <v>0</v>
      </c>
      <c r="AA107">
        <v>0</v>
      </c>
      <c r="AB107">
        <v>0</v>
      </c>
      <c r="AC107">
        <v>1</v>
      </c>
      <c r="AD107">
        <v>0</v>
      </c>
      <c r="AE107">
        <v>1</v>
      </c>
      <c r="AF107" s="100">
        <f>AVERAGEIFS($C$2:C107, $B$2:B107, B107)</f>
        <v>20.875</v>
      </c>
      <c r="AG107" s="100">
        <f>AVERAGEIFS($I$2:I107, $B$2:B107, B107)</f>
        <v>0.35875000000000001</v>
      </c>
      <c r="AH107" s="100">
        <f>AVERAGEIFS($I$2:J107, $B$2:C107, C107)</f>
        <v>0.39333333333333331</v>
      </c>
      <c r="AI107" s="100">
        <f>AVERAGEIFS($D$2:D107, $B$2:B107, B107)</f>
        <v>0.25</v>
      </c>
    </row>
    <row r="108" spans="1:35" x14ac:dyDescent="0.25">
      <c r="A108" s="106">
        <v>46057</v>
      </c>
      <c r="B108" t="s">
        <v>50</v>
      </c>
      <c r="C108">
        <v>13</v>
      </c>
      <c r="D108">
        <v>0</v>
      </c>
      <c r="E108">
        <v>5</v>
      </c>
      <c r="F108">
        <v>2</v>
      </c>
      <c r="G108">
        <v>21</v>
      </c>
      <c r="H108">
        <v>10</v>
      </c>
      <c r="I108">
        <v>0.4</v>
      </c>
      <c r="J108">
        <v>0.48</v>
      </c>
      <c r="K108">
        <v>0</v>
      </c>
      <c r="L108">
        <v>0</v>
      </c>
      <c r="M108">
        <v>0</v>
      </c>
      <c r="N108">
        <v>0</v>
      </c>
      <c r="O108">
        <v>0</v>
      </c>
      <c r="P108">
        <v>0</v>
      </c>
      <c r="Q108">
        <v>0</v>
      </c>
      <c r="R108">
        <v>0</v>
      </c>
      <c r="S108">
        <v>0</v>
      </c>
      <c r="T108">
        <v>0</v>
      </c>
      <c r="U108">
        <v>0</v>
      </c>
      <c r="V108">
        <v>0</v>
      </c>
      <c r="W108">
        <v>0</v>
      </c>
      <c r="X108">
        <v>0</v>
      </c>
      <c r="Y108">
        <v>0</v>
      </c>
      <c r="Z108">
        <v>0</v>
      </c>
      <c r="AA108">
        <v>0</v>
      </c>
      <c r="AB108">
        <v>0</v>
      </c>
      <c r="AC108">
        <v>1</v>
      </c>
      <c r="AD108">
        <v>0</v>
      </c>
      <c r="AE108">
        <v>1</v>
      </c>
      <c r="AF108" s="100">
        <f>AVERAGEIFS($C$2:C108, $B$2:B108, B108)</f>
        <v>18.888888888888889</v>
      </c>
      <c r="AG108" s="100">
        <f>AVERAGEIFS($I$2:I108, $B$2:B108, B108)</f>
        <v>0.54777777777777781</v>
      </c>
      <c r="AH108" s="100">
        <f>AVERAGEIFS($I$2:J108, $B$2:C108, C108)</f>
        <v>0.47</v>
      </c>
      <c r="AI108" s="100">
        <f>AVERAGEIFS($D$2:D108, $B$2:B108, B108)</f>
        <v>0.55555555555555558</v>
      </c>
    </row>
    <row r="109" spans="1:35" x14ac:dyDescent="0.25">
      <c r="A109" s="106">
        <v>46057</v>
      </c>
      <c r="B109" t="s">
        <v>19</v>
      </c>
      <c r="C109">
        <v>10</v>
      </c>
      <c r="D109">
        <v>0</v>
      </c>
      <c r="E109">
        <v>5</v>
      </c>
      <c r="F109">
        <v>2</v>
      </c>
      <c r="G109">
        <v>21</v>
      </c>
      <c r="H109">
        <v>10</v>
      </c>
      <c r="I109">
        <v>0.4</v>
      </c>
      <c r="J109">
        <v>0.48</v>
      </c>
      <c r="K109">
        <v>0</v>
      </c>
      <c r="L109">
        <v>0</v>
      </c>
      <c r="M109">
        <v>0</v>
      </c>
      <c r="N109">
        <v>0</v>
      </c>
      <c r="O109">
        <v>0</v>
      </c>
      <c r="P109">
        <v>0</v>
      </c>
      <c r="Q109">
        <v>0</v>
      </c>
      <c r="R109">
        <v>0</v>
      </c>
      <c r="S109">
        <v>0</v>
      </c>
      <c r="T109">
        <v>0</v>
      </c>
      <c r="U109">
        <v>0</v>
      </c>
      <c r="V109">
        <v>0</v>
      </c>
      <c r="W109">
        <v>0</v>
      </c>
      <c r="X109">
        <v>0</v>
      </c>
      <c r="Y109">
        <v>0</v>
      </c>
      <c r="Z109">
        <v>0</v>
      </c>
      <c r="AA109">
        <v>0</v>
      </c>
      <c r="AB109">
        <v>0</v>
      </c>
      <c r="AC109">
        <v>1</v>
      </c>
      <c r="AD109">
        <v>0</v>
      </c>
      <c r="AE109">
        <v>1</v>
      </c>
      <c r="AF109" s="100">
        <f>AVERAGEIFS($C$2:C109, $B$2:B109, B109)</f>
        <v>9.2857142857142865</v>
      </c>
      <c r="AG109" s="100">
        <f>AVERAGEIFS($I$2:I109, $B$2:B109, B109)</f>
        <v>0.5971428571428572</v>
      </c>
      <c r="AH109" s="100">
        <f>AVERAGEIFS($I$2:J109, $B$2:C109, C109)</f>
        <v>0.4366666666666667</v>
      </c>
      <c r="AI109" s="100">
        <f>AVERAGEIFS($D$2:D109, $B$2:B109, B109)</f>
        <v>0.5714285714285714</v>
      </c>
    </row>
    <row r="110" spans="1:35" x14ac:dyDescent="0.25">
      <c r="A110" s="106">
        <v>46057</v>
      </c>
      <c r="B110" t="s">
        <v>37</v>
      </c>
      <c r="C110">
        <v>9</v>
      </c>
      <c r="D110">
        <v>0</v>
      </c>
      <c r="E110">
        <v>5</v>
      </c>
      <c r="F110">
        <v>2</v>
      </c>
      <c r="G110">
        <v>21</v>
      </c>
      <c r="H110">
        <v>10</v>
      </c>
      <c r="I110">
        <v>0.4</v>
      </c>
      <c r="J110">
        <v>0.48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0</v>
      </c>
      <c r="T110">
        <v>0</v>
      </c>
      <c r="U110">
        <v>0</v>
      </c>
      <c r="V110">
        <v>0</v>
      </c>
      <c r="W110">
        <v>0</v>
      </c>
      <c r="X110">
        <v>0</v>
      </c>
      <c r="Y110">
        <v>0</v>
      </c>
      <c r="Z110">
        <v>0</v>
      </c>
      <c r="AA110">
        <v>0</v>
      </c>
      <c r="AB110">
        <v>0</v>
      </c>
      <c r="AC110">
        <v>1</v>
      </c>
      <c r="AD110">
        <v>0</v>
      </c>
      <c r="AE110">
        <v>1</v>
      </c>
      <c r="AF110" s="100">
        <f>AVERAGEIFS($C$2:C110, $B$2:B110, B110)</f>
        <v>13.333333333333334</v>
      </c>
      <c r="AG110" s="100">
        <f>AVERAGEIFS($I$2:I110, $B$2:B110, B110)</f>
        <v>0.71666666666666667</v>
      </c>
      <c r="AH110" s="100">
        <f>AVERAGEIFS($I$2:J110, $B$2:C110, C110)</f>
        <v>0.35799999999999998</v>
      </c>
      <c r="AI110" s="100">
        <f>AVERAGEIFS($D$2:D110, $B$2:B110, B110)</f>
        <v>0.66666666666666663</v>
      </c>
    </row>
    <row r="111" spans="1:35" x14ac:dyDescent="0.25">
      <c r="A111" s="106">
        <v>46058</v>
      </c>
      <c r="B111" t="s">
        <v>6</v>
      </c>
      <c r="C111">
        <v>25</v>
      </c>
      <c r="D111">
        <v>1</v>
      </c>
      <c r="E111">
        <v>3</v>
      </c>
      <c r="F111">
        <v>3</v>
      </c>
      <c r="G111">
        <v>14</v>
      </c>
      <c r="H111">
        <v>8</v>
      </c>
      <c r="I111">
        <v>1</v>
      </c>
      <c r="J111">
        <v>0.56999999999999995</v>
      </c>
      <c r="K111">
        <v>1</v>
      </c>
      <c r="L111">
        <v>0</v>
      </c>
      <c r="M111">
        <v>1</v>
      </c>
      <c r="N111">
        <v>0</v>
      </c>
      <c r="O111">
        <v>0</v>
      </c>
      <c r="P111">
        <v>0</v>
      </c>
      <c r="Q111">
        <v>0</v>
      </c>
      <c r="R111">
        <v>0</v>
      </c>
      <c r="S111">
        <v>0</v>
      </c>
      <c r="T111">
        <v>0</v>
      </c>
      <c r="U111">
        <v>0</v>
      </c>
      <c r="V111">
        <v>0</v>
      </c>
      <c r="W111">
        <v>0</v>
      </c>
      <c r="X111">
        <v>0</v>
      </c>
      <c r="Y111">
        <v>0</v>
      </c>
      <c r="Z111">
        <v>0</v>
      </c>
      <c r="AA111">
        <v>0</v>
      </c>
      <c r="AB111">
        <v>0</v>
      </c>
      <c r="AC111">
        <v>0</v>
      </c>
      <c r="AD111">
        <v>1</v>
      </c>
      <c r="AE111">
        <v>0</v>
      </c>
      <c r="AF111" s="100">
        <f>AVERAGEIFS($C$2:C111, $B$2:B111, B111)</f>
        <v>22</v>
      </c>
      <c r="AG111" s="100">
        <f>AVERAGEIFS($I$2:I111, $B$2:B111, B111)</f>
        <v>0.66857142857142848</v>
      </c>
      <c r="AH111" s="100">
        <f>AVERAGEIFS($I$2:J111, $B$2:C111, C111)</f>
        <v>0.49125000000000002</v>
      </c>
      <c r="AI111" s="100">
        <f>AVERAGEIFS($D$2:D111, $B$2:B111, B111)</f>
        <v>0.7142857142857143</v>
      </c>
    </row>
    <row r="112" spans="1:35" x14ac:dyDescent="0.25">
      <c r="A112" s="106">
        <v>46058</v>
      </c>
      <c r="B112" t="s">
        <v>54</v>
      </c>
      <c r="C112">
        <v>17</v>
      </c>
      <c r="D112">
        <v>1</v>
      </c>
      <c r="E112">
        <v>3</v>
      </c>
      <c r="F112">
        <v>3</v>
      </c>
      <c r="G112">
        <v>14</v>
      </c>
      <c r="H112">
        <v>8</v>
      </c>
      <c r="I112">
        <v>1</v>
      </c>
      <c r="J112">
        <v>0.56999999999999995</v>
      </c>
      <c r="K112">
        <v>1</v>
      </c>
      <c r="L112">
        <v>0</v>
      </c>
      <c r="M112">
        <v>1</v>
      </c>
      <c r="N112">
        <v>0</v>
      </c>
      <c r="O112">
        <v>0</v>
      </c>
      <c r="P112">
        <v>0</v>
      </c>
      <c r="Q112">
        <v>0</v>
      </c>
      <c r="R112">
        <v>0</v>
      </c>
      <c r="S112">
        <v>0</v>
      </c>
      <c r="T112">
        <v>0</v>
      </c>
      <c r="U112">
        <v>0</v>
      </c>
      <c r="V112">
        <v>0</v>
      </c>
      <c r="W112">
        <v>0</v>
      </c>
      <c r="X112">
        <v>0</v>
      </c>
      <c r="Y112">
        <v>0</v>
      </c>
      <c r="Z112">
        <v>0</v>
      </c>
      <c r="AA112">
        <v>0</v>
      </c>
      <c r="AB112">
        <v>0</v>
      </c>
      <c r="AC112">
        <v>0</v>
      </c>
      <c r="AD112">
        <v>1</v>
      </c>
      <c r="AE112">
        <v>0</v>
      </c>
      <c r="AF112" s="100">
        <f>AVERAGEIFS($C$2:C112, $B$2:B112, B112)</f>
        <v>23.9</v>
      </c>
      <c r="AG112" s="100">
        <f>AVERAGEIFS($I$2:I112, $B$2:B112, B112)</f>
        <v>0.55700000000000005</v>
      </c>
      <c r="AH112" s="100">
        <f>AVERAGEIFS($I$2:J112, $B$2:C112, C112)</f>
        <v>0.37833333333333335</v>
      </c>
      <c r="AI112" s="100">
        <f>AVERAGEIFS($D$2:D112, $B$2:B112, B112)</f>
        <v>0.6</v>
      </c>
    </row>
    <row r="113" spans="1:35" x14ac:dyDescent="0.25">
      <c r="A113" s="106">
        <v>46058</v>
      </c>
      <c r="B113" t="s">
        <v>46</v>
      </c>
      <c r="C113">
        <v>16</v>
      </c>
      <c r="D113">
        <v>1</v>
      </c>
      <c r="E113">
        <v>3</v>
      </c>
      <c r="F113">
        <v>3</v>
      </c>
      <c r="G113">
        <v>14</v>
      </c>
      <c r="H113">
        <v>8</v>
      </c>
      <c r="I113">
        <v>1</v>
      </c>
      <c r="J113">
        <v>0.56999999999999995</v>
      </c>
      <c r="K113">
        <v>1</v>
      </c>
      <c r="L113">
        <v>0</v>
      </c>
      <c r="M113">
        <v>1</v>
      </c>
      <c r="N113">
        <v>0</v>
      </c>
      <c r="O113">
        <v>0</v>
      </c>
      <c r="P113">
        <v>0</v>
      </c>
      <c r="Q113">
        <v>0</v>
      </c>
      <c r="R113">
        <v>0</v>
      </c>
      <c r="S113">
        <v>0</v>
      </c>
      <c r="T113">
        <v>0</v>
      </c>
      <c r="U113">
        <v>0</v>
      </c>
      <c r="V113">
        <v>0</v>
      </c>
      <c r="W113">
        <v>0</v>
      </c>
      <c r="X113">
        <v>0</v>
      </c>
      <c r="Y113">
        <v>0</v>
      </c>
      <c r="Z113">
        <v>0</v>
      </c>
      <c r="AA113">
        <v>0</v>
      </c>
      <c r="AB113">
        <v>0</v>
      </c>
      <c r="AC113">
        <v>0</v>
      </c>
      <c r="AD113">
        <v>1</v>
      </c>
      <c r="AE113">
        <v>0</v>
      </c>
      <c r="AF113" s="100">
        <f>AVERAGEIFS($C$2:C113, $B$2:B113, B113)</f>
        <v>19.666666666666668</v>
      </c>
      <c r="AG113" s="100">
        <f>AVERAGEIFS($I$2:I113, $B$2:B113, B113)</f>
        <v>0.48333333333333334</v>
      </c>
      <c r="AH113" s="100">
        <f>AVERAGEIFS($I$2:J113, $B$2:C113, C113)</f>
        <v>0.54428571428571415</v>
      </c>
      <c r="AI113" s="100">
        <f>AVERAGEIFS($D$2:D113, $B$2:B113, B113)</f>
        <v>0.33333333333333331</v>
      </c>
    </row>
    <row r="114" spans="1:35" x14ac:dyDescent="0.25">
      <c r="A114" s="106">
        <v>46058</v>
      </c>
      <c r="B114" t="s">
        <v>17</v>
      </c>
      <c r="C114">
        <v>13</v>
      </c>
      <c r="D114">
        <v>1</v>
      </c>
      <c r="E114">
        <v>3</v>
      </c>
      <c r="F114">
        <v>3</v>
      </c>
      <c r="G114">
        <v>14</v>
      </c>
      <c r="H114">
        <v>8</v>
      </c>
      <c r="I114">
        <v>1</v>
      </c>
      <c r="J114">
        <v>0.56999999999999995</v>
      </c>
      <c r="K114">
        <v>1</v>
      </c>
      <c r="L114">
        <v>0</v>
      </c>
      <c r="M114">
        <v>1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0</v>
      </c>
      <c r="T114">
        <v>0</v>
      </c>
      <c r="U114">
        <v>0</v>
      </c>
      <c r="V114">
        <v>0</v>
      </c>
      <c r="W114">
        <v>0</v>
      </c>
      <c r="X114">
        <v>0</v>
      </c>
      <c r="Y114">
        <v>0</v>
      </c>
      <c r="Z114">
        <v>0</v>
      </c>
      <c r="AA114">
        <v>0</v>
      </c>
      <c r="AB114">
        <v>0</v>
      </c>
      <c r="AC114">
        <v>0</v>
      </c>
      <c r="AD114">
        <v>1</v>
      </c>
      <c r="AE114">
        <v>0</v>
      </c>
      <c r="AF114" s="100">
        <f>AVERAGEIFS($C$2:C114, $B$2:B114, B114)</f>
        <v>20</v>
      </c>
      <c r="AG114" s="100">
        <f>AVERAGEIFS($I$2:I114, $B$2:B114, B114)</f>
        <v>0.43</v>
      </c>
      <c r="AH114" s="100">
        <f>AVERAGEIFS($I$2:J114, $B$2:C114, C114)</f>
        <v>0.48999999999999994</v>
      </c>
      <c r="AI114" s="100">
        <f>AVERAGEIFS($D$2:D114, $B$2:B114, B114)</f>
        <v>0.33333333333333331</v>
      </c>
    </row>
    <row r="115" spans="1:35" x14ac:dyDescent="0.25">
      <c r="A115" s="106">
        <v>46058</v>
      </c>
      <c r="B115" t="s">
        <v>35</v>
      </c>
      <c r="C115">
        <v>8</v>
      </c>
      <c r="D115">
        <v>1</v>
      </c>
      <c r="E115">
        <v>3</v>
      </c>
      <c r="F115">
        <v>3</v>
      </c>
      <c r="G115">
        <v>14</v>
      </c>
      <c r="H115">
        <v>8</v>
      </c>
      <c r="I115">
        <v>1</v>
      </c>
      <c r="J115">
        <v>0.56999999999999995</v>
      </c>
      <c r="K115">
        <v>1</v>
      </c>
      <c r="L115">
        <v>0</v>
      </c>
      <c r="M115">
        <v>1</v>
      </c>
      <c r="N115">
        <v>0</v>
      </c>
      <c r="O115">
        <v>0</v>
      </c>
      <c r="P115">
        <v>0</v>
      </c>
      <c r="Q115">
        <v>0</v>
      </c>
      <c r="R115">
        <v>0</v>
      </c>
      <c r="S115">
        <v>0</v>
      </c>
      <c r="T115">
        <v>0</v>
      </c>
      <c r="U115">
        <v>0</v>
      </c>
      <c r="V115">
        <v>0</v>
      </c>
      <c r="W115">
        <v>0</v>
      </c>
      <c r="X115">
        <v>0</v>
      </c>
      <c r="Y115">
        <v>0</v>
      </c>
      <c r="Z115">
        <v>0</v>
      </c>
      <c r="AA115">
        <v>0</v>
      </c>
      <c r="AB115">
        <v>0</v>
      </c>
      <c r="AC115">
        <v>0</v>
      </c>
      <c r="AD115">
        <v>1</v>
      </c>
      <c r="AE115">
        <v>0</v>
      </c>
      <c r="AF115" s="100">
        <f>AVERAGEIFS($C$2:C115, $B$2:B115, B115)</f>
        <v>11.5</v>
      </c>
      <c r="AG115" s="100">
        <f>AVERAGEIFS($I$2:I115, $B$2:B115, B115)</f>
        <v>0.51</v>
      </c>
      <c r="AH115" s="100">
        <f>AVERAGEIFS($I$2:J115, $B$2:C115, C115)</f>
        <v>0.55249999999999999</v>
      </c>
      <c r="AI115" s="100">
        <f>AVERAGEIFS($D$2:D115, $B$2:B115, B115)</f>
        <v>0.5</v>
      </c>
    </row>
    <row r="116" spans="1:35" x14ac:dyDescent="0.25">
      <c r="A116" s="106">
        <v>46058</v>
      </c>
      <c r="B116" t="s">
        <v>2</v>
      </c>
      <c r="C116">
        <v>19</v>
      </c>
      <c r="D116">
        <v>0</v>
      </c>
      <c r="E116">
        <v>3</v>
      </c>
      <c r="F116">
        <v>0</v>
      </c>
      <c r="G116">
        <v>14</v>
      </c>
      <c r="H116">
        <v>6</v>
      </c>
      <c r="I116">
        <v>0</v>
      </c>
      <c r="J116">
        <v>0.43</v>
      </c>
      <c r="K116">
        <v>0</v>
      </c>
      <c r="L116">
        <v>0</v>
      </c>
      <c r="M116">
        <v>0</v>
      </c>
      <c r="N116">
        <v>0</v>
      </c>
      <c r="O116">
        <v>0</v>
      </c>
      <c r="P116">
        <v>0</v>
      </c>
      <c r="Q116">
        <v>0</v>
      </c>
      <c r="R116">
        <v>0</v>
      </c>
      <c r="S116">
        <v>0</v>
      </c>
      <c r="T116">
        <v>0</v>
      </c>
      <c r="U116">
        <v>0</v>
      </c>
      <c r="V116">
        <v>0</v>
      </c>
      <c r="W116">
        <v>0</v>
      </c>
      <c r="X116">
        <v>0</v>
      </c>
      <c r="Y116">
        <v>0</v>
      </c>
      <c r="Z116">
        <v>0</v>
      </c>
      <c r="AA116">
        <v>0</v>
      </c>
      <c r="AB116">
        <v>0</v>
      </c>
      <c r="AC116">
        <v>0</v>
      </c>
      <c r="AD116">
        <v>0</v>
      </c>
      <c r="AE116">
        <v>0</v>
      </c>
      <c r="AF116" s="100">
        <f>AVERAGEIFS($C$2:C116, $B$2:B116, B116)</f>
        <v>21.6</v>
      </c>
      <c r="AG116" s="100">
        <f>AVERAGEIFS($I$2:I116, $B$2:B116, B116)</f>
        <v>0.316</v>
      </c>
      <c r="AH116" s="100">
        <f>AVERAGEIFS($I$2:J116, $B$2:C116, C116)</f>
        <v>0.48666666666666664</v>
      </c>
      <c r="AI116" s="100">
        <f>AVERAGEIFS($D$2:D116, $B$2:B116, B116)</f>
        <v>0.2</v>
      </c>
    </row>
    <row r="117" spans="1:35" x14ac:dyDescent="0.25">
      <c r="A117" s="106">
        <v>46058</v>
      </c>
      <c r="B117" t="s">
        <v>44</v>
      </c>
      <c r="C117">
        <v>17</v>
      </c>
      <c r="D117">
        <v>0</v>
      </c>
      <c r="E117">
        <v>3</v>
      </c>
      <c r="F117">
        <v>0</v>
      </c>
      <c r="G117">
        <v>14</v>
      </c>
      <c r="H117">
        <v>6</v>
      </c>
      <c r="I117">
        <v>0</v>
      </c>
      <c r="J117">
        <v>0.43</v>
      </c>
      <c r="K117">
        <v>0</v>
      </c>
      <c r="L117">
        <v>0</v>
      </c>
      <c r="M117">
        <v>0</v>
      </c>
      <c r="N117">
        <v>0</v>
      </c>
      <c r="O117">
        <v>0</v>
      </c>
      <c r="P117">
        <v>0</v>
      </c>
      <c r="Q117">
        <v>0</v>
      </c>
      <c r="R117">
        <v>0</v>
      </c>
      <c r="S117">
        <v>0</v>
      </c>
      <c r="T117">
        <v>0</v>
      </c>
      <c r="U117">
        <v>0</v>
      </c>
      <c r="V117">
        <v>0</v>
      </c>
      <c r="W117">
        <v>0</v>
      </c>
      <c r="X117">
        <v>0</v>
      </c>
      <c r="Y117">
        <v>0</v>
      </c>
      <c r="Z117">
        <v>0</v>
      </c>
      <c r="AA117">
        <v>0</v>
      </c>
      <c r="AB117">
        <v>0</v>
      </c>
      <c r="AC117">
        <v>0</v>
      </c>
      <c r="AD117">
        <v>0</v>
      </c>
      <c r="AE117">
        <v>0</v>
      </c>
      <c r="AF117" s="100">
        <f>AVERAGEIFS($C$2:C117, $B$2:B117, B117)</f>
        <v>17</v>
      </c>
      <c r="AG117" s="100">
        <f>AVERAGEIFS($I$2:I117, $B$2:B117, B117)</f>
        <v>0</v>
      </c>
      <c r="AH117" s="100">
        <f>AVERAGEIFS($I$2:J117, $B$2:C117, C117)</f>
        <v>0.38571428571428573</v>
      </c>
      <c r="AI117" s="100">
        <f>AVERAGEIFS($D$2:D117, $B$2:B117, B117)</f>
        <v>0</v>
      </c>
    </row>
    <row r="118" spans="1:35" x14ac:dyDescent="0.25">
      <c r="A118" s="106">
        <v>46058</v>
      </c>
      <c r="B118" t="s">
        <v>5</v>
      </c>
      <c r="C118">
        <v>15</v>
      </c>
      <c r="D118">
        <v>0</v>
      </c>
      <c r="E118">
        <v>3</v>
      </c>
      <c r="F118">
        <v>0</v>
      </c>
      <c r="G118">
        <v>14</v>
      </c>
      <c r="H118">
        <v>6</v>
      </c>
      <c r="I118">
        <v>0</v>
      </c>
      <c r="J118">
        <v>0.43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0</v>
      </c>
      <c r="T118">
        <v>0</v>
      </c>
      <c r="U118">
        <v>0</v>
      </c>
      <c r="V118">
        <v>0</v>
      </c>
      <c r="W118">
        <v>0</v>
      </c>
      <c r="X118">
        <v>0</v>
      </c>
      <c r="Y118">
        <v>0</v>
      </c>
      <c r="Z118">
        <v>0</v>
      </c>
      <c r="AA118">
        <v>0</v>
      </c>
      <c r="AB118">
        <v>0</v>
      </c>
      <c r="AC118">
        <v>0</v>
      </c>
      <c r="AD118">
        <v>0</v>
      </c>
      <c r="AE118">
        <v>0</v>
      </c>
      <c r="AF118" s="100">
        <f>AVERAGEIFS($C$2:C118, $B$2:B118, B118)</f>
        <v>18.666666666666668</v>
      </c>
      <c r="AG118" s="100">
        <f>AVERAGEIFS($I$2:I118, $B$2:B118, B118)</f>
        <v>0.56999999999999995</v>
      </c>
      <c r="AH118" s="100">
        <f>AVERAGEIFS($I$2:J118, $B$2:C118, C118)</f>
        <v>0.46749999999999997</v>
      </c>
      <c r="AI118" s="100">
        <f>AVERAGEIFS($D$2:D118, $B$2:B118, B118)</f>
        <v>0.66666666666666663</v>
      </c>
    </row>
    <row r="119" spans="1:35" x14ac:dyDescent="0.25">
      <c r="A119" s="106">
        <v>46058</v>
      </c>
      <c r="B119" t="s">
        <v>19</v>
      </c>
      <c r="C119">
        <v>7</v>
      </c>
      <c r="D119">
        <v>0</v>
      </c>
      <c r="E119">
        <v>3</v>
      </c>
      <c r="F119">
        <v>0</v>
      </c>
      <c r="G119">
        <v>14</v>
      </c>
      <c r="H119">
        <v>6</v>
      </c>
      <c r="I119">
        <v>0</v>
      </c>
      <c r="J119">
        <v>0.43</v>
      </c>
      <c r="K119">
        <v>0</v>
      </c>
      <c r="L119">
        <v>0</v>
      </c>
      <c r="M119">
        <v>0</v>
      </c>
      <c r="N119">
        <v>0</v>
      </c>
      <c r="O119">
        <v>0</v>
      </c>
      <c r="P119">
        <v>0</v>
      </c>
      <c r="Q119">
        <v>0</v>
      </c>
      <c r="R119">
        <v>0</v>
      </c>
      <c r="S119">
        <v>0</v>
      </c>
      <c r="T119">
        <v>0</v>
      </c>
      <c r="U119">
        <v>0</v>
      </c>
      <c r="V119">
        <v>0</v>
      </c>
      <c r="W119">
        <v>0</v>
      </c>
      <c r="X119">
        <v>0</v>
      </c>
      <c r="Y119">
        <v>0</v>
      </c>
      <c r="Z119">
        <v>0</v>
      </c>
      <c r="AA119">
        <v>0</v>
      </c>
      <c r="AB119">
        <v>0</v>
      </c>
      <c r="AC119">
        <v>0</v>
      </c>
      <c r="AD119">
        <v>0</v>
      </c>
      <c r="AE119">
        <v>0</v>
      </c>
      <c r="AF119" s="100">
        <f>AVERAGEIFS($C$2:C119, $B$2:B119, B119)</f>
        <v>9</v>
      </c>
      <c r="AG119" s="100">
        <f>AVERAGEIFS($I$2:I119, $B$2:B119, B119)</f>
        <v>0.52250000000000008</v>
      </c>
      <c r="AH119" s="100">
        <f>AVERAGEIFS($I$2:J119, $B$2:C119, C119)</f>
        <v>0.57000000000000006</v>
      </c>
      <c r="AI119" s="100">
        <f>AVERAGEIFS($D$2:D119, $B$2:B119, B119)</f>
        <v>0.5</v>
      </c>
    </row>
    <row r="120" spans="1:35" x14ac:dyDescent="0.25">
      <c r="A120" s="106">
        <v>46058</v>
      </c>
      <c r="B120" t="s">
        <v>50</v>
      </c>
      <c r="C120">
        <v>7</v>
      </c>
      <c r="D120">
        <v>0</v>
      </c>
      <c r="E120">
        <v>3</v>
      </c>
      <c r="F120">
        <v>0</v>
      </c>
      <c r="G120">
        <v>14</v>
      </c>
      <c r="H120">
        <v>6</v>
      </c>
      <c r="I120">
        <v>0</v>
      </c>
      <c r="J120">
        <v>0.43</v>
      </c>
      <c r="K120">
        <v>0</v>
      </c>
      <c r="L120">
        <v>0</v>
      </c>
      <c r="M120">
        <v>0</v>
      </c>
      <c r="N120">
        <v>0</v>
      </c>
      <c r="O120">
        <v>0</v>
      </c>
      <c r="P120">
        <v>0</v>
      </c>
      <c r="Q120">
        <v>0</v>
      </c>
      <c r="R120">
        <v>0</v>
      </c>
      <c r="S120">
        <v>0</v>
      </c>
      <c r="T120">
        <v>0</v>
      </c>
      <c r="U120">
        <v>0</v>
      </c>
      <c r="V120">
        <v>0</v>
      </c>
      <c r="W120">
        <v>0</v>
      </c>
      <c r="X120">
        <v>0</v>
      </c>
      <c r="Y120">
        <v>0</v>
      </c>
      <c r="Z120">
        <v>0</v>
      </c>
      <c r="AA120">
        <v>0</v>
      </c>
      <c r="AB120">
        <v>0</v>
      </c>
      <c r="AC120">
        <v>0</v>
      </c>
      <c r="AD120">
        <v>0</v>
      </c>
      <c r="AE120">
        <v>0</v>
      </c>
      <c r="AF120" s="100">
        <f>AVERAGEIFS($C$2:C120, $B$2:B120, B120)</f>
        <v>17.7</v>
      </c>
      <c r="AG120" s="100">
        <f>AVERAGEIFS($I$2:I120, $B$2:B120, B120)</f>
        <v>0.49300000000000005</v>
      </c>
      <c r="AH120" s="100">
        <f>AVERAGEIFS($I$2:J120, $B$2:C120, C120)</f>
        <v>0.54200000000000004</v>
      </c>
      <c r="AI120" s="100">
        <f>AVERAGEIFS($D$2:D120, $B$2:B120, B120)</f>
        <v>0.5</v>
      </c>
    </row>
    <row r="121" spans="1:35" x14ac:dyDescent="0.25">
      <c r="A121" s="106">
        <v>46061</v>
      </c>
      <c r="B121" t="s">
        <v>42</v>
      </c>
      <c r="C121">
        <v>17</v>
      </c>
      <c r="D121">
        <v>1</v>
      </c>
      <c r="E121">
        <v>5</v>
      </c>
      <c r="F121">
        <v>3</v>
      </c>
      <c r="G121">
        <v>24</v>
      </c>
      <c r="H121">
        <v>13</v>
      </c>
      <c r="I121">
        <v>0.6</v>
      </c>
      <c r="J121">
        <v>0.54</v>
      </c>
      <c r="K121">
        <v>0</v>
      </c>
      <c r="L121">
        <v>1</v>
      </c>
      <c r="M121">
        <v>1</v>
      </c>
      <c r="N121">
        <v>0</v>
      </c>
      <c r="O121">
        <v>0</v>
      </c>
      <c r="P121">
        <v>0</v>
      </c>
      <c r="Q121">
        <v>0</v>
      </c>
      <c r="R121">
        <v>0</v>
      </c>
      <c r="S121">
        <v>0</v>
      </c>
      <c r="T121">
        <v>0</v>
      </c>
      <c r="U121">
        <v>0</v>
      </c>
      <c r="V121">
        <v>0</v>
      </c>
      <c r="W121">
        <v>0</v>
      </c>
      <c r="X121">
        <v>0</v>
      </c>
      <c r="Y121">
        <v>0</v>
      </c>
      <c r="Z121">
        <v>0</v>
      </c>
      <c r="AA121">
        <v>0</v>
      </c>
      <c r="AB121">
        <v>1</v>
      </c>
      <c r="AC121">
        <v>0</v>
      </c>
      <c r="AD121">
        <v>0</v>
      </c>
      <c r="AE121">
        <v>0</v>
      </c>
      <c r="AF121" s="100">
        <f>AVERAGEIFS($C$2:C121, $B$2:B121, B121)</f>
        <v>17</v>
      </c>
      <c r="AG121" s="100">
        <f>AVERAGEIFS($I$2:I121, $B$2:B121, B121)</f>
        <v>0.6</v>
      </c>
      <c r="AH121" s="100">
        <f>AVERAGEIFS($I$2:J121, $B$2:C121, C121)</f>
        <v>0.40500000000000003</v>
      </c>
      <c r="AI121" s="100">
        <f>AVERAGEIFS($D$2:D121, $B$2:B121, B121)</f>
        <v>1</v>
      </c>
    </row>
    <row r="122" spans="1:35" x14ac:dyDescent="0.25">
      <c r="A122" s="106">
        <v>46061</v>
      </c>
      <c r="B122" t="s">
        <v>40</v>
      </c>
      <c r="C122">
        <v>17</v>
      </c>
      <c r="D122">
        <v>1</v>
      </c>
      <c r="E122">
        <v>5</v>
      </c>
      <c r="F122">
        <v>3</v>
      </c>
      <c r="G122">
        <v>24</v>
      </c>
      <c r="H122">
        <v>13</v>
      </c>
      <c r="I122">
        <v>0.6</v>
      </c>
      <c r="J122">
        <v>0.54</v>
      </c>
      <c r="K122">
        <v>0</v>
      </c>
      <c r="L122">
        <v>1</v>
      </c>
      <c r="M122">
        <v>1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0</v>
      </c>
      <c r="T122">
        <v>0</v>
      </c>
      <c r="U122">
        <v>0</v>
      </c>
      <c r="V122">
        <v>0</v>
      </c>
      <c r="W122">
        <v>0</v>
      </c>
      <c r="X122">
        <v>0</v>
      </c>
      <c r="Y122">
        <v>0</v>
      </c>
      <c r="Z122">
        <v>0</v>
      </c>
      <c r="AA122">
        <v>0</v>
      </c>
      <c r="AB122">
        <v>1</v>
      </c>
      <c r="AC122">
        <v>0</v>
      </c>
      <c r="AD122">
        <v>0</v>
      </c>
      <c r="AE122">
        <v>0</v>
      </c>
      <c r="AF122" s="100">
        <f>AVERAGEIFS($C$2:C122, $B$2:B122, B122)</f>
        <v>17</v>
      </c>
      <c r="AG122" s="100">
        <f>AVERAGEIFS($I$2:I122, $B$2:B122, B122)</f>
        <v>0.6</v>
      </c>
      <c r="AH122" s="100">
        <f>AVERAGEIFS($I$2:J122, $B$2:C122, C122)</f>
        <v>0.42000000000000004</v>
      </c>
      <c r="AI122" s="100">
        <f>AVERAGEIFS($D$2:D122, $B$2:B122, B122)</f>
        <v>1</v>
      </c>
    </row>
    <row r="123" spans="1:35" x14ac:dyDescent="0.25">
      <c r="A123" s="106">
        <v>46061</v>
      </c>
      <c r="B123" t="s">
        <v>5</v>
      </c>
      <c r="C123">
        <v>36</v>
      </c>
      <c r="D123">
        <v>1</v>
      </c>
      <c r="E123">
        <v>5</v>
      </c>
      <c r="F123">
        <v>3</v>
      </c>
      <c r="G123">
        <v>24</v>
      </c>
      <c r="H123">
        <v>13</v>
      </c>
      <c r="I123">
        <v>0.6</v>
      </c>
      <c r="J123">
        <v>0.54</v>
      </c>
      <c r="K123">
        <v>0</v>
      </c>
      <c r="L123">
        <v>1</v>
      </c>
      <c r="M123">
        <v>1</v>
      </c>
      <c r="N123">
        <v>0</v>
      </c>
      <c r="O123">
        <v>0</v>
      </c>
      <c r="P123">
        <v>0</v>
      </c>
      <c r="Q123">
        <v>0</v>
      </c>
      <c r="R123">
        <v>0</v>
      </c>
      <c r="S123">
        <v>0</v>
      </c>
      <c r="T123">
        <v>0</v>
      </c>
      <c r="U123">
        <v>0</v>
      </c>
      <c r="V123">
        <v>0</v>
      </c>
      <c r="W123">
        <v>0</v>
      </c>
      <c r="X123">
        <v>0</v>
      </c>
      <c r="Y123">
        <v>0</v>
      </c>
      <c r="Z123">
        <v>0</v>
      </c>
      <c r="AA123">
        <v>0</v>
      </c>
      <c r="AB123">
        <v>1</v>
      </c>
      <c r="AC123">
        <v>0</v>
      </c>
      <c r="AD123">
        <v>0</v>
      </c>
      <c r="AE123">
        <v>0</v>
      </c>
      <c r="AF123" s="100">
        <f>AVERAGEIFS($C$2:C123, $B$2:B123, B123)</f>
        <v>21.142857142857142</v>
      </c>
      <c r="AG123" s="100">
        <f>AVERAGEIFS($I$2:I123, $B$2:B123, B123)</f>
        <v>0.57428571428571418</v>
      </c>
      <c r="AH123" s="100">
        <f>AVERAGEIFS($I$2:J123, $B$2:C123, C123)</f>
        <v>0.43500000000000005</v>
      </c>
      <c r="AI123" s="100">
        <f>AVERAGEIFS($D$2:D123, $B$2:B123, B123)</f>
        <v>0.7142857142857143</v>
      </c>
    </row>
    <row r="124" spans="1:35" x14ac:dyDescent="0.25">
      <c r="A124" s="106">
        <v>46061</v>
      </c>
      <c r="B124" t="s">
        <v>54</v>
      </c>
      <c r="C124">
        <v>27</v>
      </c>
      <c r="D124">
        <v>1</v>
      </c>
      <c r="E124">
        <v>5</v>
      </c>
      <c r="F124">
        <v>3</v>
      </c>
      <c r="G124">
        <v>24</v>
      </c>
      <c r="H124">
        <v>13</v>
      </c>
      <c r="I124">
        <v>0.6</v>
      </c>
      <c r="J124">
        <v>0.54</v>
      </c>
      <c r="K124">
        <v>0</v>
      </c>
      <c r="L124">
        <v>1</v>
      </c>
      <c r="M124">
        <v>1</v>
      </c>
      <c r="N124">
        <v>0</v>
      </c>
      <c r="O124">
        <v>0</v>
      </c>
      <c r="P124">
        <v>0</v>
      </c>
      <c r="Q124">
        <v>0</v>
      </c>
      <c r="R124">
        <v>0</v>
      </c>
      <c r="S124">
        <v>0</v>
      </c>
      <c r="T124">
        <v>0</v>
      </c>
      <c r="U124">
        <v>0</v>
      </c>
      <c r="V124">
        <v>0</v>
      </c>
      <c r="W124">
        <v>0</v>
      </c>
      <c r="X124">
        <v>0</v>
      </c>
      <c r="Y124">
        <v>0</v>
      </c>
      <c r="Z124">
        <v>0</v>
      </c>
      <c r="AA124">
        <v>0</v>
      </c>
      <c r="AB124">
        <v>1</v>
      </c>
      <c r="AC124">
        <v>0</v>
      </c>
      <c r="AD124">
        <v>0</v>
      </c>
      <c r="AE124">
        <v>0</v>
      </c>
      <c r="AF124" s="100">
        <f>AVERAGEIFS($C$2:C124, $B$2:B124, B124)</f>
        <v>24.181818181818183</v>
      </c>
      <c r="AG124" s="100">
        <f>AVERAGEIFS($I$2:I124, $B$2:B124, B124)</f>
        <v>0.56090909090909091</v>
      </c>
      <c r="AH124" s="100">
        <f>AVERAGEIFS($I$2:J124, $B$2:C124, C124)</f>
        <v>0.47000000000000003</v>
      </c>
      <c r="AI124" s="100">
        <f>AVERAGEIFS($D$2:D124, $B$2:B124, B124)</f>
        <v>0.63636363636363635</v>
      </c>
    </row>
    <row r="125" spans="1:35" x14ac:dyDescent="0.25">
      <c r="A125" s="106">
        <v>46061</v>
      </c>
      <c r="B125" t="s">
        <v>3</v>
      </c>
      <c r="C125">
        <v>14</v>
      </c>
      <c r="D125">
        <v>1</v>
      </c>
      <c r="E125">
        <v>5</v>
      </c>
      <c r="F125">
        <v>3</v>
      </c>
      <c r="G125">
        <v>24</v>
      </c>
      <c r="H125">
        <v>13</v>
      </c>
      <c r="I125">
        <v>0.6</v>
      </c>
      <c r="J125">
        <v>0.54</v>
      </c>
      <c r="K125">
        <v>0</v>
      </c>
      <c r="L125">
        <v>1</v>
      </c>
      <c r="M125">
        <v>1</v>
      </c>
      <c r="N125">
        <v>0</v>
      </c>
      <c r="O125">
        <v>0</v>
      </c>
      <c r="P125">
        <v>0</v>
      </c>
      <c r="Q125">
        <v>0</v>
      </c>
      <c r="R125">
        <v>0</v>
      </c>
      <c r="S125">
        <v>0</v>
      </c>
      <c r="T125">
        <v>0</v>
      </c>
      <c r="U125">
        <v>0</v>
      </c>
      <c r="V125">
        <v>0</v>
      </c>
      <c r="W125">
        <v>0</v>
      </c>
      <c r="X125">
        <v>0</v>
      </c>
      <c r="Y125">
        <v>0</v>
      </c>
      <c r="Z125">
        <v>0</v>
      </c>
      <c r="AA125">
        <v>0</v>
      </c>
      <c r="AB125">
        <v>1</v>
      </c>
      <c r="AC125">
        <v>0</v>
      </c>
      <c r="AD125">
        <v>0</v>
      </c>
      <c r="AE125">
        <v>0</v>
      </c>
      <c r="AF125" s="100">
        <f>AVERAGEIFS($C$2:C125, $B$2:B125, B125)</f>
        <v>16.5</v>
      </c>
      <c r="AG125" s="100">
        <f>AVERAGEIFS($I$2:I125, $B$2:B125, B125)</f>
        <v>0.48750000000000004</v>
      </c>
      <c r="AH125" s="100">
        <f>AVERAGEIFS($I$2:J125, $B$2:C125, C125)</f>
        <v>0.54600000000000004</v>
      </c>
      <c r="AI125" s="100">
        <f>AVERAGEIFS($D$2:D125, $B$2:B125, B125)</f>
        <v>0.75</v>
      </c>
    </row>
    <row r="126" spans="1:35" x14ac:dyDescent="0.25">
      <c r="A126" s="106">
        <v>46061</v>
      </c>
      <c r="B126" t="s">
        <v>50</v>
      </c>
      <c r="C126">
        <v>21</v>
      </c>
      <c r="D126">
        <v>0</v>
      </c>
      <c r="E126">
        <v>5</v>
      </c>
      <c r="F126">
        <v>2</v>
      </c>
      <c r="G126">
        <v>24</v>
      </c>
      <c r="H126">
        <v>11</v>
      </c>
      <c r="I126">
        <v>0.4</v>
      </c>
      <c r="J126">
        <v>0.46</v>
      </c>
      <c r="K126">
        <v>0</v>
      </c>
      <c r="L126">
        <v>0</v>
      </c>
      <c r="M126">
        <v>0</v>
      </c>
      <c r="N126">
        <v>0</v>
      </c>
      <c r="O126">
        <v>0</v>
      </c>
      <c r="P126">
        <v>0</v>
      </c>
      <c r="Q126">
        <v>0</v>
      </c>
      <c r="R126">
        <v>0</v>
      </c>
      <c r="S126">
        <v>0</v>
      </c>
      <c r="T126">
        <v>0</v>
      </c>
      <c r="U126">
        <v>0</v>
      </c>
      <c r="V126">
        <v>0</v>
      </c>
      <c r="W126">
        <v>0</v>
      </c>
      <c r="X126">
        <v>0</v>
      </c>
      <c r="Y126">
        <v>1</v>
      </c>
      <c r="Z126">
        <v>0</v>
      </c>
      <c r="AA126">
        <v>1</v>
      </c>
      <c r="AB126">
        <v>0</v>
      </c>
      <c r="AC126">
        <v>0</v>
      </c>
      <c r="AD126">
        <v>0</v>
      </c>
      <c r="AE126">
        <v>0</v>
      </c>
      <c r="AF126" s="100">
        <f>AVERAGEIFS($C$2:C126, $B$2:B126, B126)</f>
        <v>18</v>
      </c>
      <c r="AG126" s="100">
        <f>AVERAGEIFS($I$2:I126, $B$2:B126, B126)</f>
        <v>0.48454545454545461</v>
      </c>
      <c r="AH126" s="100">
        <f>AVERAGEIFS($I$2:J126, $B$2:C126, C126)</f>
        <v>0.51500000000000001</v>
      </c>
      <c r="AI126" s="100">
        <f>AVERAGEIFS($D$2:D126, $B$2:B126, B126)</f>
        <v>0.45454545454545453</v>
      </c>
    </row>
    <row r="127" spans="1:35" x14ac:dyDescent="0.25">
      <c r="A127" s="106">
        <v>46061</v>
      </c>
      <c r="B127" t="s">
        <v>6</v>
      </c>
      <c r="C127">
        <v>19</v>
      </c>
      <c r="D127">
        <v>0</v>
      </c>
      <c r="E127">
        <v>5</v>
      </c>
      <c r="F127">
        <v>2</v>
      </c>
      <c r="G127">
        <v>24</v>
      </c>
      <c r="H127">
        <v>11</v>
      </c>
      <c r="I127">
        <v>0.4</v>
      </c>
      <c r="J127">
        <v>0.46</v>
      </c>
      <c r="K127">
        <v>0</v>
      </c>
      <c r="L127">
        <v>0</v>
      </c>
      <c r="M127">
        <v>0</v>
      </c>
      <c r="N127">
        <v>0</v>
      </c>
      <c r="O127">
        <v>0</v>
      </c>
      <c r="P127">
        <v>0</v>
      </c>
      <c r="Q127">
        <v>0</v>
      </c>
      <c r="R127">
        <v>0</v>
      </c>
      <c r="S127">
        <v>0</v>
      </c>
      <c r="T127">
        <v>0</v>
      </c>
      <c r="U127">
        <v>0</v>
      </c>
      <c r="V127">
        <v>0</v>
      </c>
      <c r="W127">
        <v>0</v>
      </c>
      <c r="X127">
        <v>0</v>
      </c>
      <c r="Y127">
        <v>1</v>
      </c>
      <c r="Z127">
        <v>0</v>
      </c>
      <c r="AA127">
        <v>1</v>
      </c>
      <c r="AB127">
        <v>0</v>
      </c>
      <c r="AC127">
        <v>0</v>
      </c>
      <c r="AD127">
        <v>0</v>
      </c>
      <c r="AE127">
        <v>0</v>
      </c>
      <c r="AF127" s="100">
        <f>AVERAGEIFS($C$2:C127, $B$2:B127, B127)</f>
        <v>21.625</v>
      </c>
      <c r="AG127" s="100">
        <f>AVERAGEIFS($I$2:I127, $B$2:B127, B127)</f>
        <v>0.63500000000000001</v>
      </c>
      <c r="AH127" s="100">
        <f>AVERAGEIFS($I$2:J127, $B$2:C127, C127)</f>
        <v>0.48285714285714282</v>
      </c>
      <c r="AI127" s="100">
        <f>AVERAGEIFS($D$2:D127, $B$2:B127, B127)</f>
        <v>0.625</v>
      </c>
    </row>
    <row r="128" spans="1:35" x14ac:dyDescent="0.25">
      <c r="A128" s="106">
        <v>46061</v>
      </c>
      <c r="B128" t="s">
        <v>52</v>
      </c>
      <c r="C128">
        <v>19</v>
      </c>
      <c r="D128">
        <v>0</v>
      </c>
      <c r="E128">
        <v>5</v>
      </c>
      <c r="F128">
        <v>2</v>
      </c>
      <c r="G128">
        <v>24</v>
      </c>
      <c r="H128">
        <v>11</v>
      </c>
      <c r="I128">
        <v>0.4</v>
      </c>
      <c r="J128">
        <v>0.46</v>
      </c>
      <c r="K128">
        <v>0</v>
      </c>
      <c r="L128">
        <v>0</v>
      </c>
      <c r="M128">
        <v>0</v>
      </c>
      <c r="N128">
        <v>0</v>
      </c>
      <c r="O128">
        <v>0</v>
      </c>
      <c r="P128">
        <v>0</v>
      </c>
      <c r="Q128">
        <v>0</v>
      </c>
      <c r="R128">
        <v>0</v>
      </c>
      <c r="S128">
        <v>0</v>
      </c>
      <c r="T128">
        <v>0</v>
      </c>
      <c r="U128">
        <v>0</v>
      </c>
      <c r="V128">
        <v>0</v>
      </c>
      <c r="W128">
        <v>0</v>
      </c>
      <c r="X128">
        <v>0</v>
      </c>
      <c r="Y128">
        <v>1</v>
      </c>
      <c r="Z128">
        <v>0</v>
      </c>
      <c r="AA128">
        <v>1</v>
      </c>
      <c r="AB128">
        <v>0</v>
      </c>
      <c r="AC128">
        <v>0</v>
      </c>
      <c r="AD128">
        <v>0</v>
      </c>
      <c r="AE128">
        <v>0</v>
      </c>
      <c r="AF128" s="100">
        <f>AVERAGEIFS($C$2:C128, $B$2:B128, B128)</f>
        <v>15.5</v>
      </c>
      <c r="AG128" s="100">
        <f>AVERAGEIFS($I$2:I128, $B$2:B128, B128)</f>
        <v>0.32500000000000001</v>
      </c>
      <c r="AH128" s="100">
        <f>AVERAGEIFS($I$2:J128, $B$2:C128, C128)</f>
        <v>0.48</v>
      </c>
      <c r="AI128" s="100">
        <f>AVERAGEIFS($D$2:D128, $B$2:B128, B128)</f>
        <v>0</v>
      </c>
    </row>
    <row r="129" spans="1:35" x14ac:dyDescent="0.25">
      <c r="A129" s="106">
        <v>46061</v>
      </c>
      <c r="B129" t="s">
        <v>46</v>
      </c>
      <c r="C129">
        <v>13</v>
      </c>
      <c r="D129">
        <v>0</v>
      </c>
      <c r="E129">
        <v>5</v>
      </c>
      <c r="F129">
        <v>2</v>
      </c>
      <c r="G129">
        <v>24</v>
      </c>
      <c r="H129">
        <v>11</v>
      </c>
      <c r="I129">
        <v>0.4</v>
      </c>
      <c r="J129">
        <v>0.46</v>
      </c>
      <c r="K129">
        <v>0</v>
      </c>
      <c r="L129">
        <v>0</v>
      </c>
      <c r="M129">
        <v>0</v>
      </c>
      <c r="N129">
        <v>0</v>
      </c>
      <c r="O129">
        <v>0</v>
      </c>
      <c r="P129">
        <v>0</v>
      </c>
      <c r="Q129">
        <v>0</v>
      </c>
      <c r="R129">
        <v>0</v>
      </c>
      <c r="S129">
        <v>0</v>
      </c>
      <c r="T129">
        <v>0</v>
      </c>
      <c r="U129">
        <v>0</v>
      </c>
      <c r="V129">
        <v>0</v>
      </c>
      <c r="W129">
        <v>0</v>
      </c>
      <c r="X129">
        <v>0</v>
      </c>
      <c r="Y129">
        <v>1</v>
      </c>
      <c r="Z129">
        <v>0</v>
      </c>
      <c r="AA129">
        <v>1</v>
      </c>
      <c r="AB129">
        <v>0</v>
      </c>
      <c r="AC129">
        <v>0</v>
      </c>
      <c r="AD129">
        <v>0</v>
      </c>
      <c r="AE129">
        <v>0</v>
      </c>
      <c r="AF129" s="100">
        <f>AVERAGEIFS($C$2:C129, $B$2:B129, B129)</f>
        <v>18.714285714285715</v>
      </c>
      <c r="AG129" s="100">
        <f>AVERAGEIFS($I$2:I129, $B$2:B129, B129)</f>
        <v>0.47142857142857142</v>
      </c>
      <c r="AH129" s="100">
        <f>AVERAGEIFS($I$2:J129, $B$2:C129, C129)</f>
        <v>0.48499999999999993</v>
      </c>
      <c r="AI129" s="100">
        <f>AVERAGEIFS($D$2:D129, $B$2:B129, B129)</f>
        <v>0.2857142857142857</v>
      </c>
    </row>
    <row r="130" spans="1:35" x14ac:dyDescent="0.25">
      <c r="A130" s="106">
        <v>46061</v>
      </c>
      <c r="B130" t="s">
        <v>4</v>
      </c>
      <c r="C130">
        <v>27</v>
      </c>
      <c r="D130">
        <v>0</v>
      </c>
      <c r="E130">
        <v>5</v>
      </c>
      <c r="F130">
        <v>2</v>
      </c>
      <c r="G130">
        <v>24</v>
      </c>
      <c r="H130">
        <v>11</v>
      </c>
      <c r="I130">
        <v>0.4</v>
      </c>
      <c r="J130">
        <v>0.46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0</v>
      </c>
      <c r="T130">
        <v>0</v>
      </c>
      <c r="U130">
        <v>0</v>
      </c>
      <c r="V130">
        <v>0</v>
      </c>
      <c r="W130">
        <v>0</v>
      </c>
      <c r="X130">
        <v>0</v>
      </c>
      <c r="Y130">
        <v>1</v>
      </c>
      <c r="Z130">
        <v>0</v>
      </c>
      <c r="AA130">
        <v>1</v>
      </c>
      <c r="AB130">
        <v>0</v>
      </c>
      <c r="AC130">
        <v>0</v>
      </c>
      <c r="AD130">
        <v>0</v>
      </c>
      <c r="AE130">
        <v>0</v>
      </c>
      <c r="AF130" s="100">
        <f>AVERAGEIFS($C$2:C130, $B$2:B130, B130)</f>
        <v>27</v>
      </c>
      <c r="AG130" s="100">
        <f>AVERAGEIFS($I$2:I130, $B$2:B130, B130)</f>
        <v>0.4</v>
      </c>
      <c r="AH130" s="100">
        <f>AVERAGEIFS($I$2:J130, $B$2:C130, C130)</f>
        <v>0.46750000000000003</v>
      </c>
      <c r="AI130" s="100">
        <f>AVERAGEIFS($D$2:D130, $B$2:B130, B130)</f>
        <v>0</v>
      </c>
    </row>
    <row r="131" spans="1:35" x14ac:dyDescent="0.25">
      <c r="A131" s="106">
        <v>46063</v>
      </c>
      <c r="B131" t="s">
        <v>2</v>
      </c>
      <c r="C131">
        <v>19</v>
      </c>
      <c r="D131">
        <v>1</v>
      </c>
      <c r="E131">
        <v>4</v>
      </c>
      <c r="F131">
        <v>3</v>
      </c>
      <c r="G131">
        <v>14</v>
      </c>
      <c r="H131">
        <v>11</v>
      </c>
      <c r="I131">
        <v>0.75</v>
      </c>
      <c r="J131">
        <v>0.79</v>
      </c>
      <c r="K131">
        <v>1</v>
      </c>
      <c r="L131">
        <v>0</v>
      </c>
      <c r="M131">
        <v>0</v>
      </c>
      <c r="N131">
        <v>1</v>
      </c>
      <c r="O131">
        <v>0</v>
      </c>
      <c r="P131">
        <v>0</v>
      </c>
      <c r="Q131">
        <v>0</v>
      </c>
      <c r="R131">
        <v>0</v>
      </c>
      <c r="S131">
        <v>0</v>
      </c>
      <c r="T131">
        <v>0</v>
      </c>
      <c r="U131">
        <v>0</v>
      </c>
      <c r="V131">
        <v>0</v>
      </c>
      <c r="W131">
        <v>0</v>
      </c>
      <c r="X131">
        <v>0</v>
      </c>
      <c r="Y131">
        <v>0</v>
      </c>
      <c r="Z131">
        <v>0</v>
      </c>
      <c r="AA131">
        <v>1</v>
      </c>
      <c r="AB131">
        <v>0</v>
      </c>
      <c r="AC131">
        <v>0</v>
      </c>
      <c r="AD131">
        <v>0</v>
      </c>
      <c r="AE131">
        <v>0</v>
      </c>
      <c r="AF131" s="100">
        <f>AVERAGEIFS($C$2:C131, $B$2:B131, B131)</f>
        <v>21.166666666666668</v>
      </c>
      <c r="AG131" s="100">
        <f>AVERAGEIFS($I$2:I131, $B$2:B131, B131)</f>
        <v>0.38833333333333336</v>
      </c>
      <c r="AH131" s="100">
        <f>AVERAGEIFS($I$2:J131, $B$2:C131, C131)</f>
        <v>0.51444444444444448</v>
      </c>
      <c r="AI131" s="100">
        <f>AVERAGEIFS($D$2:D131, $B$2:B131, B131)</f>
        <v>0.33333333333333331</v>
      </c>
    </row>
    <row r="132" spans="1:35" x14ac:dyDescent="0.25">
      <c r="A132" s="106">
        <v>46063</v>
      </c>
      <c r="B132" t="s">
        <v>46</v>
      </c>
      <c r="C132">
        <v>17</v>
      </c>
      <c r="D132">
        <v>1</v>
      </c>
      <c r="E132">
        <v>4</v>
      </c>
      <c r="F132">
        <v>3</v>
      </c>
      <c r="G132">
        <v>14</v>
      </c>
      <c r="H132">
        <v>11</v>
      </c>
      <c r="I132">
        <v>0.75</v>
      </c>
      <c r="J132">
        <v>0.79</v>
      </c>
      <c r="K132">
        <v>1</v>
      </c>
      <c r="L132">
        <v>0</v>
      </c>
      <c r="M132">
        <v>0</v>
      </c>
      <c r="N132">
        <v>1</v>
      </c>
      <c r="O132">
        <v>0</v>
      </c>
      <c r="P132">
        <v>0</v>
      </c>
      <c r="Q132">
        <v>0</v>
      </c>
      <c r="R132">
        <v>0</v>
      </c>
      <c r="S132">
        <v>0</v>
      </c>
      <c r="T132">
        <v>0</v>
      </c>
      <c r="U132">
        <v>0</v>
      </c>
      <c r="V132">
        <v>0</v>
      </c>
      <c r="W132">
        <v>0</v>
      </c>
      <c r="X132">
        <v>0</v>
      </c>
      <c r="Y132">
        <v>0</v>
      </c>
      <c r="Z132">
        <v>0</v>
      </c>
      <c r="AA132">
        <v>1</v>
      </c>
      <c r="AB132">
        <v>0</v>
      </c>
      <c r="AC132">
        <v>0</v>
      </c>
      <c r="AD132">
        <v>0</v>
      </c>
      <c r="AE132">
        <v>0</v>
      </c>
      <c r="AF132" s="100">
        <f>AVERAGEIFS($C$2:C132, $B$2:B132, B132)</f>
        <v>18.5</v>
      </c>
      <c r="AG132" s="100">
        <f>AVERAGEIFS($I$2:I132, $B$2:B132, B132)</f>
        <v>0.50624999999999998</v>
      </c>
      <c r="AH132" s="100">
        <f>AVERAGEIFS($I$2:J132, $B$2:C132, C132)</f>
        <v>0.45700000000000002</v>
      </c>
      <c r="AI132" s="100">
        <f>AVERAGEIFS($D$2:D132, $B$2:B132, B132)</f>
        <v>0.375</v>
      </c>
    </row>
    <row r="133" spans="1:35" x14ac:dyDescent="0.25">
      <c r="A133" s="106">
        <v>46063</v>
      </c>
      <c r="B133" t="s">
        <v>17</v>
      </c>
      <c r="C133">
        <v>13</v>
      </c>
      <c r="D133">
        <v>1</v>
      </c>
      <c r="E133">
        <v>4</v>
      </c>
      <c r="F133">
        <v>3</v>
      </c>
      <c r="G133">
        <v>14</v>
      </c>
      <c r="H133">
        <v>11</v>
      </c>
      <c r="I133">
        <v>0.75</v>
      </c>
      <c r="J133">
        <v>0.79</v>
      </c>
      <c r="K133">
        <v>1</v>
      </c>
      <c r="L133">
        <v>0</v>
      </c>
      <c r="M133">
        <v>0</v>
      </c>
      <c r="N133">
        <v>1</v>
      </c>
      <c r="O133">
        <v>0</v>
      </c>
      <c r="P133">
        <v>0</v>
      </c>
      <c r="Q133">
        <v>0</v>
      </c>
      <c r="R133">
        <v>0</v>
      </c>
      <c r="S133">
        <v>0</v>
      </c>
      <c r="T133">
        <v>0</v>
      </c>
      <c r="U133">
        <v>0</v>
      </c>
      <c r="V133">
        <v>0</v>
      </c>
      <c r="W133">
        <v>0</v>
      </c>
      <c r="X133">
        <v>0</v>
      </c>
      <c r="Y133">
        <v>0</v>
      </c>
      <c r="Z133">
        <v>0</v>
      </c>
      <c r="AA133">
        <v>1</v>
      </c>
      <c r="AB133">
        <v>0</v>
      </c>
      <c r="AC133">
        <v>0</v>
      </c>
      <c r="AD133">
        <v>0</v>
      </c>
      <c r="AE133">
        <v>0</v>
      </c>
      <c r="AF133" s="100">
        <f>AVERAGEIFS($C$2:C133, $B$2:B133, B133)</f>
        <v>19.3</v>
      </c>
      <c r="AG133" s="100">
        <f>AVERAGEIFS($I$2:I133, $B$2:B133, B133)</f>
        <v>0.46200000000000002</v>
      </c>
      <c r="AH133" s="100">
        <f>AVERAGEIFS($I$2:J133, $B$2:C133, C133)</f>
        <v>0.52857142857142858</v>
      </c>
      <c r="AI133" s="100">
        <f>AVERAGEIFS($D$2:D133, $B$2:B133, B133)</f>
        <v>0.4</v>
      </c>
    </row>
    <row r="134" spans="1:35" x14ac:dyDescent="0.25">
      <c r="A134" s="106">
        <v>46063</v>
      </c>
      <c r="B134" t="s">
        <v>6</v>
      </c>
      <c r="C134">
        <v>12</v>
      </c>
      <c r="D134">
        <v>1</v>
      </c>
      <c r="E134">
        <v>4</v>
      </c>
      <c r="F134">
        <v>3</v>
      </c>
      <c r="G134">
        <v>14</v>
      </c>
      <c r="H134">
        <v>11</v>
      </c>
      <c r="I134">
        <v>0.75</v>
      </c>
      <c r="J134">
        <v>0.79</v>
      </c>
      <c r="K134">
        <v>1</v>
      </c>
      <c r="L134">
        <v>0</v>
      </c>
      <c r="M134">
        <v>0</v>
      </c>
      <c r="N134">
        <v>1</v>
      </c>
      <c r="O134">
        <v>0</v>
      </c>
      <c r="P134">
        <v>0</v>
      </c>
      <c r="Q134">
        <v>0</v>
      </c>
      <c r="R134">
        <v>0</v>
      </c>
      <c r="S134">
        <v>0</v>
      </c>
      <c r="T134">
        <v>0</v>
      </c>
      <c r="U134">
        <v>0</v>
      </c>
      <c r="V134">
        <v>0</v>
      </c>
      <c r="W134">
        <v>0</v>
      </c>
      <c r="X134">
        <v>0</v>
      </c>
      <c r="Y134">
        <v>0</v>
      </c>
      <c r="Z134">
        <v>0</v>
      </c>
      <c r="AA134">
        <v>1</v>
      </c>
      <c r="AB134">
        <v>0</v>
      </c>
      <c r="AC134">
        <v>0</v>
      </c>
      <c r="AD134">
        <v>0</v>
      </c>
      <c r="AE134">
        <v>0</v>
      </c>
      <c r="AF134" s="100">
        <f>AVERAGEIFS($C$2:C134, $B$2:B134, B134)</f>
        <v>20.555555555555557</v>
      </c>
      <c r="AG134" s="100">
        <f>AVERAGEIFS($I$2:I134, $B$2:B134, B134)</f>
        <v>0.64777777777777779</v>
      </c>
      <c r="AH134" s="100">
        <f>AVERAGEIFS($I$2:J134, $B$2:C134, C134)</f>
        <v>0.53857142857142859</v>
      </c>
      <c r="AI134" s="100">
        <f>AVERAGEIFS($D$2:D134, $B$2:B134, B134)</f>
        <v>0.66666666666666663</v>
      </c>
    </row>
    <row r="135" spans="1:35" x14ac:dyDescent="0.25">
      <c r="A135" s="106">
        <v>46063</v>
      </c>
      <c r="B135" t="s">
        <v>25</v>
      </c>
      <c r="C135">
        <v>10</v>
      </c>
      <c r="D135">
        <v>1</v>
      </c>
      <c r="E135">
        <v>4</v>
      </c>
      <c r="F135">
        <v>3</v>
      </c>
      <c r="G135">
        <v>14</v>
      </c>
      <c r="H135">
        <v>11</v>
      </c>
      <c r="I135">
        <v>0.75</v>
      </c>
      <c r="J135">
        <v>0.79</v>
      </c>
      <c r="K135">
        <v>1</v>
      </c>
      <c r="L135">
        <v>0</v>
      </c>
      <c r="M135">
        <v>0</v>
      </c>
      <c r="N135">
        <v>1</v>
      </c>
      <c r="O135">
        <v>0</v>
      </c>
      <c r="P135">
        <v>0</v>
      </c>
      <c r="Q135">
        <v>0</v>
      </c>
      <c r="R135">
        <v>0</v>
      </c>
      <c r="S135">
        <v>0</v>
      </c>
      <c r="T135">
        <v>0</v>
      </c>
      <c r="U135">
        <v>0</v>
      </c>
      <c r="V135">
        <v>0</v>
      </c>
      <c r="W135">
        <v>0</v>
      </c>
      <c r="X135">
        <v>0</v>
      </c>
      <c r="Y135">
        <v>0</v>
      </c>
      <c r="Z135">
        <v>0</v>
      </c>
      <c r="AA135">
        <v>1</v>
      </c>
      <c r="AB135">
        <v>0</v>
      </c>
      <c r="AC135">
        <v>0</v>
      </c>
      <c r="AD135">
        <v>0</v>
      </c>
      <c r="AE135">
        <v>0</v>
      </c>
      <c r="AF135" s="100">
        <f>AVERAGEIFS($C$2:C135, $B$2:B135, B135)</f>
        <v>10</v>
      </c>
      <c r="AG135" s="100">
        <f>AVERAGEIFS($I$2:I135, $B$2:B135, B135)</f>
        <v>0.75</v>
      </c>
      <c r="AH135" s="100">
        <f>AVERAGEIFS($I$2:J135, $B$2:C135, C135)</f>
        <v>0.52500000000000002</v>
      </c>
      <c r="AI135" s="100">
        <f>AVERAGEIFS($D$2:D135, $B$2:B135, B135)</f>
        <v>1</v>
      </c>
    </row>
    <row r="136" spans="1:35" x14ac:dyDescent="0.25">
      <c r="A136" s="106">
        <v>46063</v>
      </c>
      <c r="B136" t="s">
        <v>19</v>
      </c>
      <c r="C136">
        <v>3</v>
      </c>
      <c r="D136">
        <v>1</v>
      </c>
      <c r="E136">
        <v>4</v>
      </c>
      <c r="F136">
        <v>3</v>
      </c>
      <c r="G136">
        <v>14</v>
      </c>
      <c r="H136">
        <v>11</v>
      </c>
      <c r="I136">
        <v>0.75</v>
      </c>
      <c r="J136">
        <v>0.79</v>
      </c>
      <c r="K136">
        <v>1</v>
      </c>
      <c r="L136">
        <v>0</v>
      </c>
      <c r="M136">
        <v>0</v>
      </c>
      <c r="N136">
        <v>1</v>
      </c>
      <c r="O136">
        <v>0</v>
      </c>
      <c r="P136">
        <v>0</v>
      </c>
      <c r="Q136">
        <v>0</v>
      </c>
      <c r="R136">
        <v>0</v>
      </c>
      <c r="S136">
        <v>0</v>
      </c>
      <c r="T136">
        <v>0</v>
      </c>
      <c r="U136">
        <v>0</v>
      </c>
      <c r="V136">
        <v>0</v>
      </c>
      <c r="W136">
        <v>0</v>
      </c>
      <c r="X136">
        <v>0</v>
      </c>
      <c r="Y136">
        <v>0</v>
      </c>
      <c r="Z136">
        <v>0</v>
      </c>
      <c r="AA136">
        <v>1</v>
      </c>
      <c r="AB136">
        <v>0</v>
      </c>
      <c r="AC136">
        <v>0</v>
      </c>
      <c r="AD136">
        <v>0</v>
      </c>
      <c r="AE136">
        <v>0</v>
      </c>
      <c r="AF136" s="100">
        <f>AVERAGEIFS($C$2:C136, $B$2:B136, B136)</f>
        <v>8.3333333333333339</v>
      </c>
      <c r="AG136" s="100">
        <f>AVERAGEIFS($I$2:I136, $B$2:B136, B136)</f>
        <v>0.54777777777777781</v>
      </c>
      <c r="AH136" s="100">
        <f>AVERAGEIFS($I$2:J136, $B$2:C136, C136)</f>
        <v>0.53333333333333333</v>
      </c>
      <c r="AI136" s="100">
        <f>AVERAGEIFS($D$2:D136, $B$2:B136, B136)</f>
        <v>0.55555555555555558</v>
      </c>
    </row>
    <row r="137" spans="1:35" x14ac:dyDescent="0.25">
      <c r="A137" s="106">
        <v>46063</v>
      </c>
      <c r="B137" t="s">
        <v>54</v>
      </c>
      <c r="C137">
        <v>19</v>
      </c>
      <c r="D137">
        <v>0</v>
      </c>
      <c r="E137">
        <v>4</v>
      </c>
      <c r="F137">
        <v>1</v>
      </c>
      <c r="G137">
        <v>14</v>
      </c>
      <c r="H137">
        <v>3</v>
      </c>
      <c r="I137">
        <v>0.25</v>
      </c>
      <c r="J137">
        <v>0.21</v>
      </c>
      <c r="K137">
        <v>0</v>
      </c>
      <c r="L137">
        <v>1</v>
      </c>
      <c r="M137">
        <v>0</v>
      </c>
      <c r="N137">
        <v>0</v>
      </c>
      <c r="O137">
        <v>0</v>
      </c>
      <c r="P137">
        <v>0</v>
      </c>
      <c r="Q137">
        <v>0</v>
      </c>
      <c r="R137">
        <v>0</v>
      </c>
      <c r="S137">
        <v>0</v>
      </c>
      <c r="T137">
        <v>0</v>
      </c>
      <c r="U137">
        <v>0</v>
      </c>
      <c r="V137">
        <v>0</v>
      </c>
      <c r="W137">
        <v>0</v>
      </c>
      <c r="X137">
        <v>0</v>
      </c>
      <c r="Y137">
        <v>0</v>
      </c>
      <c r="Z137">
        <v>0</v>
      </c>
      <c r="AA137">
        <v>0</v>
      </c>
      <c r="AB137">
        <v>0</v>
      </c>
      <c r="AC137">
        <v>0</v>
      </c>
      <c r="AD137">
        <v>0</v>
      </c>
      <c r="AE137">
        <v>0</v>
      </c>
      <c r="AF137" s="100">
        <f>AVERAGEIFS($C$2:C137, $B$2:B137, B137)</f>
        <v>23.75</v>
      </c>
      <c r="AG137" s="100">
        <f>AVERAGEIFS($I$2:I137, $B$2:B137, B137)</f>
        <v>0.53500000000000003</v>
      </c>
      <c r="AH137" s="100">
        <f>AVERAGEIFS($I$2:J137, $B$2:C137, C137)</f>
        <v>0.48399999999999999</v>
      </c>
      <c r="AI137" s="100">
        <f>AVERAGEIFS($D$2:D137, $B$2:B137, B137)</f>
        <v>0.58333333333333337</v>
      </c>
    </row>
    <row r="138" spans="1:35" x14ac:dyDescent="0.25">
      <c r="A138" s="106">
        <v>46063</v>
      </c>
      <c r="B138" t="s">
        <v>4</v>
      </c>
      <c r="C138">
        <v>12</v>
      </c>
      <c r="D138">
        <v>0</v>
      </c>
      <c r="E138">
        <v>4</v>
      </c>
      <c r="F138">
        <v>1</v>
      </c>
      <c r="G138">
        <v>14</v>
      </c>
      <c r="H138">
        <v>3</v>
      </c>
      <c r="I138">
        <v>0.25</v>
      </c>
      <c r="J138">
        <v>0.21</v>
      </c>
      <c r="K138">
        <v>0</v>
      </c>
      <c r="L138">
        <v>1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0</v>
      </c>
      <c r="T138">
        <v>0</v>
      </c>
      <c r="U138">
        <v>0</v>
      </c>
      <c r="V138">
        <v>0</v>
      </c>
      <c r="W138">
        <v>0</v>
      </c>
      <c r="X138">
        <v>0</v>
      </c>
      <c r="Y138">
        <v>0</v>
      </c>
      <c r="Z138">
        <v>0</v>
      </c>
      <c r="AA138">
        <v>0</v>
      </c>
      <c r="AB138">
        <v>0</v>
      </c>
      <c r="AC138">
        <v>0</v>
      </c>
      <c r="AD138">
        <v>0</v>
      </c>
      <c r="AE138">
        <v>0</v>
      </c>
      <c r="AF138" s="100">
        <f>AVERAGEIFS($C$2:C138, $B$2:B138, B138)</f>
        <v>19.5</v>
      </c>
      <c r="AG138" s="100">
        <f>AVERAGEIFS($I$2:I138, $B$2:B138, B138)</f>
        <v>0.32500000000000001</v>
      </c>
      <c r="AH138" s="100">
        <f>AVERAGEIFS($I$2:J138, $B$2:C138, C138)</f>
        <v>0.4975</v>
      </c>
      <c r="AI138" s="100">
        <f>AVERAGEIFS($D$2:D138, $B$2:B138, B138)</f>
        <v>0</v>
      </c>
    </row>
    <row r="139" spans="1:35" x14ac:dyDescent="0.25">
      <c r="A139" s="106">
        <v>46063</v>
      </c>
      <c r="B139" t="s">
        <v>35</v>
      </c>
      <c r="C139">
        <v>11</v>
      </c>
      <c r="D139">
        <v>0</v>
      </c>
      <c r="E139">
        <v>4</v>
      </c>
      <c r="F139">
        <v>1</v>
      </c>
      <c r="G139">
        <v>14</v>
      </c>
      <c r="H139">
        <v>3</v>
      </c>
      <c r="I139">
        <v>0.25</v>
      </c>
      <c r="J139">
        <v>0.21</v>
      </c>
      <c r="K139">
        <v>0</v>
      </c>
      <c r="L139">
        <v>1</v>
      </c>
      <c r="M139">
        <v>0</v>
      </c>
      <c r="N139">
        <v>0</v>
      </c>
      <c r="O139">
        <v>0</v>
      </c>
      <c r="P139">
        <v>0</v>
      </c>
      <c r="Q139">
        <v>0</v>
      </c>
      <c r="R139">
        <v>0</v>
      </c>
      <c r="S139">
        <v>0</v>
      </c>
      <c r="T139">
        <v>0</v>
      </c>
      <c r="U139">
        <v>0</v>
      </c>
      <c r="V139">
        <v>0</v>
      </c>
      <c r="W139">
        <v>0</v>
      </c>
      <c r="X139">
        <v>0</v>
      </c>
      <c r="Y139">
        <v>0</v>
      </c>
      <c r="Z139">
        <v>0</v>
      </c>
      <c r="AA139">
        <v>0</v>
      </c>
      <c r="AB139">
        <v>0</v>
      </c>
      <c r="AC139">
        <v>0</v>
      </c>
      <c r="AD139">
        <v>0</v>
      </c>
      <c r="AE139">
        <v>0</v>
      </c>
      <c r="AF139" s="100">
        <f>AVERAGEIFS($C$2:C139, $B$2:B139, B139)</f>
        <v>11.444444444444445</v>
      </c>
      <c r="AG139" s="100">
        <f>AVERAGEIFS($I$2:I139, $B$2:B139, B139)</f>
        <v>0.4811111111111111</v>
      </c>
      <c r="AH139" s="100">
        <f>AVERAGEIFS($I$2:J139, $B$2:C139, C139)</f>
        <v>0.58666666666666656</v>
      </c>
      <c r="AI139" s="100">
        <f>AVERAGEIFS($D$2:D139, $B$2:B139, B139)</f>
        <v>0.44444444444444442</v>
      </c>
    </row>
    <row r="140" spans="1:35" x14ac:dyDescent="0.25">
      <c r="A140" s="106">
        <v>46063</v>
      </c>
      <c r="B140" t="s">
        <v>42</v>
      </c>
      <c r="C140">
        <v>11</v>
      </c>
      <c r="D140">
        <v>0</v>
      </c>
      <c r="E140">
        <v>4</v>
      </c>
      <c r="F140">
        <v>1</v>
      </c>
      <c r="G140">
        <v>14</v>
      </c>
      <c r="H140">
        <v>3</v>
      </c>
      <c r="I140">
        <v>0.25</v>
      </c>
      <c r="J140">
        <v>0.21</v>
      </c>
      <c r="K140">
        <v>0</v>
      </c>
      <c r="L140">
        <v>1</v>
      </c>
      <c r="M140">
        <v>0</v>
      </c>
      <c r="N140">
        <v>0</v>
      </c>
      <c r="O140">
        <v>0</v>
      </c>
      <c r="P140">
        <v>0</v>
      </c>
      <c r="Q140">
        <v>0</v>
      </c>
      <c r="R140">
        <v>0</v>
      </c>
      <c r="S140">
        <v>0</v>
      </c>
      <c r="T140">
        <v>0</v>
      </c>
      <c r="U140">
        <v>0</v>
      </c>
      <c r="V140">
        <v>0</v>
      </c>
      <c r="W140">
        <v>0</v>
      </c>
      <c r="X140">
        <v>0</v>
      </c>
      <c r="Y140">
        <v>0</v>
      </c>
      <c r="Z140">
        <v>0</v>
      </c>
      <c r="AA140">
        <v>0</v>
      </c>
      <c r="AB140">
        <v>0</v>
      </c>
      <c r="AC140">
        <v>0</v>
      </c>
      <c r="AD140">
        <v>0</v>
      </c>
      <c r="AE140">
        <v>0</v>
      </c>
      <c r="AF140" s="100">
        <f>AVERAGEIFS($C$2:C140, $B$2:B140, B140)</f>
        <v>14</v>
      </c>
      <c r="AG140" s="100">
        <f>AVERAGEIFS($I$2:I140, $B$2:B140, B140)</f>
        <v>0.42499999999999999</v>
      </c>
      <c r="AH140" s="100">
        <f>AVERAGEIFS($I$2:J140, $B$2:C140, C140)</f>
        <v>0.53285714285714281</v>
      </c>
      <c r="AI140" s="100">
        <f>AVERAGEIFS($D$2:D140, $B$2:B140, B140)</f>
        <v>0.5</v>
      </c>
    </row>
    <row r="141" spans="1:35" x14ac:dyDescent="0.25">
      <c r="A141" s="106">
        <v>46063</v>
      </c>
      <c r="B141" t="s">
        <v>52</v>
      </c>
      <c r="C141">
        <v>5</v>
      </c>
      <c r="D141">
        <v>0</v>
      </c>
      <c r="E141">
        <v>4</v>
      </c>
      <c r="F141">
        <v>1</v>
      </c>
      <c r="G141">
        <v>14</v>
      </c>
      <c r="H141">
        <v>3</v>
      </c>
      <c r="I141">
        <v>0.25</v>
      </c>
      <c r="J141">
        <v>0.21</v>
      </c>
      <c r="K141">
        <v>0</v>
      </c>
      <c r="L141">
        <v>1</v>
      </c>
      <c r="M141">
        <v>0</v>
      </c>
      <c r="N141">
        <v>0</v>
      </c>
      <c r="O141">
        <v>0</v>
      </c>
      <c r="P141">
        <v>0</v>
      </c>
      <c r="Q141">
        <v>0</v>
      </c>
      <c r="R141">
        <v>0</v>
      </c>
      <c r="S141">
        <v>0</v>
      </c>
      <c r="T141">
        <v>0</v>
      </c>
      <c r="U141">
        <v>0</v>
      </c>
      <c r="V141">
        <v>0</v>
      </c>
      <c r="W141">
        <v>0</v>
      </c>
      <c r="X141">
        <v>0</v>
      </c>
      <c r="Y141">
        <v>0</v>
      </c>
      <c r="Z141">
        <v>0</v>
      </c>
      <c r="AA141">
        <v>0</v>
      </c>
      <c r="AB141">
        <v>0</v>
      </c>
      <c r="AC141">
        <v>0</v>
      </c>
      <c r="AD141">
        <v>0</v>
      </c>
      <c r="AE141">
        <v>0</v>
      </c>
      <c r="AF141" s="100">
        <f>AVERAGEIFS($C$2:C141, $B$2:B141, B141)</f>
        <v>12</v>
      </c>
      <c r="AG141" s="100">
        <f>AVERAGEIFS($I$2:I141, $B$2:B141, B141)</f>
        <v>0.3</v>
      </c>
      <c r="AH141" s="100">
        <f>AVERAGEIFS($I$2:J141, $B$2:C141, C141)</f>
        <v>0.28999999999999998</v>
      </c>
      <c r="AI141" s="100">
        <f>AVERAGEIFS($D$2:D141, $B$2:B141, B141)</f>
        <v>0</v>
      </c>
    </row>
    <row r="142" spans="1:35" x14ac:dyDescent="0.25">
      <c r="A142" s="106">
        <v>46063</v>
      </c>
      <c r="B142" t="s">
        <v>40</v>
      </c>
      <c r="C142">
        <v>5</v>
      </c>
      <c r="D142">
        <v>0</v>
      </c>
      <c r="E142">
        <v>4</v>
      </c>
      <c r="F142">
        <v>1</v>
      </c>
      <c r="G142">
        <v>14</v>
      </c>
      <c r="H142">
        <v>3</v>
      </c>
      <c r="I142">
        <v>0.25</v>
      </c>
      <c r="J142">
        <v>0.21</v>
      </c>
      <c r="K142">
        <v>0</v>
      </c>
      <c r="L142">
        <v>1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0</v>
      </c>
      <c r="T142">
        <v>0</v>
      </c>
      <c r="U142">
        <v>0</v>
      </c>
      <c r="V142">
        <v>0</v>
      </c>
      <c r="W142">
        <v>0</v>
      </c>
      <c r="X142">
        <v>0</v>
      </c>
      <c r="Y142">
        <v>0</v>
      </c>
      <c r="Z142">
        <v>0</v>
      </c>
      <c r="AA142">
        <v>0</v>
      </c>
      <c r="AB142">
        <v>0</v>
      </c>
      <c r="AC142">
        <v>0</v>
      </c>
      <c r="AD142">
        <v>0</v>
      </c>
      <c r="AE142">
        <v>0</v>
      </c>
      <c r="AF142" s="100">
        <f>AVERAGEIFS($C$2:C142, $B$2:B142, B142)</f>
        <v>11</v>
      </c>
      <c r="AG142" s="100">
        <f>AVERAGEIFS($I$2:I142, $B$2:B142, B142)</f>
        <v>0.42499999999999999</v>
      </c>
      <c r="AH142" s="100">
        <f>AVERAGEIFS($I$2:J142, $B$2:C142, C142)</f>
        <v>0.26999999999999996</v>
      </c>
      <c r="AI142" s="100">
        <f>AVERAGEIFS($D$2:D142, $B$2:B142, B142)</f>
        <v>0.5</v>
      </c>
    </row>
    <row r="143" spans="1:35" x14ac:dyDescent="0.25">
      <c r="A143" s="106">
        <v>46064</v>
      </c>
      <c r="B143" t="s">
        <v>50</v>
      </c>
      <c r="C143">
        <v>29</v>
      </c>
      <c r="D143">
        <v>1</v>
      </c>
      <c r="E143">
        <v>4</v>
      </c>
      <c r="F143">
        <v>3</v>
      </c>
      <c r="G143">
        <v>14</v>
      </c>
      <c r="H143">
        <v>9</v>
      </c>
      <c r="I143">
        <v>0.75</v>
      </c>
      <c r="J143">
        <v>0.64</v>
      </c>
      <c r="K143">
        <v>0</v>
      </c>
      <c r="L143">
        <v>0</v>
      </c>
      <c r="M143">
        <v>0</v>
      </c>
      <c r="N143">
        <v>0</v>
      </c>
      <c r="O143">
        <v>0</v>
      </c>
      <c r="P143">
        <v>0</v>
      </c>
      <c r="Q143">
        <v>0</v>
      </c>
      <c r="R143">
        <v>0</v>
      </c>
      <c r="S143">
        <v>0</v>
      </c>
      <c r="T143">
        <v>0</v>
      </c>
      <c r="U143">
        <v>1</v>
      </c>
      <c r="V143">
        <v>0</v>
      </c>
      <c r="W143">
        <v>0</v>
      </c>
      <c r="X143">
        <v>1</v>
      </c>
      <c r="Y143">
        <v>1</v>
      </c>
      <c r="Z143">
        <v>0</v>
      </c>
      <c r="AA143">
        <v>0</v>
      </c>
      <c r="AB143">
        <v>0</v>
      </c>
      <c r="AC143">
        <v>0</v>
      </c>
      <c r="AD143">
        <v>0</v>
      </c>
      <c r="AE143">
        <v>0</v>
      </c>
      <c r="AF143" s="100">
        <f>AVERAGEIFS($C$2:C143, $B$2:B143, B143)</f>
        <v>18.916666666666668</v>
      </c>
      <c r="AG143" s="100">
        <f>AVERAGEIFS($I$2:I143, $B$2:B143, B143)</f>
        <v>0.50666666666666671</v>
      </c>
      <c r="AH143" s="100">
        <f>AVERAGEIFS($I$2:J143, $B$2:C143, C143)</f>
        <v>0.58000000000000007</v>
      </c>
      <c r="AI143" s="100">
        <f>AVERAGEIFS($D$2:D143, $B$2:B143, B143)</f>
        <v>0.5</v>
      </c>
    </row>
    <row r="144" spans="1:35" x14ac:dyDescent="0.25">
      <c r="A144" s="106">
        <v>46064</v>
      </c>
      <c r="B144" t="s">
        <v>6</v>
      </c>
      <c r="C144">
        <v>23</v>
      </c>
      <c r="D144">
        <v>1</v>
      </c>
      <c r="E144">
        <v>4</v>
      </c>
      <c r="F144">
        <v>3</v>
      </c>
      <c r="G144">
        <v>14</v>
      </c>
      <c r="H144">
        <v>9</v>
      </c>
      <c r="I144">
        <v>0.75</v>
      </c>
      <c r="J144">
        <v>0.64</v>
      </c>
      <c r="K144">
        <v>0</v>
      </c>
      <c r="L144">
        <v>0</v>
      </c>
      <c r="M144">
        <v>0</v>
      </c>
      <c r="N144">
        <v>0</v>
      </c>
      <c r="O144">
        <v>0</v>
      </c>
      <c r="P144">
        <v>0</v>
      </c>
      <c r="Q144">
        <v>0</v>
      </c>
      <c r="R144">
        <v>0</v>
      </c>
      <c r="S144">
        <v>0</v>
      </c>
      <c r="T144">
        <v>0</v>
      </c>
      <c r="U144">
        <v>1</v>
      </c>
      <c r="V144">
        <v>0</v>
      </c>
      <c r="W144">
        <v>0</v>
      </c>
      <c r="X144">
        <v>1</v>
      </c>
      <c r="Y144">
        <v>1</v>
      </c>
      <c r="Z144">
        <v>0</v>
      </c>
      <c r="AA144">
        <v>0</v>
      </c>
      <c r="AB144">
        <v>0</v>
      </c>
      <c r="AC144">
        <v>0</v>
      </c>
      <c r="AD144">
        <v>0</v>
      </c>
      <c r="AE144">
        <v>0</v>
      </c>
      <c r="AF144" s="100">
        <f>AVERAGEIFS($C$2:C144, $B$2:B144, B144)</f>
        <v>20.8</v>
      </c>
      <c r="AG144" s="100">
        <f>AVERAGEIFS($I$2:I144, $B$2:B144, B144)</f>
        <v>0.65800000000000003</v>
      </c>
      <c r="AH144" s="100">
        <f>AVERAGEIFS($I$2:J144, $B$2:C144, C144)</f>
        <v>0.6166666666666667</v>
      </c>
      <c r="AI144" s="100">
        <f>AVERAGEIFS($D$2:D144, $B$2:B144, B144)</f>
        <v>0.7</v>
      </c>
    </row>
    <row r="145" spans="1:35" x14ac:dyDescent="0.25">
      <c r="A145" s="106">
        <v>46064</v>
      </c>
      <c r="B145" t="s">
        <v>2</v>
      </c>
      <c r="C145">
        <v>20</v>
      </c>
      <c r="D145">
        <v>1</v>
      </c>
      <c r="E145">
        <v>4</v>
      </c>
      <c r="F145">
        <v>3</v>
      </c>
      <c r="G145">
        <v>14</v>
      </c>
      <c r="H145">
        <v>9</v>
      </c>
      <c r="I145">
        <v>0.75</v>
      </c>
      <c r="J145">
        <v>0.64</v>
      </c>
      <c r="K145">
        <v>0</v>
      </c>
      <c r="L145">
        <v>0</v>
      </c>
      <c r="M145">
        <v>0</v>
      </c>
      <c r="N145">
        <v>0</v>
      </c>
      <c r="O145">
        <v>0</v>
      </c>
      <c r="P145">
        <v>0</v>
      </c>
      <c r="Q145">
        <v>0</v>
      </c>
      <c r="R145">
        <v>0</v>
      </c>
      <c r="S145">
        <v>0</v>
      </c>
      <c r="T145">
        <v>0</v>
      </c>
      <c r="U145">
        <v>1</v>
      </c>
      <c r="V145">
        <v>0</v>
      </c>
      <c r="W145">
        <v>0</v>
      </c>
      <c r="X145">
        <v>1</v>
      </c>
      <c r="Y145">
        <v>1</v>
      </c>
      <c r="Z145">
        <v>0</v>
      </c>
      <c r="AA145">
        <v>0</v>
      </c>
      <c r="AB145">
        <v>0</v>
      </c>
      <c r="AC145">
        <v>0</v>
      </c>
      <c r="AD145">
        <v>0</v>
      </c>
      <c r="AE145">
        <v>0</v>
      </c>
      <c r="AF145" s="100">
        <f>AVERAGEIFS($C$2:C145, $B$2:B145, B145)</f>
        <v>21</v>
      </c>
      <c r="AG145" s="100">
        <f>AVERAGEIFS($I$2:I145, $B$2:B145, B145)</f>
        <v>0.44</v>
      </c>
      <c r="AH145" s="100">
        <f>AVERAGEIFS($I$2:J145, $B$2:C145, C145)</f>
        <v>0.45499999999999996</v>
      </c>
      <c r="AI145" s="100">
        <f>AVERAGEIFS($D$2:D145, $B$2:B145, B145)</f>
        <v>0.42857142857142855</v>
      </c>
    </row>
    <row r="146" spans="1:35" x14ac:dyDescent="0.25">
      <c r="A146" s="106">
        <v>46064</v>
      </c>
      <c r="B146" t="s">
        <v>25</v>
      </c>
      <c r="C146">
        <v>12</v>
      </c>
      <c r="D146">
        <v>1</v>
      </c>
      <c r="E146">
        <v>4</v>
      </c>
      <c r="F146">
        <v>3</v>
      </c>
      <c r="G146">
        <v>14</v>
      </c>
      <c r="H146">
        <v>9</v>
      </c>
      <c r="I146">
        <v>0.75</v>
      </c>
      <c r="J146">
        <v>0.64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0</v>
      </c>
      <c r="T146">
        <v>0</v>
      </c>
      <c r="U146">
        <v>1</v>
      </c>
      <c r="V146">
        <v>0</v>
      </c>
      <c r="W146">
        <v>0</v>
      </c>
      <c r="X146">
        <v>1</v>
      </c>
      <c r="Y146">
        <v>1</v>
      </c>
      <c r="Z146">
        <v>0</v>
      </c>
      <c r="AA146">
        <v>0</v>
      </c>
      <c r="AB146">
        <v>0</v>
      </c>
      <c r="AC146">
        <v>0</v>
      </c>
      <c r="AD146">
        <v>0</v>
      </c>
      <c r="AE146">
        <v>0</v>
      </c>
      <c r="AF146" s="100">
        <f>AVERAGEIFS($C$2:C146, $B$2:B146, B146)</f>
        <v>11</v>
      </c>
      <c r="AG146" s="100">
        <f>AVERAGEIFS($I$2:I146, $B$2:B146, B146)</f>
        <v>0.75</v>
      </c>
      <c r="AH146" s="100">
        <f>AVERAGEIFS($I$2:J146, $B$2:C146, C146)</f>
        <v>0.51333333333333331</v>
      </c>
      <c r="AI146" s="100">
        <f>AVERAGEIFS($D$2:D146, $B$2:B146, B146)</f>
        <v>1</v>
      </c>
    </row>
    <row r="147" spans="1:35" x14ac:dyDescent="0.25">
      <c r="A147" s="106">
        <v>46064</v>
      </c>
      <c r="B147" t="s">
        <v>42</v>
      </c>
      <c r="C147">
        <v>6</v>
      </c>
      <c r="D147">
        <v>1</v>
      </c>
      <c r="E147">
        <v>4</v>
      </c>
      <c r="F147">
        <v>3</v>
      </c>
      <c r="G147">
        <v>14</v>
      </c>
      <c r="H147">
        <v>9</v>
      </c>
      <c r="I147">
        <v>0.75</v>
      </c>
      <c r="J147">
        <v>0.64</v>
      </c>
      <c r="K147">
        <v>0</v>
      </c>
      <c r="L147">
        <v>0</v>
      </c>
      <c r="M147">
        <v>0</v>
      </c>
      <c r="N147">
        <v>0</v>
      </c>
      <c r="O147">
        <v>0</v>
      </c>
      <c r="P147">
        <v>0</v>
      </c>
      <c r="Q147">
        <v>0</v>
      </c>
      <c r="R147">
        <v>0</v>
      </c>
      <c r="S147">
        <v>0</v>
      </c>
      <c r="T147">
        <v>0</v>
      </c>
      <c r="U147">
        <v>1</v>
      </c>
      <c r="V147">
        <v>0</v>
      </c>
      <c r="W147">
        <v>0</v>
      </c>
      <c r="X147">
        <v>1</v>
      </c>
      <c r="Y147">
        <v>1</v>
      </c>
      <c r="Z147">
        <v>0</v>
      </c>
      <c r="AA147">
        <v>0</v>
      </c>
      <c r="AB147">
        <v>0</v>
      </c>
      <c r="AC147">
        <v>0</v>
      </c>
      <c r="AD147">
        <v>0</v>
      </c>
      <c r="AE147">
        <v>0</v>
      </c>
      <c r="AF147" s="100">
        <f>AVERAGEIFS($C$2:C147, $B$2:B147, B147)</f>
        <v>11.333333333333334</v>
      </c>
      <c r="AG147" s="100">
        <f>AVERAGEIFS($I$2:I147, $B$2:B147, B147)</f>
        <v>0.53333333333333333</v>
      </c>
      <c r="AH147" s="100">
        <f>AVERAGEIFS($I$2:J147, $B$2:C147, C147)</f>
        <v>0.52999999999999992</v>
      </c>
      <c r="AI147" s="100">
        <f>AVERAGEIFS($D$2:D147, $B$2:B147, B147)</f>
        <v>0.66666666666666663</v>
      </c>
    </row>
    <row r="148" spans="1:35" x14ac:dyDescent="0.25">
      <c r="A148" s="106">
        <v>46064</v>
      </c>
      <c r="B148" t="s">
        <v>19</v>
      </c>
      <c r="C148">
        <v>5</v>
      </c>
      <c r="D148">
        <v>1</v>
      </c>
      <c r="E148">
        <v>4</v>
      </c>
      <c r="F148">
        <v>3</v>
      </c>
      <c r="G148">
        <v>14</v>
      </c>
      <c r="H148">
        <v>9</v>
      </c>
      <c r="I148">
        <v>0.75</v>
      </c>
      <c r="J148">
        <v>0.64</v>
      </c>
      <c r="K148">
        <v>0</v>
      </c>
      <c r="L148">
        <v>0</v>
      </c>
      <c r="M148">
        <v>0</v>
      </c>
      <c r="N148">
        <v>0</v>
      </c>
      <c r="O148">
        <v>0</v>
      </c>
      <c r="P148">
        <v>0</v>
      </c>
      <c r="Q148">
        <v>0</v>
      </c>
      <c r="R148">
        <v>0</v>
      </c>
      <c r="S148">
        <v>0</v>
      </c>
      <c r="T148">
        <v>0</v>
      </c>
      <c r="U148">
        <v>1</v>
      </c>
      <c r="V148">
        <v>0</v>
      </c>
      <c r="W148">
        <v>0</v>
      </c>
      <c r="X148">
        <v>1</v>
      </c>
      <c r="Y148">
        <v>1</v>
      </c>
      <c r="Z148">
        <v>0</v>
      </c>
      <c r="AA148">
        <v>0</v>
      </c>
      <c r="AB148">
        <v>0</v>
      </c>
      <c r="AC148">
        <v>0</v>
      </c>
      <c r="AD148">
        <v>0</v>
      </c>
      <c r="AE148">
        <v>0</v>
      </c>
      <c r="AF148" s="100">
        <f>AVERAGEIFS($C$2:C148, $B$2:B148, B148)</f>
        <v>8</v>
      </c>
      <c r="AG148" s="100">
        <f>AVERAGEIFS($I$2:I148, $B$2:B148, B148)</f>
        <v>0.56800000000000006</v>
      </c>
      <c r="AH148" s="100">
        <f>AVERAGEIFS($I$2:J148, $B$2:C148, C148)</f>
        <v>0.34399999999999997</v>
      </c>
      <c r="AI148" s="100">
        <f>AVERAGEIFS($D$2:D148, $B$2:B148, B148)</f>
        <v>0.6</v>
      </c>
    </row>
    <row r="149" spans="1:35" x14ac:dyDescent="0.25">
      <c r="A149" s="106">
        <v>46064</v>
      </c>
      <c r="B149" t="s">
        <v>54</v>
      </c>
      <c r="C149">
        <v>32</v>
      </c>
      <c r="D149">
        <v>0</v>
      </c>
      <c r="E149">
        <v>4</v>
      </c>
      <c r="F149">
        <v>1</v>
      </c>
      <c r="G149">
        <v>14</v>
      </c>
      <c r="H149">
        <v>5</v>
      </c>
      <c r="I149">
        <v>0.25</v>
      </c>
      <c r="J149">
        <v>0.36</v>
      </c>
      <c r="K149">
        <v>0</v>
      </c>
      <c r="L149">
        <v>0</v>
      </c>
      <c r="M149">
        <v>0</v>
      </c>
      <c r="N149">
        <v>0</v>
      </c>
      <c r="O149">
        <v>0</v>
      </c>
      <c r="P149">
        <v>0</v>
      </c>
      <c r="Q149">
        <v>0</v>
      </c>
      <c r="R149">
        <v>0</v>
      </c>
      <c r="S149">
        <v>0</v>
      </c>
      <c r="T149">
        <v>1</v>
      </c>
      <c r="U149">
        <v>0</v>
      </c>
      <c r="V149">
        <v>0</v>
      </c>
      <c r="W149">
        <v>0</v>
      </c>
      <c r="X149">
        <v>0</v>
      </c>
      <c r="Y149">
        <v>0</v>
      </c>
      <c r="Z149">
        <v>0</v>
      </c>
      <c r="AA149">
        <v>0</v>
      </c>
      <c r="AB149">
        <v>0</v>
      </c>
      <c r="AC149">
        <v>0</v>
      </c>
      <c r="AD149">
        <v>0</v>
      </c>
      <c r="AE149">
        <v>0</v>
      </c>
      <c r="AF149" s="100">
        <f>AVERAGEIFS($C$2:C149, $B$2:B149, B149)</f>
        <v>24.384615384615383</v>
      </c>
      <c r="AG149" s="100">
        <f>AVERAGEIFS($I$2:I149, $B$2:B149, B149)</f>
        <v>0.5130769230769231</v>
      </c>
      <c r="AH149" s="100">
        <f>AVERAGEIFS($I$2:J149, $B$2:C149, C149)</f>
        <v>0.42</v>
      </c>
      <c r="AI149" s="100">
        <f>AVERAGEIFS($D$2:D149, $B$2:B149, B149)</f>
        <v>0.53846153846153844</v>
      </c>
    </row>
    <row r="150" spans="1:35" x14ac:dyDescent="0.25">
      <c r="A150" s="106">
        <v>46064</v>
      </c>
      <c r="B150" t="s">
        <v>17</v>
      </c>
      <c r="C150">
        <v>18</v>
      </c>
      <c r="D150">
        <v>0</v>
      </c>
      <c r="E150">
        <v>4</v>
      </c>
      <c r="F150">
        <v>1</v>
      </c>
      <c r="G150">
        <v>14</v>
      </c>
      <c r="H150">
        <v>5</v>
      </c>
      <c r="I150">
        <v>0.25</v>
      </c>
      <c r="J150">
        <v>0.36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0</v>
      </c>
      <c r="T150">
        <v>1</v>
      </c>
      <c r="U150">
        <v>0</v>
      </c>
      <c r="V150">
        <v>0</v>
      </c>
      <c r="W150">
        <v>0</v>
      </c>
      <c r="X150">
        <v>0</v>
      </c>
      <c r="Y150">
        <v>0</v>
      </c>
      <c r="Z150">
        <v>0</v>
      </c>
      <c r="AA150">
        <v>0</v>
      </c>
      <c r="AB150">
        <v>0</v>
      </c>
      <c r="AC150">
        <v>0</v>
      </c>
      <c r="AD150">
        <v>0</v>
      </c>
      <c r="AE150">
        <v>0</v>
      </c>
      <c r="AF150" s="100">
        <f>AVERAGEIFS($C$2:C150, $B$2:B150, B150)</f>
        <v>19.181818181818183</v>
      </c>
      <c r="AG150" s="100">
        <f>AVERAGEIFS($I$2:I150, $B$2:B150, B150)</f>
        <v>0.44272727272727275</v>
      </c>
      <c r="AH150" s="100">
        <f>AVERAGEIFS($I$2:J150, $B$2:C150, C150)</f>
        <v>0.47399999999999992</v>
      </c>
      <c r="AI150" s="100">
        <f>AVERAGEIFS($D$2:D150, $B$2:B150, B150)</f>
        <v>0.36363636363636365</v>
      </c>
    </row>
    <row r="151" spans="1:35" x14ac:dyDescent="0.25">
      <c r="A151" s="106">
        <v>46064</v>
      </c>
      <c r="B151" t="s">
        <v>46</v>
      </c>
      <c r="C151">
        <v>17</v>
      </c>
      <c r="D151">
        <v>0</v>
      </c>
      <c r="E151">
        <v>4</v>
      </c>
      <c r="F151">
        <v>1</v>
      </c>
      <c r="G151">
        <v>14</v>
      </c>
      <c r="H151">
        <v>5</v>
      </c>
      <c r="I151">
        <v>0.25</v>
      </c>
      <c r="J151">
        <v>0.36</v>
      </c>
      <c r="K151">
        <v>0</v>
      </c>
      <c r="L151">
        <v>0</v>
      </c>
      <c r="M151">
        <v>0</v>
      </c>
      <c r="N151">
        <v>0</v>
      </c>
      <c r="O151">
        <v>0</v>
      </c>
      <c r="P151">
        <v>0</v>
      </c>
      <c r="Q151">
        <v>0</v>
      </c>
      <c r="R151">
        <v>0</v>
      </c>
      <c r="S151">
        <v>0</v>
      </c>
      <c r="T151">
        <v>1</v>
      </c>
      <c r="U151">
        <v>0</v>
      </c>
      <c r="V151">
        <v>0</v>
      </c>
      <c r="W151">
        <v>0</v>
      </c>
      <c r="X151">
        <v>0</v>
      </c>
      <c r="Y151">
        <v>0</v>
      </c>
      <c r="Z151">
        <v>0</v>
      </c>
      <c r="AA151">
        <v>0</v>
      </c>
      <c r="AB151">
        <v>0</v>
      </c>
      <c r="AC151">
        <v>0</v>
      </c>
      <c r="AD151">
        <v>0</v>
      </c>
      <c r="AE151">
        <v>0</v>
      </c>
      <c r="AF151" s="100">
        <f>AVERAGEIFS($C$2:C151, $B$2:B151, B151)</f>
        <v>18.333333333333332</v>
      </c>
      <c r="AG151" s="100">
        <f>AVERAGEIFS($I$2:I151, $B$2:B151, B151)</f>
        <v>0.47777777777777775</v>
      </c>
      <c r="AH151" s="100">
        <f>AVERAGEIFS($I$2:J151, $B$2:C151, C151)</f>
        <v>0.44818181818181824</v>
      </c>
      <c r="AI151" s="100">
        <f>AVERAGEIFS($D$2:D151, $B$2:B151, B151)</f>
        <v>0.33333333333333331</v>
      </c>
    </row>
    <row r="152" spans="1:35" x14ac:dyDescent="0.25">
      <c r="A152" s="106">
        <v>46064</v>
      </c>
      <c r="B152" t="s">
        <v>52</v>
      </c>
      <c r="C152">
        <v>14</v>
      </c>
      <c r="D152">
        <v>0</v>
      </c>
      <c r="E152">
        <v>4</v>
      </c>
      <c r="F152">
        <v>1</v>
      </c>
      <c r="G152">
        <v>14</v>
      </c>
      <c r="H152">
        <v>5</v>
      </c>
      <c r="I152">
        <v>0.25</v>
      </c>
      <c r="J152">
        <v>0.36</v>
      </c>
      <c r="K152">
        <v>0</v>
      </c>
      <c r="L152">
        <v>0</v>
      </c>
      <c r="M152">
        <v>0</v>
      </c>
      <c r="N152">
        <v>0</v>
      </c>
      <c r="O152">
        <v>0</v>
      </c>
      <c r="P152">
        <v>0</v>
      </c>
      <c r="Q152">
        <v>0</v>
      </c>
      <c r="R152">
        <v>0</v>
      </c>
      <c r="S152">
        <v>0</v>
      </c>
      <c r="T152">
        <v>1</v>
      </c>
      <c r="U152">
        <v>0</v>
      </c>
      <c r="V152">
        <v>0</v>
      </c>
      <c r="W152">
        <v>0</v>
      </c>
      <c r="X152">
        <v>0</v>
      </c>
      <c r="Y152">
        <v>0</v>
      </c>
      <c r="Z152">
        <v>0</v>
      </c>
      <c r="AA152">
        <v>0</v>
      </c>
      <c r="AB152">
        <v>0</v>
      </c>
      <c r="AC152">
        <v>0</v>
      </c>
      <c r="AD152">
        <v>0</v>
      </c>
      <c r="AE152">
        <v>0</v>
      </c>
      <c r="AF152" s="100">
        <f>AVERAGEIFS($C$2:C152, $B$2:B152, B152)</f>
        <v>12.5</v>
      </c>
      <c r="AG152" s="100">
        <f>AVERAGEIFS($I$2:I152, $B$2:B152, B152)</f>
        <v>0.28749999999999998</v>
      </c>
      <c r="AH152" s="100">
        <f>AVERAGEIFS($I$2:J152, $B$2:C152, C152)</f>
        <v>0.51500000000000001</v>
      </c>
      <c r="AI152" s="100">
        <f>AVERAGEIFS($D$2:D152, $B$2:B152, B152)</f>
        <v>0</v>
      </c>
    </row>
    <row r="153" spans="1:35" x14ac:dyDescent="0.25">
      <c r="A153" s="106">
        <v>46064</v>
      </c>
      <c r="B153" t="s">
        <v>28</v>
      </c>
      <c r="C153">
        <v>12</v>
      </c>
      <c r="D153">
        <v>0</v>
      </c>
      <c r="E153">
        <v>4</v>
      </c>
      <c r="F153">
        <v>1</v>
      </c>
      <c r="G153">
        <v>14</v>
      </c>
      <c r="H153">
        <v>5</v>
      </c>
      <c r="I153">
        <v>0.25</v>
      </c>
      <c r="J153">
        <v>0.36</v>
      </c>
      <c r="K153">
        <v>0</v>
      </c>
      <c r="L153">
        <v>0</v>
      </c>
      <c r="M153">
        <v>0</v>
      </c>
      <c r="N153">
        <v>0</v>
      </c>
      <c r="O153">
        <v>0</v>
      </c>
      <c r="P153">
        <v>0</v>
      </c>
      <c r="Q153">
        <v>0</v>
      </c>
      <c r="R153">
        <v>0</v>
      </c>
      <c r="S153">
        <v>0</v>
      </c>
      <c r="T153">
        <v>1</v>
      </c>
      <c r="U153">
        <v>0</v>
      </c>
      <c r="V153">
        <v>0</v>
      </c>
      <c r="W153">
        <v>0</v>
      </c>
      <c r="X153">
        <v>0</v>
      </c>
      <c r="Y153">
        <v>0</v>
      </c>
      <c r="Z153">
        <v>0</v>
      </c>
      <c r="AA153">
        <v>0</v>
      </c>
      <c r="AB153">
        <v>0</v>
      </c>
      <c r="AC153">
        <v>0</v>
      </c>
      <c r="AD153">
        <v>0</v>
      </c>
      <c r="AE153">
        <v>0</v>
      </c>
      <c r="AF153" s="100">
        <f>AVERAGEIFS($C$2:C153, $B$2:B153, B153)</f>
        <v>15</v>
      </c>
      <c r="AG153" s="100">
        <f>AVERAGEIFS($I$2:I153, $B$2:B153, B153)</f>
        <v>0.40500000000000003</v>
      </c>
      <c r="AH153" s="100">
        <f>AVERAGEIFS($I$2:J153, $B$2:C153, C153)</f>
        <v>0.49800000000000005</v>
      </c>
      <c r="AI153" s="100">
        <f>AVERAGEIFS($D$2:D153, $B$2:B153, B153)</f>
        <v>0.33333333333333331</v>
      </c>
    </row>
    <row r="154" spans="1:35" x14ac:dyDescent="0.25">
      <c r="A154" s="106">
        <v>46064</v>
      </c>
      <c r="B154" t="s">
        <v>40</v>
      </c>
      <c r="C154">
        <v>2</v>
      </c>
      <c r="D154">
        <v>0</v>
      </c>
      <c r="E154">
        <v>4</v>
      </c>
      <c r="F154">
        <v>1</v>
      </c>
      <c r="G154">
        <v>14</v>
      </c>
      <c r="H154">
        <v>5</v>
      </c>
      <c r="I154">
        <v>0.25</v>
      </c>
      <c r="J154">
        <v>0.36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0</v>
      </c>
      <c r="T154">
        <v>1</v>
      </c>
      <c r="U154">
        <v>0</v>
      </c>
      <c r="V154">
        <v>0</v>
      </c>
      <c r="W154">
        <v>0</v>
      </c>
      <c r="X154">
        <v>0</v>
      </c>
      <c r="Y154">
        <v>0</v>
      </c>
      <c r="Z154">
        <v>0</v>
      </c>
      <c r="AA154">
        <v>0</v>
      </c>
      <c r="AB154">
        <v>0</v>
      </c>
      <c r="AC154">
        <v>0</v>
      </c>
      <c r="AD154">
        <v>0</v>
      </c>
      <c r="AE154">
        <v>0</v>
      </c>
      <c r="AF154" s="100">
        <f>AVERAGEIFS($C$2:C154, $B$2:B154, B154)</f>
        <v>8</v>
      </c>
      <c r="AG154" s="100">
        <f>AVERAGEIFS($I$2:I154, $B$2:B154, B154)</f>
        <v>0.3666666666666667</v>
      </c>
      <c r="AH154" s="100">
        <f>AVERAGEIFS($I$2:J154, $B$2:C154, C154)</f>
        <v>0.28333333333333333</v>
      </c>
      <c r="AI154" s="100">
        <f>AVERAGEIFS($D$2:D154, $B$2:B154, B154)</f>
        <v>0.33333333333333331</v>
      </c>
    </row>
    <row r="155" spans="1:35" x14ac:dyDescent="0.25">
      <c r="A155" s="106">
        <v>46065</v>
      </c>
      <c r="B155" t="s">
        <v>2</v>
      </c>
      <c r="C155">
        <v>26</v>
      </c>
      <c r="D155">
        <v>1</v>
      </c>
      <c r="E155">
        <v>3</v>
      </c>
      <c r="F155">
        <v>3</v>
      </c>
      <c r="G155">
        <v>15</v>
      </c>
      <c r="H155">
        <v>9</v>
      </c>
      <c r="I155">
        <v>1</v>
      </c>
      <c r="J155">
        <v>0.6</v>
      </c>
      <c r="K155">
        <v>0</v>
      </c>
      <c r="L155">
        <v>0</v>
      </c>
      <c r="M155">
        <v>0</v>
      </c>
      <c r="N155">
        <v>0</v>
      </c>
      <c r="O155">
        <v>0</v>
      </c>
      <c r="P155">
        <v>0</v>
      </c>
      <c r="Q155">
        <v>0</v>
      </c>
      <c r="R155">
        <v>0</v>
      </c>
      <c r="S155">
        <v>0</v>
      </c>
      <c r="T155">
        <v>0</v>
      </c>
      <c r="U155">
        <v>0</v>
      </c>
      <c r="V155">
        <v>0</v>
      </c>
      <c r="W155">
        <v>0</v>
      </c>
      <c r="X155">
        <v>0</v>
      </c>
      <c r="Y155">
        <v>1</v>
      </c>
      <c r="Z155">
        <v>0</v>
      </c>
      <c r="AA155">
        <v>1</v>
      </c>
      <c r="AB155">
        <v>1</v>
      </c>
      <c r="AC155">
        <v>0</v>
      </c>
      <c r="AD155">
        <v>0</v>
      </c>
      <c r="AE155">
        <v>0</v>
      </c>
      <c r="AF155" s="100">
        <f>AVERAGEIFS($C$2:C155, $B$2:B155, B155)</f>
        <v>21.625</v>
      </c>
      <c r="AG155" s="100">
        <f>AVERAGEIFS($I$2:I155, $B$2:B155, B155)</f>
        <v>0.51</v>
      </c>
      <c r="AH155" s="100">
        <f>AVERAGEIFS($I$2:J155, $B$2:C155, C155)</f>
        <v>0.56000000000000005</v>
      </c>
      <c r="AI155" s="100">
        <f>AVERAGEIFS($D$2:D155, $B$2:B155, B155)</f>
        <v>0.5</v>
      </c>
    </row>
    <row r="156" spans="1:35" x14ac:dyDescent="0.25">
      <c r="A156" s="106">
        <v>46065</v>
      </c>
      <c r="B156" t="s">
        <v>50</v>
      </c>
      <c r="C156">
        <v>23</v>
      </c>
      <c r="D156">
        <v>1</v>
      </c>
      <c r="E156">
        <v>3</v>
      </c>
      <c r="F156">
        <v>3</v>
      </c>
      <c r="G156">
        <v>15</v>
      </c>
      <c r="H156">
        <v>9</v>
      </c>
      <c r="I156">
        <v>1</v>
      </c>
      <c r="J156">
        <v>0.6</v>
      </c>
      <c r="K156">
        <v>0</v>
      </c>
      <c r="L156">
        <v>0</v>
      </c>
      <c r="M156">
        <v>0</v>
      </c>
      <c r="N156">
        <v>0</v>
      </c>
      <c r="O156">
        <v>0</v>
      </c>
      <c r="P156">
        <v>0</v>
      </c>
      <c r="Q156">
        <v>0</v>
      </c>
      <c r="R156">
        <v>0</v>
      </c>
      <c r="S156">
        <v>0</v>
      </c>
      <c r="T156">
        <v>0</v>
      </c>
      <c r="U156">
        <v>0</v>
      </c>
      <c r="V156">
        <v>0</v>
      </c>
      <c r="W156">
        <v>0</v>
      </c>
      <c r="X156">
        <v>0</v>
      </c>
      <c r="Y156">
        <v>1</v>
      </c>
      <c r="Z156">
        <v>0</v>
      </c>
      <c r="AA156">
        <v>1</v>
      </c>
      <c r="AB156">
        <v>1</v>
      </c>
      <c r="AC156">
        <v>0</v>
      </c>
      <c r="AD156">
        <v>0</v>
      </c>
      <c r="AE156">
        <v>0</v>
      </c>
      <c r="AF156" s="100">
        <f>AVERAGEIFS($C$2:C156, $B$2:B156, B156)</f>
        <v>19.23076923076923</v>
      </c>
      <c r="AG156" s="100">
        <f>AVERAGEIFS($I$2:I156, $B$2:B156, B156)</f>
        <v>0.54461538461538472</v>
      </c>
      <c r="AH156" s="100">
        <f>AVERAGEIFS($I$2:J156, $B$2:C156, C156)</f>
        <v>0.61428571428571421</v>
      </c>
      <c r="AI156" s="100">
        <f>AVERAGEIFS($D$2:D156, $B$2:B156, B156)</f>
        <v>0.53846153846153844</v>
      </c>
    </row>
    <row r="157" spans="1:35" x14ac:dyDescent="0.25">
      <c r="A157" s="106">
        <v>46065</v>
      </c>
      <c r="B157" t="s">
        <v>6</v>
      </c>
      <c r="C157">
        <v>21</v>
      </c>
      <c r="D157">
        <v>1</v>
      </c>
      <c r="E157">
        <v>3</v>
      </c>
      <c r="F157">
        <v>3</v>
      </c>
      <c r="G157">
        <v>15</v>
      </c>
      <c r="H157">
        <v>9</v>
      </c>
      <c r="I157">
        <v>1</v>
      </c>
      <c r="J157">
        <v>0.6</v>
      </c>
      <c r="K157">
        <v>0</v>
      </c>
      <c r="L157">
        <v>0</v>
      </c>
      <c r="M157">
        <v>0</v>
      </c>
      <c r="N157">
        <v>0</v>
      </c>
      <c r="O157">
        <v>0</v>
      </c>
      <c r="P157">
        <v>0</v>
      </c>
      <c r="Q157">
        <v>0</v>
      </c>
      <c r="R157">
        <v>0</v>
      </c>
      <c r="S157">
        <v>0</v>
      </c>
      <c r="T157">
        <v>0</v>
      </c>
      <c r="U157">
        <v>0</v>
      </c>
      <c r="V157">
        <v>0</v>
      </c>
      <c r="W157">
        <v>0</v>
      </c>
      <c r="X157">
        <v>0</v>
      </c>
      <c r="Y157">
        <v>1</v>
      </c>
      <c r="Z157">
        <v>0</v>
      </c>
      <c r="AA157">
        <v>1</v>
      </c>
      <c r="AB157">
        <v>1</v>
      </c>
      <c r="AC157">
        <v>0</v>
      </c>
      <c r="AD157">
        <v>0</v>
      </c>
      <c r="AE157">
        <v>0</v>
      </c>
      <c r="AF157" s="100">
        <f>AVERAGEIFS($C$2:C157, $B$2:B157, B157)</f>
        <v>20.818181818181817</v>
      </c>
      <c r="AG157" s="100">
        <f>AVERAGEIFS($I$2:I157, $B$2:B157, B157)</f>
        <v>0.68909090909090909</v>
      </c>
      <c r="AH157" s="100">
        <f>AVERAGEIFS($I$2:J157, $B$2:C157, C157)</f>
        <v>0.53200000000000003</v>
      </c>
      <c r="AI157" s="100">
        <f>AVERAGEIFS($D$2:D157, $B$2:B157, B157)</f>
        <v>0.72727272727272729</v>
      </c>
    </row>
    <row r="158" spans="1:35" x14ac:dyDescent="0.25">
      <c r="A158" s="106">
        <v>46065</v>
      </c>
      <c r="B158" t="s">
        <v>17</v>
      </c>
      <c r="C158">
        <v>15</v>
      </c>
      <c r="D158">
        <v>1</v>
      </c>
      <c r="E158">
        <v>3</v>
      </c>
      <c r="F158">
        <v>3</v>
      </c>
      <c r="G158">
        <v>15</v>
      </c>
      <c r="H158">
        <v>9</v>
      </c>
      <c r="I158">
        <v>1</v>
      </c>
      <c r="J158">
        <v>0.6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0</v>
      </c>
      <c r="T158">
        <v>0</v>
      </c>
      <c r="U158">
        <v>0</v>
      </c>
      <c r="V158">
        <v>0</v>
      </c>
      <c r="W158">
        <v>0</v>
      </c>
      <c r="X158">
        <v>0</v>
      </c>
      <c r="Y158">
        <v>1</v>
      </c>
      <c r="Z158">
        <v>0</v>
      </c>
      <c r="AA158">
        <v>1</v>
      </c>
      <c r="AB158">
        <v>1</v>
      </c>
      <c r="AC158">
        <v>0</v>
      </c>
      <c r="AD158">
        <v>0</v>
      </c>
      <c r="AE158">
        <v>0</v>
      </c>
      <c r="AF158" s="100">
        <f>AVERAGEIFS($C$2:C158, $B$2:B158, B158)</f>
        <v>18.833333333333332</v>
      </c>
      <c r="AG158" s="100">
        <f>AVERAGEIFS($I$2:I158, $B$2:B158, B158)</f>
        <v>0.48916666666666669</v>
      </c>
      <c r="AH158" s="100">
        <f>AVERAGEIFS($I$2:J158, $B$2:C158, C158)</f>
        <v>0.49399999999999994</v>
      </c>
      <c r="AI158" s="100">
        <f>AVERAGEIFS($D$2:D158, $B$2:B158, B158)</f>
        <v>0.41666666666666669</v>
      </c>
    </row>
    <row r="159" spans="1:35" x14ac:dyDescent="0.25">
      <c r="A159" s="106">
        <v>46065</v>
      </c>
      <c r="B159" t="s">
        <v>28</v>
      </c>
      <c r="C159">
        <v>15</v>
      </c>
      <c r="D159">
        <v>1</v>
      </c>
      <c r="E159">
        <v>3</v>
      </c>
      <c r="F159">
        <v>3</v>
      </c>
      <c r="G159">
        <v>15</v>
      </c>
      <c r="H159">
        <v>9</v>
      </c>
      <c r="I159">
        <v>1</v>
      </c>
      <c r="J159">
        <v>0.6</v>
      </c>
      <c r="K159">
        <v>0</v>
      </c>
      <c r="L159">
        <v>0</v>
      </c>
      <c r="M159">
        <v>0</v>
      </c>
      <c r="N159">
        <v>0</v>
      </c>
      <c r="O159">
        <v>0</v>
      </c>
      <c r="P159">
        <v>0</v>
      </c>
      <c r="Q159">
        <v>0</v>
      </c>
      <c r="R159">
        <v>0</v>
      </c>
      <c r="S159">
        <v>0</v>
      </c>
      <c r="T159">
        <v>0</v>
      </c>
      <c r="U159">
        <v>0</v>
      </c>
      <c r="V159">
        <v>0</v>
      </c>
      <c r="W159">
        <v>0</v>
      </c>
      <c r="X159">
        <v>0</v>
      </c>
      <c r="Y159">
        <v>1</v>
      </c>
      <c r="Z159">
        <v>0</v>
      </c>
      <c r="AA159">
        <v>1</v>
      </c>
      <c r="AB159">
        <v>1</v>
      </c>
      <c r="AC159">
        <v>0</v>
      </c>
      <c r="AD159">
        <v>0</v>
      </c>
      <c r="AE159">
        <v>0</v>
      </c>
      <c r="AF159" s="100">
        <f>AVERAGEIFS($C$2:C159, $B$2:B159, B159)</f>
        <v>15</v>
      </c>
      <c r="AG159" s="100">
        <f>AVERAGEIFS($I$2:I159, $B$2:B159, B159)</f>
        <v>0.49000000000000005</v>
      </c>
      <c r="AH159" s="100">
        <f>AVERAGEIFS($I$2:J159, $B$2:C159, C159)</f>
        <v>0.5116666666666666</v>
      </c>
      <c r="AI159" s="100">
        <f>AVERAGEIFS($D$2:D159, $B$2:B159, B159)</f>
        <v>0.42857142857142855</v>
      </c>
    </row>
    <row r="160" spans="1:35" x14ac:dyDescent="0.25">
      <c r="A160" s="106">
        <v>46065</v>
      </c>
      <c r="B160" t="s">
        <v>19</v>
      </c>
      <c r="C160">
        <v>10</v>
      </c>
      <c r="D160">
        <v>1</v>
      </c>
      <c r="E160">
        <v>3</v>
      </c>
      <c r="F160">
        <v>3</v>
      </c>
      <c r="G160">
        <v>15</v>
      </c>
      <c r="H160">
        <v>9</v>
      </c>
      <c r="I160">
        <v>1</v>
      </c>
      <c r="J160">
        <v>0.6</v>
      </c>
      <c r="K160">
        <v>0</v>
      </c>
      <c r="L160">
        <v>0</v>
      </c>
      <c r="M160">
        <v>0</v>
      </c>
      <c r="N160">
        <v>0</v>
      </c>
      <c r="O160">
        <v>0</v>
      </c>
      <c r="P160">
        <v>0</v>
      </c>
      <c r="Q160">
        <v>0</v>
      </c>
      <c r="R160">
        <v>0</v>
      </c>
      <c r="S160">
        <v>0</v>
      </c>
      <c r="T160">
        <v>0</v>
      </c>
      <c r="U160">
        <v>0</v>
      </c>
      <c r="V160">
        <v>0</v>
      </c>
      <c r="W160">
        <v>0</v>
      </c>
      <c r="X160">
        <v>0</v>
      </c>
      <c r="Y160">
        <v>1</v>
      </c>
      <c r="Z160">
        <v>0</v>
      </c>
      <c r="AA160">
        <v>1</v>
      </c>
      <c r="AB160">
        <v>1</v>
      </c>
      <c r="AC160">
        <v>0</v>
      </c>
      <c r="AD160">
        <v>0</v>
      </c>
      <c r="AE160">
        <v>0</v>
      </c>
      <c r="AF160" s="100">
        <f>AVERAGEIFS($C$2:C160, $B$2:B160, B160)</f>
        <v>8.1818181818181817</v>
      </c>
      <c r="AG160" s="100">
        <f>AVERAGEIFS($I$2:I160, $B$2:B160, B160)</f>
        <v>0.6072727272727273</v>
      </c>
      <c r="AH160" s="100">
        <f>AVERAGEIFS($I$2:J160, $B$2:C160, C160)</f>
        <v>0.54</v>
      </c>
      <c r="AI160" s="100">
        <f>AVERAGEIFS($D$2:D160, $B$2:B160, B160)</f>
        <v>0.63636363636363635</v>
      </c>
    </row>
    <row r="161" spans="1:35" x14ac:dyDescent="0.25">
      <c r="A161" s="106">
        <v>46065</v>
      </c>
      <c r="B161" t="s">
        <v>40</v>
      </c>
      <c r="C161">
        <v>22</v>
      </c>
      <c r="D161">
        <v>0</v>
      </c>
      <c r="E161">
        <v>3</v>
      </c>
      <c r="F161">
        <v>0</v>
      </c>
      <c r="G161">
        <v>15</v>
      </c>
      <c r="H161">
        <v>6</v>
      </c>
      <c r="I161">
        <v>0</v>
      </c>
      <c r="J161">
        <v>0.4</v>
      </c>
      <c r="K161">
        <v>0</v>
      </c>
      <c r="L161">
        <v>0</v>
      </c>
      <c r="M161">
        <v>0</v>
      </c>
      <c r="N161">
        <v>0</v>
      </c>
      <c r="O161">
        <v>0</v>
      </c>
      <c r="P161">
        <v>0</v>
      </c>
      <c r="Q161">
        <v>0</v>
      </c>
      <c r="R161">
        <v>0</v>
      </c>
      <c r="S161">
        <v>0</v>
      </c>
      <c r="T161">
        <v>0</v>
      </c>
      <c r="U161">
        <v>0</v>
      </c>
      <c r="V161">
        <v>0</v>
      </c>
      <c r="W161">
        <v>0</v>
      </c>
      <c r="X161">
        <v>0</v>
      </c>
      <c r="Y161">
        <v>0</v>
      </c>
      <c r="Z161">
        <v>0</v>
      </c>
      <c r="AA161">
        <v>0</v>
      </c>
      <c r="AB161">
        <v>0</v>
      </c>
      <c r="AC161">
        <v>0</v>
      </c>
      <c r="AD161">
        <v>0</v>
      </c>
      <c r="AE161">
        <v>0</v>
      </c>
      <c r="AF161" s="100">
        <f>AVERAGEIFS($C$2:C161, $B$2:B161, B161)</f>
        <v>11.5</v>
      </c>
      <c r="AG161" s="100">
        <f>AVERAGEIFS($I$2:I161, $B$2:B161, B161)</f>
        <v>0.27500000000000002</v>
      </c>
      <c r="AH161" s="100">
        <f>AVERAGEIFS($I$2:J161, $B$2:C161, C161)</f>
        <v>0.56857142857142862</v>
      </c>
      <c r="AI161" s="100">
        <f>AVERAGEIFS($D$2:D161, $B$2:B161, B161)</f>
        <v>0.25</v>
      </c>
    </row>
    <row r="162" spans="1:35" x14ac:dyDescent="0.25">
      <c r="A162" s="106">
        <v>46065</v>
      </c>
      <c r="B162" t="s">
        <v>4</v>
      </c>
      <c r="C162">
        <v>17</v>
      </c>
      <c r="D162">
        <v>0</v>
      </c>
      <c r="E162">
        <v>3</v>
      </c>
      <c r="F162">
        <v>0</v>
      </c>
      <c r="G162">
        <v>15</v>
      </c>
      <c r="H162">
        <v>6</v>
      </c>
      <c r="I162">
        <v>0</v>
      </c>
      <c r="J162">
        <v>0.4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0</v>
      </c>
      <c r="T162">
        <v>0</v>
      </c>
      <c r="U162">
        <v>0</v>
      </c>
      <c r="V162">
        <v>0</v>
      </c>
      <c r="W162">
        <v>0</v>
      </c>
      <c r="X162">
        <v>0</v>
      </c>
      <c r="Y162">
        <v>0</v>
      </c>
      <c r="Z162">
        <v>0</v>
      </c>
      <c r="AA162">
        <v>0</v>
      </c>
      <c r="AB162">
        <v>0</v>
      </c>
      <c r="AC162">
        <v>0</v>
      </c>
      <c r="AD162">
        <v>0</v>
      </c>
      <c r="AE162">
        <v>0</v>
      </c>
      <c r="AF162" s="100">
        <f>AVERAGEIFS($C$2:C162, $B$2:B162, B162)</f>
        <v>18.666666666666668</v>
      </c>
      <c r="AG162" s="100">
        <f>AVERAGEIFS($I$2:I162, $B$2:B162, B162)</f>
        <v>0.21666666666666667</v>
      </c>
      <c r="AH162" s="100">
        <f>AVERAGEIFS($I$2:J162, $B$2:C162, C162)</f>
        <v>0.44416666666666677</v>
      </c>
      <c r="AI162" s="100">
        <f>AVERAGEIFS($D$2:D162, $B$2:B162, B162)</f>
        <v>0</v>
      </c>
    </row>
    <row r="163" spans="1:35" x14ac:dyDescent="0.25">
      <c r="A163" s="106">
        <v>46065</v>
      </c>
      <c r="B163" t="s">
        <v>42</v>
      </c>
      <c r="C163">
        <v>16</v>
      </c>
      <c r="D163">
        <v>0</v>
      </c>
      <c r="E163">
        <v>3</v>
      </c>
      <c r="F163">
        <v>0</v>
      </c>
      <c r="G163">
        <v>15</v>
      </c>
      <c r="H163">
        <v>6</v>
      </c>
      <c r="I163">
        <v>0</v>
      </c>
      <c r="J163">
        <v>0.4</v>
      </c>
      <c r="K163">
        <v>0</v>
      </c>
      <c r="L163">
        <v>0</v>
      </c>
      <c r="M163">
        <v>0</v>
      </c>
      <c r="N163">
        <v>0</v>
      </c>
      <c r="O163">
        <v>0</v>
      </c>
      <c r="P163">
        <v>0</v>
      </c>
      <c r="Q163">
        <v>0</v>
      </c>
      <c r="R163">
        <v>0</v>
      </c>
      <c r="S163">
        <v>0</v>
      </c>
      <c r="T163">
        <v>0</v>
      </c>
      <c r="U163">
        <v>0</v>
      </c>
      <c r="V163">
        <v>0</v>
      </c>
      <c r="W163">
        <v>0</v>
      </c>
      <c r="X163">
        <v>0</v>
      </c>
      <c r="Y163">
        <v>0</v>
      </c>
      <c r="Z163">
        <v>0</v>
      </c>
      <c r="AA163">
        <v>0</v>
      </c>
      <c r="AB163">
        <v>0</v>
      </c>
      <c r="AC163">
        <v>0</v>
      </c>
      <c r="AD163">
        <v>0</v>
      </c>
      <c r="AE163">
        <v>0</v>
      </c>
      <c r="AF163" s="100">
        <f>AVERAGEIFS($C$2:C163, $B$2:B163, B163)</f>
        <v>12.5</v>
      </c>
      <c r="AG163" s="100">
        <f>AVERAGEIFS($I$2:I163, $B$2:B163, B163)</f>
        <v>0.4</v>
      </c>
      <c r="AH163" s="100">
        <f>AVERAGEIFS($I$2:J163, $B$2:C163, C163)</f>
        <v>0.52624999999999988</v>
      </c>
      <c r="AI163" s="100">
        <f>AVERAGEIFS($D$2:D163, $B$2:B163, B163)</f>
        <v>0.5</v>
      </c>
    </row>
    <row r="164" spans="1:35" x14ac:dyDescent="0.25">
      <c r="A164" s="106">
        <v>46065</v>
      </c>
      <c r="B164" t="s">
        <v>1</v>
      </c>
      <c r="C164">
        <v>16</v>
      </c>
      <c r="D164">
        <v>0</v>
      </c>
      <c r="E164">
        <v>3</v>
      </c>
      <c r="F164">
        <v>0</v>
      </c>
      <c r="G164">
        <v>15</v>
      </c>
      <c r="H164">
        <v>6</v>
      </c>
      <c r="I164">
        <v>0</v>
      </c>
      <c r="J164">
        <v>0.4</v>
      </c>
      <c r="K164">
        <v>0</v>
      </c>
      <c r="L164">
        <v>0</v>
      </c>
      <c r="M164">
        <v>0</v>
      </c>
      <c r="N164">
        <v>0</v>
      </c>
      <c r="O164">
        <v>0</v>
      </c>
      <c r="P164">
        <v>0</v>
      </c>
      <c r="Q164">
        <v>0</v>
      </c>
      <c r="R164">
        <v>0</v>
      </c>
      <c r="S164">
        <v>0</v>
      </c>
      <c r="T164">
        <v>0</v>
      </c>
      <c r="U164">
        <v>0</v>
      </c>
      <c r="V164">
        <v>0</v>
      </c>
      <c r="W164">
        <v>0</v>
      </c>
      <c r="X164">
        <v>0</v>
      </c>
      <c r="Y164">
        <v>0</v>
      </c>
      <c r="Z164">
        <v>0</v>
      </c>
      <c r="AA164">
        <v>0</v>
      </c>
      <c r="AB164">
        <v>0</v>
      </c>
      <c r="AC164">
        <v>0</v>
      </c>
      <c r="AD164">
        <v>0</v>
      </c>
      <c r="AE164">
        <v>0</v>
      </c>
      <c r="AF164" s="100">
        <f>AVERAGEIFS($C$2:C164, $B$2:B164, B164)</f>
        <v>24</v>
      </c>
      <c r="AG164" s="100">
        <f>AVERAGEIFS($I$2:I164, $B$2:B164, B164)</f>
        <v>0.33750000000000002</v>
      </c>
      <c r="AH164" s="100">
        <f>AVERAGEIFS($I$2:J164, $B$2:C164, C164)</f>
        <v>0.51222222222222213</v>
      </c>
      <c r="AI164" s="100">
        <f>AVERAGEIFS($D$2:D164, $B$2:B164, B164)</f>
        <v>0.5</v>
      </c>
    </row>
    <row r="165" spans="1:35" x14ac:dyDescent="0.25">
      <c r="A165" s="106">
        <v>46065</v>
      </c>
      <c r="B165" t="s">
        <v>35</v>
      </c>
      <c r="C165">
        <v>11</v>
      </c>
      <c r="D165">
        <v>0</v>
      </c>
      <c r="E165">
        <v>3</v>
      </c>
      <c r="F165">
        <v>0</v>
      </c>
      <c r="G165">
        <v>15</v>
      </c>
      <c r="H165">
        <v>6</v>
      </c>
      <c r="I165">
        <v>0</v>
      </c>
      <c r="J165">
        <v>0.4</v>
      </c>
      <c r="K165">
        <v>0</v>
      </c>
      <c r="L165">
        <v>0</v>
      </c>
      <c r="M165">
        <v>0</v>
      </c>
      <c r="N165">
        <v>0</v>
      </c>
      <c r="O165">
        <v>0</v>
      </c>
      <c r="P165">
        <v>0</v>
      </c>
      <c r="Q165">
        <v>0</v>
      </c>
      <c r="R165">
        <v>0</v>
      </c>
      <c r="S165">
        <v>0</v>
      </c>
      <c r="T165">
        <v>0</v>
      </c>
      <c r="U165">
        <v>0</v>
      </c>
      <c r="V165">
        <v>0</v>
      </c>
      <c r="W165">
        <v>0</v>
      </c>
      <c r="X165">
        <v>0</v>
      </c>
      <c r="Y165">
        <v>0</v>
      </c>
      <c r="Z165">
        <v>0</v>
      </c>
      <c r="AA165">
        <v>0</v>
      </c>
      <c r="AB165">
        <v>0</v>
      </c>
      <c r="AC165">
        <v>0</v>
      </c>
      <c r="AD165">
        <v>0</v>
      </c>
      <c r="AE165">
        <v>0</v>
      </c>
      <c r="AF165" s="100">
        <f>AVERAGEIFS($C$2:C165, $B$2:B165, B165)</f>
        <v>11.4</v>
      </c>
      <c r="AG165" s="100">
        <f>AVERAGEIFS($I$2:I165, $B$2:B165, B165)</f>
        <v>0.433</v>
      </c>
      <c r="AH165" s="100">
        <f>AVERAGEIFS($I$2:J165, $B$2:C165, C165)</f>
        <v>0.51624999999999999</v>
      </c>
      <c r="AI165" s="100">
        <f>AVERAGEIFS($D$2:D165, $B$2:B165, B165)</f>
        <v>0.4</v>
      </c>
    </row>
    <row r="166" spans="1:35" x14ac:dyDescent="0.25">
      <c r="A166" s="106">
        <v>46065</v>
      </c>
      <c r="B166" t="s">
        <v>53</v>
      </c>
      <c r="C166">
        <v>11</v>
      </c>
      <c r="D166">
        <v>0</v>
      </c>
      <c r="E166">
        <v>3</v>
      </c>
      <c r="F166">
        <v>0</v>
      </c>
      <c r="G166">
        <v>15</v>
      </c>
      <c r="H166">
        <v>6</v>
      </c>
      <c r="I166">
        <v>0</v>
      </c>
      <c r="J166">
        <v>0.4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0</v>
      </c>
      <c r="T166">
        <v>0</v>
      </c>
      <c r="U166">
        <v>0</v>
      </c>
      <c r="V166">
        <v>0</v>
      </c>
      <c r="W166">
        <v>0</v>
      </c>
      <c r="X166">
        <v>0</v>
      </c>
      <c r="Y166">
        <v>0</v>
      </c>
      <c r="Z166">
        <v>0</v>
      </c>
      <c r="AA166">
        <v>0</v>
      </c>
      <c r="AB166">
        <v>0</v>
      </c>
      <c r="AC166">
        <v>0</v>
      </c>
      <c r="AD166">
        <v>0</v>
      </c>
      <c r="AE166">
        <v>0</v>
      </c>
      <c r="AF166" s="100">
        <f>AVERAGEIFS($C$2:C166, $B$2:B166, B166)</f>
        <v>19.142857142857142</v>
      </c>
      <c r="AG166" s="100">
        <f>AVERAGEIFS($I$2:I166, $B$2:B166, B166)</f>
        <v>0.52142857142857146</v>
      </c>
      <c r="AH166" s="100">
        <f>AVERAGEIFS($I$2:J166, $B$2:C166, C166)</f>
        <v>0.50333333333333341</v>
      </c>
      <c r="AI166" s="100">
        <f>AVERAGEIFS($D$2:D166, $B$2:B166, B166)</f>
        <v>0.42857142857142855</v>
      </c>
    </row>
    <row r="167" spans="1:35" x14ac:dyDescent="0.25">
      <c r="A167" s="106">
        <v>46066</v>
      </c>
      <c r="B167" t="s">
        <v>1</v>
      </c>
      <c r="C167">
        <v>27</v>
      </c>
      <c r="D167">
        <v>1</v>
      </c>
      <c r="E167">
        <v>5</v>
      </c>
      <c r="F167">
        <v>3</v>
      </c>
      <c r="G167">
        <v>22</v>
      </c>
      <c r="H167">
        <v>11</v>
      </c>
      <c r="I167">
        <v>0.6</v>
      </c>
      <c r="J167">
        <v>0.5</v>
      </c>
      <c r="K167">
        <v>0</v>
      </c>
      <c r="L167">
        <v>0</v>
      </c>
      <c r="M167">
        <v>0</v>
      </c>
      <c r="N167">
        <v>0</v>
      </c>
      <c r="O167">
        <v>0</v>
      </c>
      <c r="P167">
        <v>0</v>
      </c>
      <c r="Q167">
        <v>0</v>
      </c>
      <c r="R167">
        <v>0</v>
      </c>
      <c r="S167">
        <v>0</v>
      </c>
      <c r="T167">
        <v>0</v>
      </c>
      <c r="U167">
        <v>0</v>
      </c>
      <c r="V167">
        <v>1</v>
      </c>
      <c r="W167">
        <v>0</v>
      </c>
      <c r="X167">
        <v>0</v>
      </c>
      <c r="Y167">
        <v>1</v>
      </c>
      <c r="Z167">
        <v>1</v>
      </c>
      <c r="AA167">
        <v>0</v>
      </c>
      <c r="AB167">
        <v>0</v>
      </c>
      <c r="AC167">
        <v>0</v>
      </c>
      <c r="AD167">
        <v>0</v>
      </c>
      <c r="AE167">
        <v>0</v>
      </c>
      <c r="AF167" s="100">
        <f>AVERAGEIFS($C$2:C167, $B$2:B167, B167)</f>
        <v>24.6</v>
      </c>
      <c r="AG167" s="100">
        <f>AVERAGEIFS($I$2:I167, $B$2:B167, B167)</f>
        <v>0.39</v>
      </c>
      <c r="AH167" s="100">
        <f>AVERAGEIFS($I$2:J167, $B$2:C167, C167)</f>
        <v>0.47400000000000003</v>
      </c>
      <c r="AI167" s="100">
        <f>AVERAGEIFS($D$2:D167, $B$2:B167, B167)</f>
        <v>0.6</v>
      </c>
    </row>
    <row r="168" spans="1:35" x14ac:dyDescent="0.25">
      <c r="A168" s="106">
        <v>46066</v>
      </c>
      <c r="B168" t="s">
        <v>6</v>
      </c>
      <c r="C168">
        <v>25</v>
      </c>
      <c r="D168">
        <v>1</v>
      </c>
      <c r="E168">
        <v>5</v>
      </c>
      <c r="F168">
        <v>3</v>
      </c>
      <c r="G168">
        <v>22</v>
      </c>
      <c r="H168">
        <v>11</v>
      </c>
      <c r="I168">
        <v>0.6</v>
      </c>
      <c r="J168">
        <v>0.5</v>
      </c>
      <c r="K168">
        <v>0</v>
      </c>
      <c r="L168">
        <v>0</v>
      </c>
      <c r="M168">
        <v>0</v>
      </c>
      <c r="N168">
        <v>0</v>
      </c>
      <c r="O168">
        <v>0</v>
      </c>
      <c r="P168">
        <v>0</v>
      </c>
      <c r="Q168">
        <v>0</v>
      </c>
      <c r="R168">
        <v>0</v>
      </c>
      <c r="S168">
        <v>0</v>
      </c>
      <c r="T168">
        <v>0</v>
      </c>
      <c r="U168">
        <v>0</v>
      </c>
      <c r="V168">
        <v>1</v>
      </c>
      <c r="W168">
        <v>0</v>
      </c>
      <c r="X168">
        <v>0</v>
      </c>
      <c r="Y168">
        <v>1</v>
      </c>
      <c r="Z168">
        <v>1</v>
      </c>
      <c r="AA168">
        <v>0</v>
      </c>
      <c r="AB168">
        <v>0</v>
      </c>
      <c r="AC168">
        <v>0</v>
      </c>
      <c r="AD168">
        <v>0</v>
      </c>
      <c r="AE168">
        <v>0</v>
      </c>
      <c r="AF168" s="100">
        <f>AVERAGEIFS($C$2:C168, $B$2:B168, B168)</f>
        <v>21.166666666666668</v>
      </c>
      <c r="AG168" s="100">
        <f>AVERAGEIFS($I$2:I168, $B$2:B168, B168)</f>
        <v>0.68166666666666664</v>
      </c>
      <c r="AH168" s="100">
        <f>AVERAGEIFS($I$2:J168, $B$2:C168, C168)</f>
        <v>0.49222222222222217</v>
      </c>
      <c r="AI168" s="100">
        <f>AVERAGEIFS($D$2:D168, $B$2:B168, B168)</f>
        <v>0.75</v>
      </c>
    </row>
    <row r="169" spans="1:35" x14ac:dyDescent="0.25">
      <c r="A169" s="106">
        <v>46066</v>
      </c>
      <c r="B169" t="s">
        <v>14</v>
      </c>
      <c r="C169">
        <v>21</v>
      </c>
      <c r="D169">
        <v>1</v>
      </c>
      <c r="E169">
        <v>5</v>
      </c>
      <c r="F169">
        <v>3</v>
      </c>
      <c r="G169">
        <v>22</v>
      </c>
      <c r="H169">
        <v>11</v>
      </c>
      <c r="I169">
        <v>0.6</v>
      </c>
      <c r="J169">
        <v>0.5</v>
      </c>
      <c r="K169">
        <v>0</v>
      </c>
      <c r="L169">
        <v>0</v>
      </c>
      <c r="M169">
        <v>0</v>
      </c>
      <c r="N169">
        <v>0</v>
      </c>
      <c r="O169">
        <v>0</v>
      </c>
      <c r="P169">
        <v>0</v>
      </c>
      <c r="Q169">
        <v>0</v>
      </c>
      <c r="R169">
        <v>0</v>
      </c>
      <c r="S169">
        <v>0</v>
      </c>
      <c r="T169">
        <v>0</v>
      </c>
      <c r="U169">
        <v>0</v>
      </c>
      <c r="V169">
        <v>1</v>
      </c>
      <c r="W169">
        <v>0</v>
      </c>
      <c r="X169">
        <v>0</v>
      </c>
      <c r="Y169">
        <v>1</v>
      </c>
      <c r="Z169">
        <v>1</v>
      </c>
      <c r="AA169">
        <v>0</v>
      </c>
      <c r="AB169">
        <v>0</v>
      </c>
      <c r="AC169">
        <v>0</v>
      </c>
      <c r="AD169">
        <v>0</v>
      </c>
      <c r="AE169">
        <v>0</v>
      </c>
      <c r="AF169" s="100">
        <f>AVERAGEIFS($C$2:C169, $B$2:B169, B169)</f>
        <v>17.5</v>
      </c>
      <c r="AG169" s="100">
        <f>AVERAGEIFS($I$2:I169, $B$2:B169, B169)</f>
        <v>0.42125000000000001</v>
      </c>
      <c r="AH169" s="100">
        <f>AVERAGEIFS($I$2:J169, $B$2:C169, C169)</f>
        <v>0.52666666666666673</v>
      </c>
      <c r="AI169" s="100">
        <f>AVERAGEIFS($D$2:D169, $B$2:B169, B169)</f>
        <v>0.5</v>
      </c>
    </row>
    <row r="170" spans="1:35" x14ac:dyDescent="0.25">
      <c r="A170" s="106">
        <v>46066</v>
      </c>
      <c r="B170" t="s">
        <v>50</v>
      </c>
      <c r="C170">
        <v>20</v>
      </c>
      <c r="D170">
        <v>1</v>
      </c>
      <c r="E170">
        <v>5</v>
      </c>
      <c r="F170">
        <v>3</v>
      </c>
      <c r="G170">
        <v>22</v>
      </c>
      <c r="H170">
        <v>11</v>
      </c>
      <c r="I170">
        <v>0.6</v>
      </c>
      <c r="J170">
        <v>0.5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0</v>
      </c>
      <c r="T170">
        <v>0</v>
      </c>
      <c r="U170">
        <v>0</v>
      </c>
      <c r="V170">
        <v>1</v>
      </c>
      <c r="W170">
        <v>0</v>
      </c>
      <c r="X170">
        <v>0</v>
      </c>
      <c r="Y170">
        <v>1</v>
      </c>
      <c r="Z170">
        <v>1</v>
      </c>
      <c r="AA170">
        <v>0</v>
      </c>
      <c r="AB170">
        <v>0</v>
      </c>
      <c r="AC170">
        <v>0</v>
      </c>
      <c r="AD170">
        <v>0</v>
      </c>
      <c r="AE170">
        <v>0</v>
      </c>
      <c r="AF170" s="100">
        <f>AVERAGEIFS($C$2:C170, $B$2:B170, B170)</f>
        <v>19.285714285714285</v>
      </c>
      <c r="AG170" s="100">
        <f>AVERAGEIFS($I$2:I170, $B$2:B170, B170)</f>
        <v>0.5485714285714286</v>
      </c>
      <c r="AH170" s="100">
        <f>AVERAGEIFS($I$2:J170, $B$2:C170, C170)</f>
        <v>0.46399999999999997</v>
      </c>
      <c r="AI170" s="100">
        <f>AVERAGEIFS($D$2:D170, $B$2:B170, B170)</f>
        <v>0.5714285714285714</v>
      </c>
    </row>
    <row r="171" spans="1:35" x14ac:dyDescent="0.25">
      <c r="A171" s="106">
        <v>46066</v>
      </c>
      <c r="B171" t="s">
        <v>44</v>
      </c>
      <c r="C171">
        <v>15</v>
      </c>
      <c r="D171">
        <v>1</v>
      </c>
      <c r="E171">
        <v>5</v>
      </c>
      <c r="F171">
        <v>3</v>
      </c>
      <c r="G171">
        <v>22</v>
      </c>
      <c r="H171">
        <v>11</v>
      </c>
      <c r="I171">
        <v>0.6</v>
      </c>
      <c r="J171">
        <v>0.5</v>
      </c>
      <c r="K171">
        <v>0</v>
      </c>
      <c r="L171">
        <v>0</v>
      </c>
      <c r="M171">
        <v>0</v>
      </c>
      <c r="N171">
        <v>0</v>
      </c>
      <c r="O171">
        <v>0</v>
      </c>
      <c r="P171">
        <v>0</v>
      </c>
      <c r="Q171">
        <v>0</v>
      </c>
      <c r="R171">
        <v>0</v>
      </c>
      <c r="S171">
        <v>0</v>
      </c>
      <c r="T171">
        <v>0</v>
      </c>
      <c r="U171">
        <v>0</v>
      </c>
      <c r="V171">
        <v>1</v>
      </c>
      <c r="W171">
        <v>0</v>
      </c>
      <c r="X171">
        <v>0</v>
      </c>
      <c r="Y171">
        <v>1</v>
      </c>
      <c r="Z171">
        <v>1</v>
      </c>
      <c r="AA171">
        <v>0</v>
      </c>
      <c r="AB171">
        <v>0</v>
      </c>
      <c r="AC171">
        <v>0</v>
      </c>
      <c r="AD171">
        <v>0</v>
      </c>
      <c r="AE171">
        <v>0</v>
      </c>
      <c r="AF171" s="100">
        <f>AVERAGEIFS($C$2:C171, $B$2:B171, B171)</f>
        <v>16</v>
      </c>
      <c r="AG171" s="100">
        <f>AVERAGEIFS($I$2:I171, $B$2:B171, B171)</f>
        <v>0.3</v>
      </c>
      <c r="AH171" s="100">
        <f>AVERAGEIFS($I$2:J171, $B$2:C171, C171)</f>
        <v>0.51</v>
      </c>
      <c r="AI171" s="100">
        <f>AVERAGEIFS($D$2:D171, $B$2:B171, B171)</f>
        <v>0.5</v>
      </c>
    </row>
    <row r="172" spans="1:35" x14ac:dyDescent="0.25">
      <c r="A172" s="106">
        <v>46066</v>
      </c>
      <c r="B172" t="s">
        <v>42</v>
      </c>
      <c r="C172">
        <v>13</v>
      </c>
      <c r="D172">
        <v>1</v>
      </c>
      <c r="E172">
        <v>5</v>
      </c>
      <c r="F172">
        <v>3</v>
      </c>
      <c r="G172">
        <v>22</v>
      </c>
      <c r="H172">
        <v>11</v>
      </c>
      <c r="I172">
        <v>0.6</v>
      </c>
      <c r="J172">
        <v>0.5</v>
      </c>
      <c r="K172">
        <v>0</v>
      </c>
      <c r="L172">
        <v>0</v>
      </c>
      <c r="M172">
        <v>0</v>
      </c>
      <c r="N172">
        <v>0</v>
      </c>
      <c r="O172">
        <v>0</v>
      </c>
      <c r="P172">
        <v>0</v>
      </c>
      <c r="Q172">
        <v>0</v>
      </c>
      <c r="R172">
        <v>0</v>
      </c>
      <c r="S172">
        <v>0</v>
      </c>
      <c r="T172">
        <v>0</v>
      </c>
      <c r="U172">
        <v>0</v>
      </c>
      <c r="V172">
        <v>1</v>
      </c>
      <c r="W172">
        <v>0</v>
      </c>
      <c r="X172">
        <v>0</v>
      </c>
      <c r="Y172">
        <v>1</v>
      </c>
      <c r="Z172">
        <v>1</v>
      </c>
      <c r="AA172">
        <v>0</v>
      </c>
      <c r="AB172">
        <v>0</v>
      </c>
      <c r="AC172">
        <v>0</v>
      </c>
      <c r="AD172">
        <v>0</v>
      </c>
      <c r="AE172">
        <v>0</v>
      </c>
      <c r="AF172" s="100">
        <f>AVERAGEIFS($C$2:C172, $B$2:B172, B172)</f>
        <v>12.6</v>
      </c>
      <c r="AG172" s="100">
        <f>AVERAGEIFS($I$2:I172, $B$2:B172, B172)</f>
        <v>0.44000000000000006</v>
      </c>
      <c r="AH172" s="100">
        <f>AVERAGEIFS($I$2:J172, $B$2:C172, C172)</f>
        <v>0.52499999999999991</v>
      </c>
      <c r="AI172" s="100">
        <f>AVERAGEIFS($D$2:D172, $B$2:B172, B172)</f>
        <v>0.6</v>
      </c>
    </row>
    <row r="173" spans="1:35" x14ac:dyDescent="0.25">
      <c r="A173" s="106">
        <v>46066</v>
      </c>
      <c r="B173" t="s">
        <v>17</v>
      </c>
      <c r="C173">
        <v>32</v>
      </c>
      <c r="D173">
        <v>0</v>
      </c>
      <c r="E173">
        <v>5</v>
      </c>
      <c r="F173">
        <v>2</v>
      </c>
      <c r="G173">
        <v>22</v>
      </c>
      <c r="H173">
        <v>11</v>
      </c>
      <c r="I173">
        <v>0.4</v>
      </c>
      <c r="J173">
        <v>0.5</v>
      </c>
      <c r="K173">
        <v>0</v>
      </c>
      <c r="L173">
        <v>0</v>
      </c>
      <c r="M173">
        <v>0</v>
      </c>
      <c r="N173">
        <v>1</v>
      </c>
      <c r="O173">
        <v>0</v>
      </c>
      <c r="P173">
        <v>0</v>
      </c>
      <c r="Q173">
        <v>0</v>
      </c>
      <c r="R173">
        <v>0</v>
      </c>
      <c r="S173">
        <v>0</v>
      </c>
      <c r="T173">
        <v>0</v>
      </c>
      <c r="U173">
        <v>0</v>
      </c>
      <c r="V173">
        <v>0</v>
      </c>
      <c r="W173">
        <v>0</v>
      </c>
      <c r="X173">
        <v>0</v>
      </c>
      <c r="Y173">
        <v>0</v>
      </c>
      <c r="Z173">
        <v>0</v>
      </c>
      <c r="AA173">
        <v>0</v>
      </c>
      <c r="AB173">
        <v>0</v>
      </c>
      <c r="AC173">
        <v>1</v>
      </c>
      <c r="AD173">
        <v>0</v>
      </c>
      <c r="AE173">
        <v>0</v>
      </c>
      <c r="AF173" s="100">
        <f>AVERAGEIFS($C$2:C173, $B$2:B173, B173)</f>
        <v>19.846153846153847</v>
      </c>
      <c r="AG173" s="100">
        <f>AVERAGEIFS($I$2:I173, $B$2:B173, B173)</f>
        <v>0.48230769230769233</v>
      </c>
      <c r="AH173" s="100">
        <f>AVERAGEIFS($I$2:J173, $B$2:C173, C173)</f>
        <v>0.4466666666666666</v>
      </c>
      <c r="AI173" s="100">
        <f>AVERAGEIFS($D$2:D173, $B$2:B173, B173)</f>
        <v>0.38461538461538464</v>
      </c>
    </row>
    <row r="174" spans="1:35" x14ac:dyDescent="0.25">
      <c r="A174" s="106">
        <v>46066</v>
      </c>
      <c r="B174" t="s">
        <v>46</v>
      </c>
      <c r="C174">
        <v>27</v>
      </c>
      <c r="D174">
        <v>0</v>
      </c>
      <c r="E174">
        <v>5</v>
      </c>
      <c r="F174">
        <v>2</v>
      </c>
      <c r="G174">
        <v>22</v>
      </c>
      <c r="H174">
        <v>11</v>
      </c>
      <c r="I174">
        <v>0.4</v>
      </c>
      <c r="J174">
        <v>0.5</v>
      </c>
      <c r="K174">
        <v>0</v>
      </c>
      <c r="L174">
        <v>0</v>
      </c>
      <c r="M174">
        <v>0</v>
      </c>
      <c r="N174">
        <v>1</v>
      </c>
      <c r="O174">
        <v>0</v>
      </c>
      <c r="P174">
        <v>0</v>
      </c>
      <c r="Q174">
        <v>0</v>
      </c>
      <c r="R174">
        <v>0</v>
      </c>
      <c r="S174">
        <v>0</v>
      </c>
      <c r="T174">
        <v>0</v>
      </c>
      <c r="U174">
        <v>0</v>
      </c>
      <c r="V174">
        <v>0</v>
      </c>
      <c r="W174">
        <v>0</v>
      </c>
      <c r="X174">
        <v>0</v>
      </c>
      <c r="Y174">
        <v>0</v>
      </c>
      <c r="Z174">
        <v>0</v>
      </c>
      <c r="AA174">
        <v>0</v>
      </c>
      <c r="AB174">
        <v>0</v>
      </c>
      <c r="AC174">
        <v>1</v>
      </c>
      <c r="AD174">
        <v>0</v>
      </c>
      <c r="AE174">
        <v>0</v>
      </c>
      <c r="AF174" s="100">
        <f>AVERAGEIFS($C$2:C174, $B$2:B174, B174)</f>
        <v>19.2</v>
      </c>
      <c r="AG174" s="100">
        <f>AVERAGEIFS($I$2:I174, $B$2:B174, B174)</f>
        <v>0.47000000000000003</v>
      </c>
      <c r="AH174" s="100">
        <f>AVERAGEIFS($I$2:J174, $B$2:C174, C174)</f>
        <v>0.47833333333333333</v>
      </c>
      <c r="AI174" s="100">
        <f>AVERAGEIFS($D$2:D174, $B$2:B174, B174)</f>
        <v>0.3</v>
      </c>
    </row>
    <row r="175" spans="1:35" x14ac:dyDescent="0.25">
      <c r="A175" s="106">
        <v>46066</v>
      </c>
      <c r="B175" t="s">
        <v>2</v>
      </c>
      <c r="C175">
        <v>25</v>
      </c>
      <c r="D175">
        <v>0</v>
      </c>
      <c r="E175">
        <v>5</v>
      </c>
      <c r="F175">
        <v>2</v>
      </c>
      <c r="G175">
        <v>22</v>
      </c>
      <c r="H175">
        <v>11</v>
      </c>
      <c r="I175">
        <v>0.4</v>
      </c>
      <c r="J175">
        <v>0.5</v>
      </c>
      <c r="K175">
        <v>0</v>
      </c>
      <c r="L175">
        <v>0</v>
      </c>
      <c r="M175">
        <v>0</v>
      </c>
      <c r="N175">
        <v>1</v>
      </c>
      <c r="O175">
        <v>0</v>
      </c>
      <c r="P175">
        <v>0</v>
      </c>
      <c r="Q175">
        <v>0</v>
      </c>
      <c r="R175">
        <v>0</v>
      </c>
      <c r="S175">
        <v>0</v>
      </c>
      <c r="T175">
        <v>0</v>
      </c>
      <c r="U175">
        <v>0</v>
      </c>
      <c r="V175">
        <v>0</v>
      </c>
      <c r="W175">
        <v>0</v>
      </c>
      <c r="X175">
        <v>0</v>
      </c>
      <c r="Y175">
        <v>0</v>
      </c>
      <c r="Z175">
        <v>0</v>
      </c>
      <c r="AA175">
        <v>0</v>
      </c>
      <c r="AB175">
        <v>0</v>
      </c>
      <c r="AC175">
        <v>1</v>
      </c>
      <c r="AD175">
        <v>0</v>
      </c>
      <c r="AE175">
        <v>0</v>
      </c>
      <c r="AF175" s="100">
        <f>AVERAGEIFS($C$2:C175, $B$2:B175, B175)</f>
        <v>22</v>
      </c>
      <c r="AG175" s="100">
        <f>AVERAGEIFS($I$2:I175, $B$2:B175, B175)</f>
        <v>0.49777777777777782</v>
      </c>
      <c r="AH175" s="100">
        <f>AVERAGEIFS($I$2:J175, $B$2:C175, C175)</f>
        <v>0.49299999999999999</v>
      </c>
      <c r="AI175" s="100">
        <f>AVERAGEIFS($D$2:D175, $B$2:B175, B175)</f>
        <v>0.44444444444444442</v>
      </c>
    </row>
    <row r="176" spans="1:35" x14ac:dyDescent="0.25">
      <c r="A176" s="106">
        <v>46066</v>
      </c>
      <c r="B176" t="s">
        <v>40</v>
      </c>
      <c r="C176">
        <v>18</v>
      </c>
      <c r="D176">
        <v>0</v>
      </c>
      <c r="E176">
        <v>5</v>
      </c>
      <c r="F176">
        <v>2</v>
      </c>
      <c r="G176">
        <v>22</v>
      </c>
      <c r="H176">
        <v>11</v>
      </c>
      <c r="I176">
        <v>0.4</v>
      </c>
      <c r="J176">
        <v>0.5</v>
      </c>
      <c r="K176">
        <v>0</v>
      </c>
      <c r="L176">
        <v>0</v>
      </c>
      <c r="M176">
        <v>0</v>
      </c>
      <c r="N176">
        <v>1</v>
      </c>
      <c r="O176">
        <v>0</v>
      </c>
      <c r="P176">
        <v>0</v>
      </c>
      <c r="Q176">
        <v>0</v>
      </c>
      <c r="R176">
        <v>0</v>
      </c>
      <c r="S176">
        <v>0</v>
      </c>
      <c r="T176">
        <v>0</v>
      </c>
      <c r="U176">
        <v>0</v>
      </c>
      <c r="V176">
        <v>0</v>
      </c>
      <c r="W176">
        <v>0</v>
      </c>
      <c r="X176">
        <v>0</v>
      </c>
      <c r="Y176">
        <v>0</v>
      </c>
      <c r="Z176">
        <v>0</v>
      </c>
      <c r="AA176">
        <v>0</v>
      </c>
      <c r="AB176">
        <v>0</v>
      </c>
      <c r="AC176">
        <v>1</v>
      </c>
      <c r="AD176">
        <v>0</v>
      </c>
      <c r="AE176">
        <v>0</v>
      </c>
      <c r="AF176" s="100">
        <f>AVERAGEIFS($C$2:C176, $B$2:B176, B176)</f>
        <v>12.8</v>
      </c>
      <c r="AG176" s="100">
        <f>AVERAGEIFS($I$2:I176, $B$2:B176, B176)</f>
        <v>0.3</v>
      </c>
      <c r="AH176" s="100">
        <f>AVERAGEIFS($I$2:J176, $B$2:C176, C176)</f>
        <v>0.47833333333333328</v>
      </c>
      <c r="AI176" s="100">
        <f>AVERAGEIFS($D$2:D176, $B$2:B176, B176)</f>
        <v>0.2</v>
      </c>
    </row>
    <row r="177" spans="1:35" x14ac:dyDescent="0.25">
      <c r="A177" s="106">
        <v>46066</v>
      </c>
      <c r="B177" t="s">
        <v>103</v>
      </c>
      <c r="C177">
        <v>9</v>
      </c>
      <c r="D177">
        <v>0</v>
      </c>
      <c r="E177">
        <v>5</v>
      </c>
      <c r="F177">
        <v>2</v>
      </c>
      <c r="G177">
        <v>22</v>
      </c>
      <c r="H177">
        <v>11</v>
      </c>
      <c r="I177">
        <v>0.4</v>
      </c>
      <c r="J177">
        <v>0.5</v>
      </c>
      <c r="K177">
        <v>0</v>
      </c>
      <c r="L177">
        <v>0</v>
      </c>
      <c r="M177">
        <v>0</v>
      </c>
      <c r="N177">
        <v>1</v>
      </c>
      <c r="O177">
        <v>0</v>
      </c>
      <c r="P177">
        <v>0</v>
      </c>
      <c r="Q177">
        <v>0</v>
      </c>
      <c r="R177">
        <v>0</v>
      </c>
      <c r="S177">
        <v>0</v>
      </c>
      <c r="T177">
        <v>0</v>
      </c>
      <c r="U177">
        <v>0</v>
      </c>
      <c r="V177">
        <v>0</v>
      </c>
      <c r="W177">
        <v>0</v>
      </c>
      <c r="X177">
        <v>0</v>
      </c>
      <c r="Y177">
        <v>0</v>
      </c>
      <c r="Z177">
        <v>0</v>
      </c>
      <c r="AA177">
        <v>0</v>
      </c>
      <c r="AB177">
        <v>0</v>
      </c>
      <c r="AC177">
        <v>1</v>
      </c>
      <c r="AD177">
        <v>0</v>
      </c>
      <c r="AE177">
        <v>0</v>
      </c>
      <c r="AF177" s="100">
        <f>AVERAGEIFS($C$2:C177, $B$2:B177, B177)</f>
        <v>9</v>
      </c>
      <c r="AG177" s="100">
        <f>AVERAGEIFS($I$2:I177, $B$2:B177, B177)</f>
        <v>0.4</v>
      </c>
      <c r="AH177" s="100">
        <f>AVERAGEIFS($I$2:J177, $B$2:C177, C177)</f>
        <v>0.38166666666666665</v>
      </c>
      <c r="AI177" s="100">
        <f>AVERAGEIFS($D$2:D177, $B$2:B177, B177)</f>
        <v>0</v>
      </c>
    </row>
    <row r="178" spans="1:35" x14ac:dyDescent="0.25">
      <c r="A178" s="106">
        <v>46066</v>
      </c>
      <c r="B178" t="s">
        <v>35</v>
      </c>
      <c r="C178">
        <v>6</v>
      </c>
      <c r="D178">
        <v>0</v>
      </c>
      <c r="E178">
        <v>5</v>
      </c>
      <c r="F178">
        <v>2</v>
      </c>
      <c r="G178">
        <v>22</v>
      </c>
      <c r="H178">
        <v>11</v>
      </c>
      <c r="I178">
        <v>0.4</v>
      </c>
      <c r="J178">
        <v>0.5</v>
      </c>
      <c r="K178">
        <v>0</v>
      </c>
      <c r="L178">
        <v>0</v>
      </c>
      <c r="M178">
        <v>0</v>
      </c>
      <c r="N178">
        <v>1</v>
      </c>
      <c r="O178">
        <v>0</v>
      </c>
      <c r="P178">
        <v>0</v>
      </c>
      <c r="Q178">
        <v>0</v>
      </c>
      <c r="R178">
        <v>0</v>
      </c>
      <c r="S178">
        <v>0</v>
      </c>
      <c r="T178">
        <v>0</v>
      </c>
      <c r="U178">
        <v>0</v>
      </c>
      <c r="V178">
        <v>0</v>
      </c>
      <c r="W178">
        <v>0</v>
      </c>
      <c r="X178">
        <v>0</v>
      </c>
      <c r="Y178">
        <v>0</v>
      </c>
      <c r="Z178">
        <v>0</v>
      </c>
      <c r="AA178">
        <v>0</v>
      </c>
      <c r="AB178">
        <v>0</v>
      </c>
      <c r="AC178">
        <v>1</v>
      </c>
      <c r="AD178">
        <v>0</v>
      </c>
      <c r="AE178">
        <v>0</v>
      </c>
      <c r="AF178" s="100">
        <f>AVERAGEIFS($C$2:C178, $B$2:B178, B178)</f>
        <v>10.909090909090908</v>
      </c>
      <c r="AG178" s="100">
        <f>AVERAGEIFS($I$2:I178, $B$2:B178, B178)</f>
        <v>0.43000000000000005</v>
      </c>
      <c r="AH178" s="100">
        <f>AVERAGEIFS($I$2:J178, $B$2:C178, C178)</f>
        <v>0.52399999999999991</v>
      </c>
      <c r="AI178" s="100">
        <f>AVERAGEIFS($D$2:D178, $B$2:B178, B178)</f>
        <v>0.36363636363636365</v>
      </c>
    </row>
    <row r="179" spans="1:35" x14ac:dyDescent="0.25">
      <c r="A179" s="106">
        <v>46068</v>
      </c>
      <c r="B179" t="s">
        <v>2</v>
      </c>
      <c r="C179">
        <v>34</v>
      </c>
      <c r="D179">
        <v>1</v>
      </c>
      <c r="E179">
        <v>5</v>
      </c>
      <c r="F179">
        <v>3</v>
      </c>
      <c r="G179">
        <v>19</v>
      </c>
      <c r="H179">
        <v>9</v>
      </c>
      <c r="I179">
        <v>0.6</v>
      </c>
      <c r="J179">
        <v>0.47</v>
      </c>
      <c r="K179">
        <v>0</v>
      </c>
      <c r="L179">
        <v>0</v>
      </c>
      <c r="M179">
        <v>0</v>
      </c>
      <c r="N179">
        <v>0</v>
      </c>
      <c r="O179">
        <v>0</v>
      </c>
      <c r="P179">
        <v>0</v>
      </c>
      <c r="Q179">
        <v>0</v>
      </c>
      <c r="R179">
        <v>0</v>
      </c>
      <c r="S179">
        <v>0</v>
      </c>
      <c r="T179">
        <v>1</v>
      </c>
      <c r="U179">
        <v>0</v>
      </c>
      <c r="V179">
        <v>0</v>
      </c>
      <c r="W179">
        <v>0</v>
      </c>
      <c r="X179">
        <v>0</v>
      </c>
      <c r="Y179">
        <v>0</v>
      </c>
      <c r="Z179">
        <v>0</v>
      </c>
      <c r="AA179">
        <v>1</v>
      </c>
      <c r="AB179">
        <v>1</v>
      </c>
      <c r="AC179">
        <v>0</v>
      </c>
      <c r="AD179">
        <v>0</v>
      </c>
      <c r="AE179">
        <v>0</v>
      </c>
      <c r="AF179" s="100">
        <f>AVERAGEIFS($C$2:C179, $B$2:B179, B179)</f>
        <v>23.2</v>
      </c>
      <c r="AG179" s="100">
        <f>AVERAGEIFS($I$2:I179, $B$2:B179, B179)</f>
        <v>0.50800000000000001</v>
      </c>
      <c r="AH179" s="100">
        <f>AVERAGEIFS($I$2:J179, $B$2:C179, C179)</f>
        <v>0.47</v>
      </c>
      <c r="AI179" s="100">
        <f>AVERAGEIFS($D$2:D179, $B$2:B179, B179)</f>
        <v>0.5</v>
      </c>
    </row>
    <row r="180" spans="1:35" x14ac:dyDescent="0.25">
      <c r="A180" s="106">
        <v>46068</v>
      </c>
      <c r="B180" t="s">
        <v>14</v>
      </c>
      <c r="C180">
        <v>25</v>
      </c>
      <c r="D180">
        <v>1</v>
      </c>
      <c r="E180">
        <v>5</v>
      </c>
      <c r="F180">
        <v>3</v>
      </c>
      <c r="G180">
        <v>19</v>
      </c>
      <c r="H180">
        <v>9</v>
      </c>
      <c r="I180">
        <v>0.6</v>
      </c>
      <c r="J180">
        <v>0.47</v>
      </c>
      <c r="K180">
        <v>0</v>
      </c>
      <c r="L180">
        <v>0</v>
      </c>
      <c r="M180">
        <v>0</v>
      </c>
      <c r="N180">
        <v>0</v>
      </c>
      <c r="O180">
        <v>0</v>
      </c>
      <c r="P180">
        <v>0</v>
      </c>
      <c r="Q180">
        <v>0</v>
      </c>
      <c r="R180">
        <v>0</v>
      </c>
      <c r="S180">
        <v>0</v>
      </c>
      <c r="T180">
        <v>1</v>
      </c>
      <c r="U180">
        <v>0</v>
      </c>
      <c r="V180">
        <v>0</v>
      </c>
      <c r="W180">
        <v>0</v>
      </c>
      <c r="X180">
        <v>0</v>
      </c>
      <c r="Y180">
        <v>0</v>
      </c>
      <c r="Z180">
        <v>0</v>
      </c>
      <c r="AA180">
        <v>1</v>
      </c>
      <c r="AB180">
        <v>1</v>
      </c>
      <c r="AC180">
        <v>0</v>
      </c>
      <c r="AD180">
        <v>0</v>
      </c>
      <c r="AE180">
        <v>0</v>
      </c>
      <c r="AF180" s="100">
        <f>AVERAGEIFS($C$2:C180, $B$2:B180, B180)</f>
        <v>18.333333333333332</v>
      </c>
      <c r="AG180" s="100">
        <f>AVERAGEIFS($I$2:I180, $B$2:B180, B180)</f>
        <v>0.44111111111111112</v>
      </c>
      <c r="AH180" s="100">
        <f>AVERAGEIFS($I$2:J180, $B$2:C180, C180)</f>
        <v>0.49090909090909085</v>
      </c>
      <c r="AI180" s="100">
        <f>AVERAGEIFS($D$2:D180, $B$2:B180, B180)</f>
        <v>0.55555555555555558</v>
      </c>
    </row>
    <row r="181" spans="1:35" x14ac:dyDescent="0.25">
      <c r="A181" s="106">
        <v>46068</v>
      </c>
      <c r="B181" t="s">
        <v>52</v>
      </c>
      <c r="C181">
        <v>18</v>
      </c>
      <c r="D181">
        <v>1</v>
      </c>
      <c r="E181">
        <v>5</v>
      </c>
      <c r="F181">
        <v>3</v>
      </c>
      <c r="G181">
        <v>19</v>
      </c>
      <c r="H181">
        <v>9</v>
      </c>
      <c r="I181">
        <v>0.6</v>
      </c>
      <c r="J181">
        <v>0.47</v>
      </c>
      <c r="K181">
        <v>0</v>
      </c>
      <c r="L181">
        <v>0</v>
      </c>
      <c r="M181">
        <v>0</v>
      </c>
      <c r="N181">
        <v>0</v>
      </c>
      <c r="O181">
        <v>0</v>
      </c>
      <c r="P181">
        <v>0</v>
      </c>
      <c r="Q181">
        <v>0</v>
      </c>
      <c r="R181">
        <v>0</v>
      </c>
      <c r="S181">
        <v>0</v>
      </c>
      <c r="T181">
        <v>1</v>
      </c>
      <c r="U181">
        <v>0</v>
      </c>
      <c r="V181">
        <v>0</v>
      </c>
      <c r="W181">
        <v>0</v>
      </c>
      <c r="X181">
        <v>0</v>
      </c>
      <c r="Y181">
        <v>0</v>
      </c>
      <c r="Z181">
        <v>0</v>
      </c>
      <c r="AA181">
        <v>1</v>
      </c>
      <c r="AB181">
        <v>1</v>
      </c>
      <c r="AC181">
        <v>0</v>
      </c>
      <c r="AD181">
        <v>0</v>
      </c>
      <c r="AE181">
        <v>0</v>
      </c>
      <c r="AF181" s="100">
        <f>AVERAGEIFS($C$2:C181, $B$2:B181, B181)</f>
        <v>13.6</v>
      </c>
      <c r="AG181" s="100">
        <f>AVERAGEIFS($I$2:I181, $B$2:B181, B181)</f>
        <v>0.35</v>
      </c>
      <c r="AH181" s="100">
        <f>AVERAGEIFS($I$2:J181, $B$2:C181, C181)</f>
        <v>0.47714285714285715</v>
      </c>
      <c r="AI181" s="100">
        <f>AVERAGEIFS($D$2:D181, $B$2:B181, B181)</f>
        <v>0.2</v>
      </c>
    </row>
    <row r="182" spans="1:35" x14ac:dyDescent="0.25">
      <c r="A182" s="106">
        <v>46068</v>
      </c>
      <c r="B182" t="s">
        <v>27</v>
      </c>
      <c r="C182">
        <v>15</v>
      </c>
      <c r="D182">
        <v>1</v>
      </c>
      <c r="E182">
        <v>5</v>
      </c>
      <c r="F182">
        <v>3</v>
      </c>
      <c r="G182">
        <v>19</v>
      </c>
      <c r="H182">
        <v>9</v>
      </c>
      <c r="I182">
        <v>0.6</v>
      </c>
      <c r="J182">
        <v>0.47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0</v>
      </c>
      <c r="T182">
        <v>1</v>
      </c>
      <c r="U182">
        <v>0</v>
      </c>
      <c r="V182">
        <v>0</v>
      </c>
      <c r="W182">
        <v>0</v>
      </c>
      <c r="X182">
        <v>0</v>
      </c>
      <c r="Y182">
        <v>0</v>
      </c>
      <c r="Z182">
        <v>0</v>
      </c>
      <c r="AA182">
        <v>1</v>
      </c>
      <c r="AB182">
        <v>1</v>
      </c>
      <c r="AC182">
        <v>0</v>
      </c>
      <c r="AD182">
        <v>0</v>
      </c>
      <c r="AE182">
        <v>0</v>
      </c>
      <c r="AF182" s="100">
        <f>AVERAGEIFS($C$2:C182, $B$2:B182, B182)</f>
        <v>14.666666666666666</v>
      </c>
      <c r="AG182" s="100">
        <f>AVERAGEIFS($I$2:I182, $B$2:B182, B182)</f>
        <v>0.46666666666666662</v>
      </c>
      <c r="AH182" s="100">
        <f>AVERAGEIFS($I$2:J182, $B$2:C182, C182)</f>
        <v>0.505</v>
      </c>
      <c r="AI182" s="100">
        <f>AVERAGEIFS($D$2:D182, $B$2:B182, B182)</f>
        <v>0.33333333333333331</v>
      </c>
    </row>
    <row r="183" spans="1:35" x14ac:dyDescent="0.25">
      <c r="A183" s="106">
        <v>46068</v>
      </c>
      <c r="B183" t="s">
        <v>105</v>
      </c>
      <c r="C183">
        <v>12</v>
      </c>
      <c r="D183">
        <v>1</v>
      </c>
      <c r="E183">
        <v>5</v>
      </c>
      <c r="F183">
        <v>3</v>
      </c>
      <c r="G183">
        <v>19</v>
      </c>
      <c r="H183">
        <v>9</v>
      </c>
      <c r="I183">
        <v>0.6</v>
      </c>
      <c r="J183">
        <v>0.47</v>
      </c>
      <c r="K183">
        <v>0</v>
      </c>
      <c r="L183">
        <v>0</v>
      </c>
      <c r="M183">
        <v>0</v>
      </c>
      <c r="N183">
        <v>0</v>
      </c>
      <c r="O183">
        <v>0</v>
      </c>
      <c r="P183">
        <v>0</v>
      </c>
      <c r="Q183">
        <v>0</v>
      </c>
      <c r="R183">
        <v>0</v>
      </c>
      <c r="S183">
        <v>0</v>
      </c>
      <c r="T183">
        <v>1</v>
      </c>
      <c r="U183">
        <v>0</v>
      </c>
      <c r="V183">
        <v>0</v>
      </c>
      <c r="W183">
        <v>0</v>
      </c>
      <c r="X183">
        <v>0</v>
      </c>
      <c r="Y183">
        <v>0</v>
      </c>
      <c r="Z183">
        <v>0</v>
      </c>
      <c r="AA183">
        <v>1</v>
      </c>
      <c r="AB183">
        <v>1</v>
      </c>
      <c r="AC183">
        <v>0</v>
      </c>
      <c r="AD183">
        <v>0</v>
      </c>
      <c r="AE183">
        <v>0</v>
      </c>
      <c r="AF183" s="100">
        <f>AVERAGEIFS($C$2:C183, $B$2:B183, B183)</f>
        <v>12</v>
      </c>
      <c r="AG183" s="100">
        <f>AVERAGEIFS($I$2:I183, $B$2:B183, B183)</f>
        <v>0.6</v>
      </c>
      <c r="AH183" s="100">
        <f>AVERAGEIFS($I$2:J183, $B$2:C183, C183)</f>
        <v>0.49545454545454548</v>
      </c>
      <c r="AI183" s="100">
        <f>AVERAGEIFS($D$2:D183, $B$2:B183, B183)</f>
        <v>1</v>
      </c>
    </row>
    <row r="184" spans="1:35" x14ac:dyDescent="0.25">
      <c r="A184" s="106">
        <v>46068</v>
      </c>
      <c r="B184" t="s">
        <v>19</v>
      </c>
      <c r="C184">
        <v>7</v>
      </c>
      <c r="D184">
        <v>1</v>
      </c>
      <c r="E184">
        <v>5</v>
      </c>
      <c r="F184">
        <v>3</v>
      </c>
      <c r="G184">
        <v>19</v>
      </c>
      <c r="H184">
        <v>9</v>
      </c>
      <c r="I184">
        <v>0.6</v>
      </c>
      <c r="J184">
        <v>0.47</v>
      </c>
      <c r="K184">
        <v>0</v>
      </c>
      <c r="L184">
        <v>0</v>
      </c>
      <c r="M184">
        <v>0</v>
      </c>
      <c r="N184">
        <v>0</v>
      </c>
      <c r="O184">
        <v>0</v>
      </c>
      <c r="P184">
        <v>0</v>
      </c>
      <c r="Q184">
        <v>0</v>
      </c>
      <c r="R184">
        <v>0</v>
      </c>
      <c r="S184">
        <v>0</v>
      </c>
      <c r="T184">
        <v>1</v>
      </c>
      <c r="U184">
        <v>0</v>
      </c>
      <c r="V184">
        <v>0</v>
      </c>
      <c r="W184">
        <v>0</v>
      </c>
      <c r="X184">
        <v>0</v>
      </c>
      <c r="Y184">
        <v>0</v>
      </c>
      <c r="Z184">
        <v>0</v>
      </c>
      <c r="AA184">
        <v>1</v>
      </c>
      <c r="AB184">
        <v>1</v>
      </c>
      <c r="AC184">
        <v>0</v>
      </c>
      <c r="AD184">
        <v>0</v>
      </c>
      <c r="AE184">
        <v>0</v>
      </c>
      <c r="AF184" s="100">
        <f>AVERAGEIFS($C$2:C184, $B$2:B184, B184)</f>
        <v>8.0833333333333339</v>
      </c>
      <c r="AG184" s="100">
        <f>AVERAGEIFS($I$2:I184, $B$2:B184, B184)</f>
        <v>0.60666666666666669</v>
      </c>
      <c r="AH184" s="100">
        <f>AVERAGEIFS($I$2:J184, $B$2:C184, C184)</f>
        <v>0.53000000000000014</v>
      </c>
      <c r="AI184" s="100">
        <f>AVERAGEIFS($D$2:D184, $B$2:B184, B184)</f>
        <v>0.66666666666666663</v>
      </c>
    </row>
    <row r="185" spans="1:35" x14ac:dyDescent="0.25">
      <c r="A185" s="106">
        <v>46068</v>
      </c>
      <c r="B185" t="s">
        <v>6</v>
      </c>
      <c r="C185">
        <v>25</v>
      </c>
      <c r="D185">
        <v>0</v>
      </c>
      <c r="E185">
        <v>5</v>
      </c>
      <c r="F185">
        <v>2</v>
      </c>
      <c r="G185">
        <v>19</v>
      </c>
      <c r="H185">
        <v>10</v>
      </c>
      <c r="I185">
        <v>0.4</v>
      </c>
      <c r="J185">
        <v>0.53</v>
      </c>
      <c r="K185">
        <v>0</v>
      </c>
      <c r="L185">
        <v>0</v>
      </c>
      <c r="M185">
        <v>1</v>
      </c>
      <c r="N185">
        <v>0</v>
      </c>
      <c r="O185">
        <v>0</v>
      </c>
      <c r="P185">
        <v>0</v>
      </c>
      <c r="Q185">
        <v>0</v>
      </c>
      <c r="R185">
        <v>1</v>
      </c>
      <c r="S185">
        <v>0</v>
      </c>
      <c r="T185">
        <v>0</v>
      </c>
      <c r="U185">
        <v>0</v>
      </c>
      <c r="V185">
        <v>0</v>
      </c>
      <c r="W185">
        <v>0</v>
      </c>
      <c r="X185">
        <v>0</v>
      </c>
      <c r="Y185">
        <v>0</v>
      </c>
      <c r="Z185">
        <v>0</v>
      </c>
      <c r="AA185">
        <v>0</v>
      </c>
      <c r="AB185">
        <v>0</v>
      </c>
      <c r="AC185">
        <v>0</v>
      </c>
      <c r="AD185">
        <v>0</v>
      </c>
      <c r="AE185">
        <v>0</v>
      </c>
      <c r="AF185" s="100">
        <f>AVERAGEIFS($C$2:C185, $B$2:B185, B185)</f>
        <v>21.46153846153846</v>
      </c>
      <c r="AG185" s="100">
        <f>AVERAGEIFS($I$2:I185, $B$2:B185, B185)</f>
        <v>0.66</v>
      </c>
      <c r="AH185" s="100">
        <f>AVERAGEIFS($I$2:J185, $B$2:C185, C185)</f>
        <v>0.49416666666666664</v>
      </c>
      <c r="AI185" s="100">
        <f>AVERAGEIFS($D$2:D185, $B$2:B185, B185)</f>
        <v>0.69230769230769229</v>
      </c>
    </row>
    <row r="186" spans="1:35" x14ac:dyDescent="0.25">
      <c r="A186" s="106">
        <v>46068</v>
      </c>
      <c r="B186" t="s">
        <v>17</v>
      </c>
      <c r="C186">
        <v>24</v>
      </c>
      <c r="D186">
        <v>0</v>
      </c>
      <c r="E186">
        <v>5</v>
      </c>
      <c r="F186">
        <v>2</v>
      </c>
      <c r="G186">
        <v>19</v>
      </c>
      <c r="H186">
        <v>10</v>
      </c>
      <c r="I186">
        <v>0.4</v>
      </c>
      <c r="J186">
        <v>0.53</v>
      </c>
      <c r="K186">
        <v>0</v>
      </c>
      <c r="L186">
        <v>0</v>
      </c>
      <c r="M186">
        <v>1</v>
      </c>
      <c r="N186">
        <v>0</v>
      </c>
      <c r="O186">
        <v>0</v>
      </c>
      <c r="P186">
        <v>0</v>
      </c>
      <c r="Q186">
        <v>0</v>
      </c>
      <c r="R186">
        <v>1</v>
      </c>
      <c r="S186">
        <v>0</v>
      </c>
      <c r="T186">
        <v>0</v>
      </c>
      <c r="U186">
        <v>0</v>
      </c>
      <c r="V186">
        <v>0</v>
      </c>
      <c r="W186">
        <v>0</v>
      </c>
      <c r="X186">
        <v>0</v>
      </c>
      <c r="Y186">
        <v>0</v>
      </c>
      <c r="Z186">
        <v>0</v>
      </c>
      <c r="AA186">
        <v>0</v>
      </c>
      <c r="AB186">
        <v>0</v>
      </c>
      <c r="AC186">
        <v>0</v>
      </c>
      <c r="AD186">
        <v>0</v>
      </c>
      <c r="AE186">
        <v>0</v>
      </c>
      <c r="AF186" s="100">
        <f>AVERAGEIFS($C$2:C186, $B$2:B186, B186)</f>
        <v>20.142857142857142</v>
      </c>
      <c r="AG186" s="100">
        <f>AVERAGEIFS($I$2:I186, $B$2:B186, B186)</f>
        <v>0.47642857142857148</v>
      </c>
      <c r="AH186" s="100">
        <f>AVERAGEIFS($I$2:J186, $B$2:C186, C186)</f>
        <v>0.59142857142857153</v>
      </c>
      <c r="AI186" s="100">
        <f>AVERAGEIFS($D$2:D186, $B$2:B186, B186)</f>
        <v>0.35714285714285715</v>
      </c>
    </row>
    <row r="187" spans="1:35" x14ac:dyDescent="0.25">
      <c r="A187" s="106">
        <v>46068</v>
      </c>
      <c r="B187" t="s">
        <v>40</v>
      </c>
      <c r="C187">
        <v>23</v>
      </c>
      <c r="D187">
        <v>0</v>
      </c>
      <c r="E187">
        <v>5</v>
      </c>
      <c r="F187">
        <v>2</v>
      </c>
      <c r="G187">
        <v>19</v>
      </c>
      <c r="H187">
        <v>10</v>
      </c>
      <c r="I187">
        <v>0.4</v>
      </c>
      <c r="J187">
        <v>0.53</v>
      </c>
      <c r="K187">
        <v>0</v>
      </c>
      <c r="L187">
        <v>0</v>
      </c>
      <c r="M187">
        <v>1</v>
      </c>
      <c r="N187">
        <v>0</v>
      </c>
      <c r="O187">
        <v>0</v>
      </c>
      <c r="P187">
        <v>0</v>
      </c>
      <c r="Q187">
        <v>0</v>
      </c>
      <c r="R187">
        <v>1</v>
      </c>
      <c r="S187">
        <v>0</v>
      </c>
      <c r="T187">
        <v>0</v>
      </c>
      <c r="U187">
        <v>0</v>
      </c>
      <c r="V187">
        <v>0</v>
      </c>
      <c r="W187">
        <v>0</v>
      </c>
      <c r="X187">
        <v>0</v>
      </c>
      <c r="Y187">
        <v>0</v>
      </c>
      <c r="Z187">
        <v>0</v>
      </c>
      <c r="AA187">
        <v>0</v>
      </c>
      <c r="AB187">
        <v>0</v>
      </c>
      <c r="AC187">
        <v>0</v>
      </c>
      <c r="AD187">
        <v>0</v>
      </c>
      <c r="AE187">
        <v>0</v>
      </c>
      <c r="AF187" s="100">
        <f>AVERAGEIFS($C$2:C187, $B$2:B187, B187)</f>
        <v>14.5</v>
      </c>
      <c r="AG187" s="100">
        <f>AVERAGEIFS($I$2:I187, $B$2:B187, B187)</f>
        <v>0.31666666666666665</v>
      </c>
      <c r="AH187" s="100">
        <f>AVERAGEIFS($I$2:J187, $B$2:C187, C187)</f>
        <v>0.60375000000000001</v>
      </c>
      <c r="AI187" s="100">
        <f>AVERAGEIFS($D$2:D187, $B$2:B187, B187)</f>
        <v>0.16666666666666666</v>
      </c>
    </row>
    <row r="188" spans="1:35" x14ac:dyDescent="0.25">
      <c r="A188" s="106">
        <v>46068</v>
      </c>
      <c r="B188" t="s">
        <v>44</v>
      </c>
      <c r="C188">
        <v>14</v>
      </c>
      <c r="D188">
        <v>0</v>
      </c>
      <c r="E188">
        <v>5</v>
      </c>
      <c r="F188">
        <v>2</v>
      </c>
      <c r="G188">
        <v>19</v>
      </c>
      <c r="H188">
        <v>10</v>
      </c>
      <c r="I188">
        <v>0.4</v>
      </c>
      <c r="J188">
        <v>0.53</v>
      </c>
      <c r="K188">
        <v>0</v>
      </c>
      <c r="L188">
        <v>0</v>
      </c>
      <c r="M188">
        <v>1</v>
      </c>
      <c r="N188">
        <v>0</v>
      </c>
      <c r="O188">
        <v>0</v>
      </c>
      <c r="P188">
        <v>0</v>
      </c>
      <c r="Q188">
        <v>0</v>
      </c>
      <c r="R188">
        <v>1</v>
      </c>
      <c r="S188">
        <v>0</v>
      </c>
      <c r="T188">
        <v>0</v>
      </c>
      <c r="U188">
        <v>0</v>
      </c>
      <c r="V188">
        <v>0</v>
      </c>
      <c r="W188">
        <v>0</v>
      </c>
      <c r="X188">
        <v>0</v>
      </c>
      <c r="Y188">
        <v>0</v>
      </c>
      <c r="Z188">
        <v>0</v>
      </c>
      <c r="AA188">
        <v>0</v>
      </c>
      <c r="AB188">
        <v>0</v>
      </c>
      <c r="AC188">
        <v>0</v>
      </c>
      <c r="AD188">
        <v>0</v>
      </c>
      <c r="AE188">
        <v>0</v>
      </c>
      <c r="AF188" s="100">
        <f>AVERAGEIFS($C$2:C188, $B$2:B188, B188)</f>
        <v>15.333333333333334</v>
      </c>
      <c r="AG188" s="100">
        <f>AVERAGEIFS($I$2:I188, $B$2:B188, B188)</f>
        <v>0.33333333333333331</v>
      </c>
      <c r="AH188" s="100">
        <f>AVERAGEIFS($I$2:J188, $B$2:C188, C188)</f>
        <v>0.51714285714285713</v>
      </c>
      <c r="AI188" s="100">
        <f>AVERAGEIFS($D$2:D188, $B$2:B188, B188)</f>
        <v>0.33333333333333331</v>
      </c>
    </row>
    <row r="189" spans="1:35" x14ac:dyDescent="0.25">
      <c r="A189" s="106">
        <v>46068</v>
      </c>
      <c r="B189" t="s">
        <v>37</v>
      </c>
      <c r="C189">
        <v>16</v>
      </c>
      <c r="D189">
        <v>0</v>
      </c>
      <c r="E189">
        <v>5</v>
      </c>
      <c r="F189">
        <v>2</v>
      </c>
      <c r="G189">
        <v>19</v>
      </c>
      <c r="H189">
        <v>10</v>
      </c>
      <c r="I189">
        <v>0.4</v>
      </c>
      <c r="J189">
        <v>0.53</v>
      </c>
      <c r="K189">
        <v>0</v>
      </c>
      <c r="L189">
        <v>0</v>
      </c>
      <c r="M189">
        <v>1</v>
      </c>
      <c r="N189">
        <v>0</v>
      </c>
      <c r="O189">
        <v>0</v>
      </c>
      <c r="P189">
        <v>0</v>
      </c>
      <c r="Q189">
        <v>0</v>
      </c>
      <c r="R189">
        <v>1</v>
      </c>
      <c r="S189">
        <v>0</v>
      </c>
      <c r="T189">
        <v>0</v>
      </c>
      <c r="U189">
        <v>0</v>
      </c>
      <c r="V189">
        <v>0</v>
      </c>
      <c r="W189">
        <v>0</v>
      </c>
      <c r="X189">
        <v>0</v>
      </c>
      <c r="Y189">
        <v>0</v>
      </c>
      <c r="Z189">
        <v>0</v>
      </c>
      <c r="AA189">
        <v>0</v>
      </c>
      <c r="AB189">
        <v>0</v>
      </c>
      <c r="AC189">
        <v>0</v>
      </c>
      <c r="AD189">
        <v>0</v>
      </c>
      <c r="AE189">
        <v>0</v>
      </c>
      <c r="AF189" s="100">
        <f>AVERAGEIFS($C$2:C189, $B$2:B189, B189)</f>
        <v>14</v>
      </c>
      <c r="AG189" s="100">
        <f>AVERAGEIFS($I$2:I189, $B$2:B189, B189)</f>
        <v>0.63749999999999996</v>
      </c>
      <c r="AH189" s="100">
        <f>AVERAGEIFS($I$2:J189, $B$2:C189, C189)</f>
        <v>0.51400000000000001</v>
      </c>
      <c r="AI189" s="100">
        <f>AVERAGEIFS($D$2:D189, $B$2:B189, B189)</f>
        <v>0.5</v>
      </c>
    </row>
    <row r="190" spans="1:35" x14ac:dyDescent="0.25">
      <c r="A190" s="106">
        <v>46068</v>
      </c>
      <c r="B190" t="s">
        <v>35</v>
      </c>
      <c r="C190">
        <v>7</v>
      </c>
      <c r="D190">
        <v>0</v>
      </c>
      <c r="E190">
        <v>5</v>
      </c>
      <c r="F190">
        <v>2</v>
      </c>
      <c r="G190">
        <v>19</v>
      </c>
      <c r="H190">
        <v>10</v>
      </c>
      <c r="I190">
        <v>0.4</v>
      </c>
      <c r="J190">
        <v>0.53</v>
      </c>
      <c r="K190">
        <v>0</v>
      </c>
      <c r="L190">
        <v>0</v>
      </c>
      <c r="M190">
        <v>1</v>
      </c>
      <c r="N190">
        <v>0</v>
      </c>
      <c r="O190">
        <v>0</v>
      </c>
      <c r="P190">
        <v>0</v>
      </c>
      <c r="Q190">
        <v>0</v>
      </c>
      <c r="R190">
        <v>1</v>
      </c>
      <c r="S190">
        <v>0</v>
      </c>
      <c r="T190">
        <v>0</v>
      </c>
      <c r="U190">
        <v>0</v>
      </c>
      <c r="V190">
        <v>0</v>
      </c>
      <c r="W190">
        <v>0</v>
      </c>
      <c r="X190">
        <v>0</v>
      </c>
      <c r="Y190">
        <v>0</v>
      </c>
      <c r="Z190">
        <v>0</v>
      </c>
      <c r="AA190">
        <v>0</v>
      </c>
      <c r="AB190">
        <v>0</v>
      </c>
      <c r="AC190">
        <v>0</v>
      </c>
      <c r="AD190">
        <v>0</v>
      </c>
      <c r="AE190">
        <v>0</v>
      </c>
      <c r="AF190" s="100">
        <f>AVERAGEIFS($C$2:C190, $B$2:B190, B190)</f>
        <v>10.583333333333334</v>
      </c>
      <c r="AG190" s="100">
        <f>AVERAGEIFS($I$2:I190, $B$2:B190, B190)</f>
        <v>0.42750000000000005</v>
      </c>
      <c r="AH190" s="100">
        <f>AVERAGEIFS($I$2:J190, $B$2:C190, C190)</f>
        <v>0.53000000000000014</v>
      </c>
      <c r="AI190" s="100">
        <f>AVERAGEIFS($D$2:D190, $B$2:B190, B190)</f>
        <v>0.33333333333333331</v>
      </c>
    </row>
    <row r="191" spans="1:35" x14ac:dyDescent="0.25">
      <c r="A191" s="106">
        <v>46073</v>
      </c>
      <c r="B191" t="s">
        <v>50</v>
      </c>
      <c r="C191">
        <v>31</v>
      </c>
      <c r="D191">
        <v>1</v>
      </c>
      <c r="E191">
        <v>5</v>
      </c>
      <c r="F191">
        <v>3</v>
      </c>
      <c r="G191">
        <v>23</v>
      </c>
      <c r="H191">
        <v>13</v>
      </c>
      <c r="I191">
        <v>0.6</v>
      </c>
      <c r="J191">
        <v>0.56999999999999995</v>
      </c>
      <c r="K191">
        <v>0</v>
      </c>
      <c r="L191">
        <v>0</v>
      </c>
      <c r="M191">
        <v>0</v>
      </c>
      <c r="N191">
        <v>1</v>
      </c>
      <c r="O191">
        <v>0</v>
      </c>
      <c r="P191">
        <v>0</v>
      </c>
      <c r="Q191">
        <v>0</v>
      </c>
      <c r="R191">
        <v>0</v>
      </c>
      <c r="S191">
        <v>0</v>
      </c>
      <c r="T191">
        <v>0</v>
      </c>
      <c r="U191">
        <v>1</v>
      </c>
      <c r="V191">
        <v>0</v>
      </c>
      <c r="W191">
        <v>0</v>
      </c>
      <c r="X191">
        <v>0</v>
      </c>
      <c r="Y191">
        <v>0</v>
      </c>
      <c r="Z191">
        <v>0</v>
      </c>
      <c r="AA191">
        <v>0</v>
      </c>
      <c r="AB191">
        <v>0</v>
      </c>
      <c r="AC191">
        <v>1</v>
      </c>
      <c r="AD191">
        <v>0</v>
      </c>
      <c r="AE191">
        <v>0</v>
      </c>
      <c r="AF191" s="100">
        <f>AVERAGEIFS($C$2:C191, $B$2:B191, B191)</f>
        <v>20.066666666666666</v>
      </c>
      <c r="AG191" s="100">
        <f>AVERAGEIFS($I$2:I191, $B$2:B191, B191)</f>
        <v>0.55200000000000005</v>
      </c>
      <c r="AH191" s="100">
        <f>AVERAGEIFS($I$2:J191, $B$2:C191, C191)</f>
        <v>0.55000000000000004</v>
      </c>
      <c r="AI191" s="100">
        <f>AVERAGEIFS($D$2:D191, $B$2:B191, B191)</f>
        <v>0.6</v>
      </c>
    </row>
    <row r="192" spans="1:35" x14ac:dyDescent="0.25">
      <c r="A192" s="106">
        <v>46073</v>
      </c>
      <c r="B192" t="s">
        <v>6</v>
      </c>
      <c r="C192">
        <v>31</v>
      </c>
      <c r="D192">
        <v>1</v>
      </c>
      <c r="E192">
        <v>5</v>
      </c>
      <c r="F192">
        <v>3</v>
      </c>
      <c r="G192">
        <v>23</v>
      </c>
      <c r="H192">
        <v>13</v>
      </c>
      <c r="I192">
        <v>0.6</v>
      </c>
      <c r="J192">
        <v>0.56999999999999995</v>
      </c>
      <c r="K192">
        <v>0</v>
      </c>
      <c r="L192">
        <v>0</v>
      </c>
      <c r="M192">
        <v>0</v>
      </c>
      <c r="N192">
        <v>1</v>
      </c>
      <c r="O192">
        <v>0</v>
      </c>
      <c r="P192">
        <v>0</v>
      </c>
      <c r="Q192">
        <v>0</v>
      </c>
      <c r="R192">
        <v>0</v>
      </c>
      <c r="S192">
        <v>0</v>
      </c>
      <c r="T192">
        <v>0</v>
      </c>
      <c r="U192">
        <v>1</v>
      </c>
      <c r="V192">
        <v>0</v>
      </c>
      <c r="W192">
        <v>0</v>
      </c>
      <c r="X192">
        <v>0</v>
      </c>
      <c r="Y192">
        <v>0</v>
      </c>
      <c r="Z192">
        <v>0</v>
      </c>
      <c r="AA192">
        <v>0</v>
      </c>
      <c r="AB192">
        <v>0</v>
      </c>
      <c r="AC192">
        <v>1</v>
      </c>
      <c r="AD192">
        <v>0</v>
      </c>
      <c r="AE192">
        <v>0</v>
      </c>
      <c r="AF192" s="100">
        <f>AVERAGEIFS($C$2:C192, $B$2:B192, B192)</f>
        <v>22.142857142857142</v>
      </c>
      <c r="AG192" s="100">
        <f>AVERAGEIFS($I$2:I192, $B$2:B192, B192)</f>
        <v>0.65571428571428569</v>
      </c>
      <c r="AH192" s="100">
        <f>AVERAGEIFS($I$2:J192, $B$2:C192, C192)</f>
        <v>0.55666666666666664</v>
      </c>
      <c r="AI192" s="100">
        <f>AVERAGEIFS($D$2:D192, $B$2:B192, B192)</f>
        <v>0.7142857142857143</v>
      </c>
    </row>
    <row r="193" spans="1:35" x14ac:dyDescent="0.25">
      <c r="A193" s="106">
        <v>46073</v>
      </c>
      <c r="B193" t="s">
        <v>40</v>
      </c>
      <c r="C193">
        <v>23</v>
      </c>
      <c r="D193">
        <v>1</v>
      </c>
      <c r="E193">
        <v>5</v>
      </c>
      <c r="F193">
        <v>3</v>
      </c>
      <c r="G193">
        <v>23</v>
      </c>
      <c r="H193">
        <v>13</v>
      </c>
      <c r="I193">
        <v>0.6</v>
      </c>
      <c r="J193">
        <v>0.56999999999999995</v>
      </c>
      <c r="K193">
        <v>0</v>
      </c>
      <c r="L193">
        <v>0</v>
      </c>
      <c r="M193">
        <v>0</v>
      </c>
      <c r="N193">
        <v>1</v>
      </c>
      <c r="O193">
        <v>0</v>
      </c>
      <c r="P193">
        <v>0</v>
      </c>
      <c r="Q193">
        <v>0</v>
      </c>
      <c r="R193">
        <v>0</v>
      </c>
      <c r="S193">
        <v>0</v>
      </c>
      <c r="T193">
        <v>0</v>
      </c>
      <c r="U193">
        <v>1</v>
      </c>
      <c r="V193">
        <v>0</v>
      </c>
      <c r="W193">
        <v>0</v>
      </c>
      <c r="X193">
        <v>0</v>
      </c>
      <c r="Y193">
        <v>0</v>
      </c>
      <c r="Z193">
        <v>0</v>
      </c>
      <c r="AA193">
        <v>0</v>
      </c>
      <c r="AB193">
        <v>0</v>
      </c>
      <c r="AC193">
        <v>1</v>
      </c>
      <c r="AD193">
        <v>0</v>
      </c>
      <c r="AE193">
        <v>0</v>
      </c>
      <c r="AF193" s="100">
        <f>AVERAGEIFS($C$2:C193, $B$2:B193, B193)</f>
        <v>15.714285714285714</v>
      </c>
      <c r="AG193" s="100">
        <f>AVERAGEIFS($I$2:I193, $B$2:B193, B193)</f>
        <v>0.35714285714285715</v>
      </c>
      <c r="AH193" s="100">
        <f>AVERAGEIFS($I$2:J193, $B$2:C193, C193)</f>
        <v>0.60000000000000009</v>
      </c>
      <c r="AI193" s="100">
        <f>AVERAGEIFS($D$2:D193, $B$2:B193, B193)</f>
        <v>0.2857142857142857</v>
      </c>
    </row>
    <row r="194" spans="1:35" x14ac:dyDescent="0.25">
      <c r="A194" s="106">
        <v>46073</v>
      </c>
      <c r="B194" t="s">
        <v>1</v>
      </c>
      <c r="C194">
        <v>34</v>
      </c>
      <c r="D194">
        <v>1</v>
      </c>
      <c r="E194">
        <v>5</v>
      </c>
      <c r="F194">
        <v>3</v>
      </c>
      <c r="G194">
        <v>23</v>
      </c>
      <c r="H194">
        <v>13</v>
      </c>
      <c r="I194">
        <v>0.6</v>
      </c>
      <c r="J194">
        <v>0.56999999999999995</v>
      </c>
      <c r="K194">
        <v>0</v>
      </c>
      <c r="L194">
        <v>0</v>
      </c>
      <c r="M194">
        <v>0</v>
      </c>
      <c r="N194">
        <v>1</v>
      </c>
      <c r="O194">
        <v>0</v>
      </c>
      <c r="P194">
        <v>0</v>
      </c>
      <c r="Q194">
        <v>0</v>
      </c>
      <c r="R194">
        <v>0</v>
      </c>
      <c r="S194">
        <v>0</v>
      </c>
      <c r="T194">
        <v>0</v>
      </c>
      <c r="U194">
        <v>1</v>
      </c>
      <c r="V194">
        <v>0</v>
      </c>
      <c r="W194">
        <v>0</v>
      </c>
      <c r="X194">
        <v>0</v>
      </c>
      <c r="Y194">
        <v>0</v>
      </c>
      <c r="Z194">
        <v>0</v>
      </c>
      <c r="AA194">
        <v>0</v>
      </c>
      <c r="AB194">
        <v>0</v>
      </c>
      <c r="AC194">
        <v>1</v>
      </c>
      <c r="AD194">
        <v>0</v>
      </c>
      <c r="AE194">
        <v>0</v>
      </c>
      <c r="AF194" s="100">
        <f>AVERAGEIFS($C$2:C194, $B$2:B194, B194)</f>
        <v>26.166666666666668</v>
      </c>
      <c r="AG194" s="100">
        <f>AVERAGEIFS($I$2:I194, $B$2:B194, B194)</f>
        <v>0.42500000000000004</v>
      </c>
      <c r="AH194" s="100">
        <f>AVERAGEIFS($I$2:J194, $B$2:C194, C194)</f>
        <v>0.52</v>
      </c>
      <c r="AI194" s="100">
        <f>AVERAGEIFS($D$2:D194, $B$2:B194, B194)</f>
        <v>0.66666666666666663</v>
      </c>
    </row>
    <row r="195" spans="1:35" x14ac:dyDescent="0.25">
      <c r="A195" s="106">
        <v>46073</v>
      </c>
      <c r="B195" t="s">
        <v>35</v>
      </c>
      <c r="C195">
        <v>20</v>
      </c>
      <c r="D195">
        <v>1</v>
      </c>
      <c r="E195">
        <v>5</v>
      </c>
      <c r="F195">
        <v>3</v>
      </c>
      <c r="G195">
        <v>23</v>
      </c>
      <c r="H195">
        <v>13</v>
      </c>
      <c r="I195">
        <v>0.6</v>
      </c>
      <c r="J195">
        <v>0.56999999999999995</v>
      </c>
      <c r="K195">
        <v>0</v>
      </c>
      <c r="L195">
        <v>0</v>
      </c>
      <c r="M195">
        <v>0</v>
      </c>
      <c r="N195">
        <v>1</v>
      </c>
      <c r="O195">
        <v>0</v>
      </c>
      <c r="P195">
        <v>0</v>
      </c>
      <c r="Q195">
        <v>0</v>
      </c>
      <c r="R195">
        <v>0</v>
      </c>
      <c r="S195">
        <v>0</v>
      </c>
      <c r="T195">
        <v>0</v>
      </c>
      <c r="U195">
        <v>1</v>
      </c>
      <c r="V195">
        <v>0</v>
      </c>
      <c r="W195">
        <v>0</v>
      </c>
      <c r="X195">
        <v>0</v>
      </c>
      <c r="Y195">
        <v>0</v>
      </c>
      <c r="Z195">
        <v>0</v>
      </c>
      <c r="AA195">
        <v>0</v>
      </c>
      <c r="AB195">
        <v>0</v>
      </c>
      <c r="AC195">
        <v>1</v>
      </c>
      <c r="AD195">
        <v>0</v>
      </c>
      <c r="AE195">
        <v>0</v>
      </c>
      <c r="AF195" s="100">
        <f>AVERAGEIFS($C$2:C195, $B$2:B195, B195)</f>
        <v>11.307692307692308</v>
      </c>
      <c r="AG195" s="100">
        <f>AVERAGEIFS($I$2:I195, $B$2:B195, B195)</f>
        <v>0.4407692307692308</v>
      </c>
      <c r="AH195" s="100">
        <f>AVERAGEIFS($I$2:J195, $B$2:C195, C195)</f>
        <v>0.48166666666666663</v>
      </c>
      <c r="AI195" s="100">
        <f>AVERAGEIFS($D$2:D195, $B$2:B195, B195)</f>
        <v>0.38461538461538464</v>
      </c>
    </row>
    <row r="196" spans="1:35" x14ac:dyDescent="0.25">
      <c r="A196" s="106">
        <v>46073</v>
      </c>
      <c r="B196" t="s">
        <v>42</v>
      </c>
      <c r="C196">
        <v>31</v>
      </c>
      <c r="D196">
        <v>1</v>
      </c>
      <c r="E196">
        <v>5</v>
      </c>
      <c r="F196">
        <v>3</v>
      </c>
      <c r="G196">
        <v>23</v>
      </c>
      <c r="H196">
        <v>13</v>
      </c>
      <c r="I196">
        <v>0.6</v>
      </c>
      <c r="J196">
        <v>0.56999999999999995</v>
      </c>
      <c r="K196">
        <v>0</v>
      </c>
      <c r="L196">
        <v>0</v>
      </c>
      <c r="M196">
        <v>0</v>
      </c>
      <c r="N196">
        <v>1</v>
      </c>
      <c r="O196">
        <v>0</v>
      </c>
      <c r="P196">
        <v>0</v>
      </c>
      <c r="Q196">
        <v>0</v>
      </c>
      <c r="R196">
        <v>0</v>
      </c>
      <c r="S196">
        <v>0</v>
      </c>
      <c r="T196">
        <v>0</v>
      </c>
      <c r="U196">
        <v>1</v>
      </c>
      <c r="V196">
        <v>0</v>
      </c>
      <c r="W196">
        <v>0</v>
      </c>
      <c r="X196">
        <v>0</v>
      </c>
      <c r="Y196">
        <v>0</v>
      </c>
      <c r="Z196">
        <v>0</v>
      </c>
      <c r="AA196">
        <v>0</v>
      </c>
      <c r="AB196">
        <v>0</v>
      </c>
      <c r="AC196">
        <v>1</v>
      </c>
      <c r="AD196">
        <v>0</v>
      </c>
      <c r="AE196">
        <v>0</v>
      </c>
      <c r="AF196" s="100">
        <f>AVERAGEIFS($C$2:C196, $B$2:B196, B196)</f>
        <v>15.666666666666666</v>
      </c>
      <c r="AG196" s="100">
        <f>AVERAGEIFS($I$2:I196, $B$2:B196, B196)</f>
        <v>0.46666666666666673</v>
      </c>
      <c r="AH196" s="100">
        <f>AVERAGEIFS($I$2:J196, $B$2:C196, C196)</f>
        <v>0.55999999999999994</v>
      </c>
      <c r="AI196" s="100">
        <f>AVERAGEIFS($D$2:D196, $B$2:B196, B196)</f>
        <v>0.66666666666666663</v>
      </c>
    </row>
    <row r="197" spans="1:35" x14ac:dyDescent="0.25">
      <c r="A197" s="106">
        <v>46073</v>
      </c>
      <c r="B197" t="s">
        <v>107</v>
      </c>
      <c r="C197">
        <v>9</v>
      </c>
      <c r="D197">
        <v>1</v>
      </c>
      <c r="E197">
        <v>5</v>
      </c>
      <c r="F197">
        <v>3</v>
      </c>
      <c r="G197">
        <v>23</v>
      </c>
      <c r="H197">
        <v>13</v>
      </c>
      <c r="I197">
        <v>0.6</v>
      </c>
      <c r="J197">
        <v>0.56999999999999995</v>
      </c>
      <c r="K197">
        <v>0</v>
      </c>
      <c r="L197">
        <v>0</v>
      </c>
      <c r="M197">
        <v>0</v>
      </c>
      <c r="N197">
        <v>1</v>
      </c>
      <c r="O197">
        <v>0</v>
      </c>
      <c r="P197">
        <v>0</v>
      </c>
      <c r="Q197">
        <v>0</v>
      </c>
      <c r="R197">
        <v>0</v>
      </c>
      <c r="S197">
        <v>0</v>
      </c>
      <c r="T197">
        <v>0</v>
      </c>
      <c r="U197">
        <v>1</v>
      </c>
      <c r="V197">
        <v>0</v>
      </c>
      <c r="W197">
        <v>0</v>
      </c>
      <c r="X197">
        <v>0</v>
      </c>
      <c r="Y197">
        <v>0</v>
      </c>
      <c r="Z197">
        <v>0</v>
      </c>
      <c r="AA197">
        <v>0</v>
      </c>
      <c r="AB197">
        <v>0</v>
      </c>
      <c r="AC197">
        <v>1</v>
      </c>
      <c r="AD197">
        <v>0</v>
      </c>
      <c r="AE197">
        <v>0</v>
      </c>
      <c r="AF197" s="100">
        <f>AVERAGEIFS($C$2:C197, $B$2:B197, B197)</f>
        <v>9</v>
      </c>
      <c r="AG197" s="100">
        <f>AVERAGEIFS($I$2:I197, $B$2:B197, B197)</f>
        <v>0.6</v>
      </c>
      <c r="AH197" s="100">
        <f>AVERAGEIFS($I$2:J197, $B$2:C197, C197)</f>
        <v>0.40857142857142853</v>
      </c>
      <c r="AI197" s="100">
        <f>AVERAGEIFS($D$2:D197, $B$2:B197, B197)</f>
        <v>1</v>
      </c>
    </row>
    <row r="198" spans="1:35" x14ac:dyDescent="0.25">
      <c r="A198" s="106">
        <v>46073</v>
      </c>
      <c r="B198" t="s">
        <v>108</v>
      </c>
      <c r="C198">
        <v>3</v>
      </c>
      <c r="D198">
        <v>0</v>
      </c>
      <c r="E198">
        <v>5</v>
      </c>
      <c r="F198">
        <v>2</v>
      </c>
      <c r="G198">
        <v>23</v>
      </c>
      <c r="H198">
        <v>10</v>
      </c>
      <c r="I198">
        <v>0.4</v>
      </c>
      <c r="J198">
        <v>0.43</v>
      </c>
      <c r="K198">
        <v>0</v>
      </c>
      <c r="L198">
        <v>0</v>
      </c>
      <c r="M198">
        <v>1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0</v>
      </c>
      <c r="T198">
        <v>0</v>
      </c>
      <c r="U198">
        <v>0</v>
      </c>
      <c r="V198">
        <v>0</v>
      </c>
      <c r="W198">
        <v>0</v>
      </c>
      <c r="X198">
        <v>1</v>
      </c>
      <c r="Y198">
        <v>0</v>
      </c>
      <c r="Z198">
        <v>0</v>
      </c>
      <c r="AA198">
        <v>0</v>
      </c>
      <c r="AB198">
        <v>0</v>
      </c>
      <c r="AC198">
        <v>0</v>
      </c>
      <c r="AD198">
        <v>0</v>
      </c>
      <c r="AE198">
        <v>0</v>
      </c>
      <c r="AF198" s="100">
        <f>AVERAGEIFS($C$2:C198, $B$2:B198, B198)</f>
        <v>3</v>
      </c>
      <c r="AG198" s="100">
        <f>AVERAGEIFS($I$2:I198, $B$2:B198, B198)</f>
        <v>0.4</v>
      </c>
      <c r="AH198" s="100">
        <f>AVERAGEIFS($I$2:J198, $B$2:C198, C198)</f>
        <v>0.51857142857142857</v>
      </c>
      <c r="AI198" s="100">
        <f>AVERAGEIFS($D$2:D198, $B$2:B198, B198)</f>
        <v>0</v>
      </c>
    </row>
    <row r="199" spans="1:35" x14ac:dyDescent="0.25">
      <c r="A199" s="106">
        <v>46073</v>
      </c>
      <c r="B199" t="s">
        <v>54</v>
      </c>
      <c r="C199">
        <v>30</v>
      </c>
      <c r="D199">
        <v>0</v>
      </c>
      <c r="E199">
        <v>5</v>
      </c>
      <c r="F199">
        <v>2</v>
      </c>
      <c r="G199">
        <v>23</v>
      </c>
      <c r="H199">
        <v>10</v>
      </c>
      <c r="I199">
        <v>0.4</v>
      </c>
      <c r="J199">
        <v>0.43</v>
      </c>
      <c r="K199">
        <v>0</v>
      </c>
      <c r="L199">
        <v>0</v>
      </c>
      <c r="M199">
        <v>1</v>
      </c>
      <c r="N199">
        <v>0</v>
      </c>
      <c r="O199">
        <v>0</v>
      </c>
      <c r="P199">
        <v>0</v>
      </c>
      <c r="Q199">
        <v>0</v>
      </c>
      <c r="R199">
        <v>0</v>
      </c>
      <c r="S199">
        <v>0</v>
      </c>
      <c r="T199">
        <v>0</v>
      </c>
      <c r="U199">
        <v>0</v>
      </c>
      <c r="V199">
        <v>0</v>
      </c>
      <c r="W199">
        <v>0</v>
      </c>
      <c r="X199">
        <v>1</v>
      </c>
      <c r="Y199">
        <v>0</v>
      </c>
      <c r="Z199">
        <v>0</v>
      </c>
      <c r="AA199">
        <v>0</v>
      </c>
      <c r="AB199">
        <v>0</v>
      </c>
      <c r="AC199">
        <v>0</v>
      </c>
      <c r="AD199">
        <v>0</v>
      </c>
      <c r="AE199">
        <v>0</v>
      </c>
      <c r="AF199" s="100">
        <f>AVERAGEIFS($C$2:C199, $B$2:B199, B199)</f>
        <v>24.785714285714285</v>
      </c>
      <c r="AG199" s="100">
        <f>AVERAGEIFS($I$2:I199, $B$2:B199, B199)</f>
        <v>0.505</v>
      </c>
      <c r="AH199" s="100">
        <f>AVERAGEIFS($I$2:J199, $B$2:C199, C199)</f>
        <v>0.45499999999999996</v>
      </c>
      <c r="AI199" s="100">
        <f>AVERAGEIFS($D$2:D199, $B$2:B199, B199)</f>
        <v>0.5</v>
      </c>
    </row>
    <row r="200" spans="1:35" x14ac:dyDescent="0.25">
      <c r="A200" s="106">
        <v>46073</v>
      </c>
      <c r="B200" t="s">
        <v>2</v>
      </c>
      <c r="C200">
        <v>35</v>
      </c>
      <c r="D200">
        <v>0</v>
      </c>
      <c r="E200">
        <v>5</v>
      </c>
      <c r="F200">
        <v>2</v>
      </c>
      <c r="G200">
        <v>23</v>
      </c>
      <c r="H200">
        <v>10</v>
      </c>
      <c r="I200">
        <v>0.4</v>
      </c>
      <c r="J200">
        <v>0.43</v>
      </c>
      <c r="K200">
        <v>0</v>
      </c>
      <c r="L200">
        <v>0</v>
      </c>
      <c r="M200">
        <v>1</v>
      </c>
      <c r="N200">
        <v>0</v>
      </c>
      <c r="O200">
        <v>0</v>
      </c>
      <c r="P200">
        <v>0</v>
      </c>
      <c r="Q200">
        <v>0</v>
      </c>
      <c r="R200">
        <v>0</v>
      </c>
      <c r="S200">
        <v>0</v>
      </c>
      <c r="T200">
        <v>0</v>
      </c>
      <c r="U200">
        <v>0</v>
      </c>
      <c r="V200">
        <v>0</v>
      </c>
      <c r="W200">
        <v>0</v>
      </c>
      <c r="X200">
        <v>1</v>
      </c>
      <c r="Y200">
        <v>0</v>
      </c>
      <c r="Z200">
        <v>0</v>
      </c>
      <c r="AA200">
        <v>0</v>
      </c>
      <c r="AB200">
        <v>0</v>
      </c>
      <c r="AC200">
        <v>0</v>
      </c>
      <c r="AD200">
        <v>0</v>
      </c>
      <c r="AE200">
        <v>0</v>
      </c>
      <c r="AF200" s="100">
        <f>AVERAGEIFS($C$2:C200, $B$2:B200, B200)</f>
        <v>24.272727272727273</v>
      </c>
      <c r="AG200" s="100">
        <f>AVERAGEIFS($I$2:I200, $B$2:B200, B200)</f>
        <v>0.49818181818181823</v>
      </c>
      <c r="AH200" s="100">
        <f>AVERAGEIFS($I$2:J200, $B$2:C200, C200)</f>
        <v>0.53500000000000003</v>
      </c>
      <c r="AI200" s="100">
        <f>AVERAGEIFS($D$2:D200, $B$2:B200, B200)</f>
        <v>0.45454545454545453</v>
      </c>
    </row>
    <row r="201" spans="1:35" x14ac:dyDescent="0.25">
      <c r="A201" s="106">
        <v>46073</v>
      </c>
      <c r="B201" t="s">
        <v>4</v>
      </c>
      <c r="C201">
        <v>32</v>
      </c>
      <c r="D201">
        <v>0</v>
      </c>
      <c r="E201">
        <v>5</v>
      </c>
      <c r="F201">
        <v>2</v>
      </c>
      <c r="G201">
        <v>23</v>
      </c>
      <c r="H201">
        <v>10</v>
      </c>
      <c r="I201">
        <v>0.4</v>
      </c>
      <c r="J201">
        <v>0.43</v>
      </c>
      <c r="K201">
        <v>0</v>
      </c>
      <c r="L201">
        <v>0</v>
      </c>
      <c r="M201">
        <v>1</v>
      </c>
      <c r="N201">
        <v>0</v>
      </c>
      <c r="O201">
        <v>0</v>
      </c>
      <c r="P201">
        <v>0</v>
      </c>
      <c r="Q201">
        <v>0</v>
      </c>
      <c r="R201">
        <v>0</v>
      </c>
      <c r="S201">
        <v>0</v>
      </c>
      <c r="T201">
        <v>0</v>
      </c>
      <c r="U201">
        <v>0</v>
      </c>
      <c r="V201">
        <v>0</v>
      </c>
      <c r="W201">
        <v>0</v>
      </c>
      <c r="X201">
        <v>1</v>
      </c>
      <c r="Y201">
        <v>0</v>
      </c>
      <c r="Z201">
        <v>0</v>
      </c>
      <c r="AA201">
        <v>0</v>
      </c>
      <c r="AB201">
        <v>0</v>
      </c>
      <c r="AC201">
        <v>0</v>
      </c>
      <c r="AD201">
        <v>0</v>
      </c>
      <c r="AE201">
        <v>0</v>
      </c>
      <c r="AF201" s="100">
        <f>AVERAGEIFS($C$2:C201, $B$2:B201, B201)</f>
        <v>22</v>
      </c>
      <c r="AG201" s="100">
        <f>AVERAGEIFS($I$2:I201, $B$2:B201, B201)</f>
        <v>0.26250000000000001</v>
      </c>
      <c r="AH201" s="100">
        <f>AVERAGEIFS($I$2:J201, $B$2:C201, C201)</f>
        <v>0.44249999999999995</v>
      </c>
      <c r="AI201" s="100">
        <f>AVERAGEIFS($D$2:D201, $B$2:B201, B201)</f>
        <v>0</v>
      </c>
    </row>
    <row r="202" spans="1:35" x14ac:dyDescent="0.25">
      <c r="A202" s="106">
        <v>46073</v>
      </c>
      <c r="B202" t="s">
        <v>37</v>
      </c>
      <c r="C202">
        <v>12</v>
      </c>
      <c r="D202">
        <v>0</v>
      </c>
      <c r="E202">
        <v>5</v>
      </c>
      <c r="F202">
        <v>2</v>
      </c>
      <c r="G202">
        <v>23</v>
      </c>
      <c r="H202">
        <v>10</v>
      </c>
      <c r="I202">
        <v>0.4</v>
      </c>
      <c r="J202">
        <v>0.43</v>
      </c>
      <c r="K202">
        <v>0</v>
      </c>
      <c r="L202">
        <v>0</v>
      </c>
      <c r="M202">
        <v>1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0</v>
      </c>
      <c r="T202">
        <v>0</v>
      </c>
      <c r="U202">
        <v>0</v>
      </c>
      <c r="V202">
        <v>0</v>
      </c>
      <c r="W202">
        <v>0</v>
      </c>
      <c r="X202">
        <v>1</v>
      </c>
      <c r="Y202">
        <v>0</v>
      </c>
      <c r="Z202">
        <v>0</v>
      </c>
      <c r="AA202">
        <v>0</v>
      </c>
      <c r="AB202">
        <v>0</v>
      </c>
      <c r="AC202">
        <v>0</v>
      </c>
      <c r="AD202">
        <v>0</v>
      </c>
      <c r="AE202">
        <v>0</v>
      </c>
      <c r="AF202" s="100">
        <f>AVERAGEIFS($C$2:C202, $B$2:B202, B202)</f>
        <v>13.6</v>
      </c>
      <c r="AG202" s="100">
        <f>AVERAGEIFS($I$2:I202, $B$2:B202, B202)</f>
        <v>0.59</v>
      </c>
      <c r="AH202" s="100">
        <f>AVERAGEIFS($I$2:J202, $B$2:C202, C202)</f>
        <v>0.49</v>
      </c>
      <c r="AI202" s="100">
        <f>AVERAGEIFS($D$2:D202, $B$2:B202, B202)</f>
        <v>0.4</v>
      </c>
    </row>
    <row r="203" spans="1:35" x14ac:dyDescent="0.25">
      <c r="A203" s="106">
        <v>46073</v>
      </c>
      <c r="B203" t="s">
        <v>28</v>
      </c>
      <c r="C203">
        <v>18</v>
      </c>
      <c r="D203">
        <v>0</v>
      </c>
      <c r="E203">
        <v>5</v>
      </c>
      <c r="F203">
        <v>2</v>
      </c>
      <c r="G203">
        <v>23</v>
      </c>
      <c r="H203">
        <v>10</v>
      </c>
      <c r="I203">
        <v>0.4</v>
      </c>
      <c r="J203">
        <v>0.43</v>
      </c>
      <c r="K203">
        <v>0</v>
      </c>
      <c r="L203">
        <v>0</v>
      </c>
      <c r="M203">
        <v>1</v>
      </c>
      <c r="N203">
        <v>0</v>
      </c>
      <c r="O203">
        <v>0</v>
      </c>
      <c r="P203">
        <v>0</v>
      </c>
      <c r="Q203">
        <v>0</v>
      </c>
      <c r="R203">
        <v>0</v>
      </c>
      <c r="S203">
        <v>0</v>
      </c>
      <c r="T203">
        <v>0</v>
      </c>
      <c r="U203">
        <v>0</v>
      </c>
      <c r="V203">
        <v>0</v>
      </c>
      <c r="W203">
        <v>0</v>
      </c>
      <c r="X203">
        <v>1</v>
      </c>
      <c r="Y203">
        <v>0</v>
      </c>
      <c r="Z203">
        <v>0</v>
      </c>
      <c r="AA203">
        <v>0</v>
      </c>
      <c r="AB203">
        <v>0</v>
      </c>
      <c r="AC203">
        <v>0</v>
      </c>
      <c r="AD203">
        <v>0</v>
      </c>
      <c r="AE203">
        <v>0</v>
      </c>
      <c r="AF203" s="100">
        <f>AVERAGEIFS($C$2:C203, $B$2:B203, B203)</f>
        <v>15.375</v>
      </c>
      <c r="AG203" s="100">
        <f>AVERAGEIFS($I$2:I203, $B$2:B203, B203)</f>
        <v>0.47875000000000001</v>
      </c>
      <c r="AH203" s="100">
        <f>AVERAGEIFS($I$2:J203, $B$2:C203, C203)</f>
        <v>0.47125</v>
      </c>
      <c r="AI203" s="100">
        <f>AVERAGEIFS($D$2:D203, $B$2:B203, B203)</f>
        <v>0.375</v>
      </c>
    </row>
    <row r="204" spans="1:35" x14ac:dyDescent="0.25">
      <c r="A204" s="106">
        <v>46073</v>
      </c>
      <c r="B204" t="s">
        <v>113</v>
      </c>
      <c r="C204">
        <v>18</v>
      </c>
      <c r="D204">
        <v>0</v>
      </c>
      <c r="E204">
        <v>5</v>
      </c>
      <c r="F204">
        <v>2</v>
      </c>
      <c r="G204">
        <v>23</v>
      </c>
      <c r="H204">
        <v>10</v>
      </c>
      <c r="I204">
        <v>0.4</v>
      </c>
      <c r="J204">
        <v>0.43</v>
      </c>
      <c r="K204">
        <v>0</v>
      </c>
      <c r="L204">
        <v>0</v>
      </c>
      <c r="M204">
        <v>1</v>
      </c>
      <c r="N204">
        <v>0</v>
      </c>
      <c r="O204">
        <v>0</v>
      </c>
      <c r="P204">
        <v>0</v>
      </c>
      <c r="Q204">
        <v>0</v>
      </c>
      <c r="R204">
        <v>0</v>
      </c>
      <c r="S204">
        <v>0</v>
      </c>
      <c r="T204">
        <v>0</v>
      </c>
      <c r="U204">
        <v>0</v>
      </c>
      <c r="V204">
        <v>0</v>
      </c>
      <c r="W204">
        <v>0</v>
      </c>
      <c r="X204">
        <v>1</v>
      </c>
      <c r="Y204">
        <v>0</v>
      </c>
      <c r="Z204">
        <v>0</v>
      </c>
      <c r="AA204">
        <v>0</v>
      </c>
      <c r="AB204">
        <v>0</v>
      </c>
      <c r="AC204">
        <v>0</v>
      </c>
      <c r="AD204">
        <v>0</v>
      </c>
      <c r="AE204">
        <v>0</v>
      </c>
      <c r="AF204" s="100">
        <f>AVERAGEIFS($C$2:C204, $B$2:B204, B204)</f>
        <v>18</v>
      </c>
      <c r="AG204" s="100">
        <f>AVERAGEIFS($I$2:I204, $B$2:B204, B204)</f>
        <v>0.4</v>
      </c>
      <c r="AH204" s="100">
        <f>AVERAGEIFS($I$2:J204, $B$2:C204, C204)</f>
        <v>0.46666666666666667</v>
      </c>
      <c r="AI204" s="100">
        <f>AVERAGEIFS($D$2:D204, $B$2:B204, B204)</f>
        <v>0</v>
      </c>
    </row>
    <row r="205" spans="1:35" x14ac:dyDescent="0.25">
      <c r="A205" s="106">
        <v>46076</v>
      </c>
      <c r="B205" t="s">
        <v>42</v>
      </c>
      <c r="C205">
        <v>10</v>
      </c>
      <c r="D205">
        <v>1</v>
      </c>
      <c r="E205">
        <v>4</v>
      </c>
      <c r="F205">
        <v>3</v>
      </c>
      <c r="G205">
        <v>18</v>
      </c>
      <c r="H205">
        <v>11</v>
      </c>
      <c r="I205">
        <v>0.75</v>
      </c>
      <c r="J205">
        <v>0.61</v>
      </c>
      <c r="K205">
        <v>0</v>
      </c>
      <c r="L205">
        <v>0</v>
      </c>
      <c r="M205">
        <v>0</v>
      </c>
      <c r="N205">
        <v>0</v>
      </c>
      <c r="O205">
        <v>0</v>
      </c>
      <c r="P205">
        <v>0</v>
      </c>
      <c r="Q205">
        <v>0</v>
      </c>
      <c r="R205">
        <v>1</v>
      </c>
      <c r="S205">
        <v>0</v>
      </c>
      <c r="T205">
        <v>0</v>
      </c>
      <c r="U205">
        <v>0</v>
      </c>
      <c r="V205">
        <v>0</v>
      </c>
      <c r="W205">
        <v>0</v>
      </c>
      <c r="X205">
        <v>0</v>
      </c>
      <c r="Y205">
        <v>1</v>
      </c>
      <c r="Z205">
        <v>0</v>
      </c>
      <c r="AA205">
        <v>0</v>
      </c>
      <c r="AB205">
        <v>0</v>
      </c>
      <c r="AC205">
        <v>0</v>
      </c>
      <c r="AD205">
        <v>0</v>
      </c>
      <c r="AE205">
        <v>1</v>
      </c>
      <c r="AF205" s="100">
        <f>AVERAGEIFS($C$2:C205, $B$2:B205, B205)</f>
        <v>14.857142857142858</v>
      </c>
      <c r="AG205" s="100">
        <f>AVERAGEIFS($I$2:I205, $B$2:B205, B205)</f>
        <v>0.50714285714285723</v>
      </c>
      <c r="AH205" s="100">
        <f>AVERAGEIFS($I$2:J205, $B$2:C205, C205)</f>
        <v>0.55166666666666664</v>
      </c>
      <c r="AI205" s="100">
        <f>AVERAGEIFS($D$2:D205, $B$2:B205, B205)</f>
        <v>0.7142857142857143</v>
      </c>
    </row>
    <row r="206" spans="1:35" x14ac:dyDescent="0.25">
      <c r="A206" s="106">
        <v>46076</v>
      </c>
      <c r="B206" t="s">
        <v>54</v>
      </c>
      <c r="C206">
        <v>21</v>
      </c>
      <c r="D206">
        <v>1</v>
      </c>
      <c r="E206">
        <v>4</v>
      </c>
      <c r="F206">
        <v>3</v>
      </c>
      <c r="G206">
        <v>18</v>
      </c>
      <c r="H206">
        <v>11</v>
      </c>
      <c r="I206">
        <v>0.75</v>
      </c>
      <c r="J206">
        <v>0.61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1</v>
      </c>
      <c r="S206">
        <v>0</v>
      </c>
      <c r="T206">
        <v>0</v>
      </c>
      <c r="U206">
        <v>0</v>
      </c>
      <c r="V206">
        <v>0</v>
      </c>
      <c r="W206">
        <v>0</v>
      </c>
      <c r="X206">
        <v>0</v>
      </c>
      <c r="Y206">
        <v>1</v>
      </c>
      <c r="Z206">
        <v>0</v>
      </c>
      <c r="AA206">
        <v>0</v>
      </c>
      <c r="AB206">
        <v>0</v>
      </c>
      <c r="AC206">
        <v>0</v>
      </c>
      <c r="AD206">
        <v>0</v>
      </c>
      <c r="AE206">
        <v>1</v>
      </c>
      <c r="AF206" s="100">
        <f>AVERAGEIFS($C$2:C206, $B$2:B206, B206)</f>
        <v>24.533333333333335</v>
      </c>
      <c r="AG206" s="100">
        <f>AVERAGEIFS($I$2:I206, $B$2:B206, B206)</f>
        <v>0.52133333333333332</v>
      </c>
      <c r="AH206" s="100">
        <f>AVERAGEIFS($I$2:J206, $B$2:C206, C206)</f>
        <v>0.53857142857142859</v>
      </c>
      <c r="AI206" s="100">
        <f>AVERAGEIFS($D$2:D206, $B$2:B206, B206)</f>
        <v>0.53333333333333333</v>
      </c>
    </row>
    <row r="207" spans="1:35" x14ac:dyDescent="0.25">
      <c r="A207" s="106">
        <v>46076</v>
      </c>
      <c r="B207" t="s">
        <v>138</v>
      </c>
      <c r="C207">
        <v>21</v>
      </c>
      <c r="D207">
        <v>1</v>
      </c>
      <c r="E207">
        <v>4</v>
      </c>
      <c r="F207">
        <v>3</v>
      </c>
      <c r="G207">
        <v>18</v>
      </c>
      <c r="H207">
        <v>11</v>
      </c>
      <c r="I207">
        <v>0.75</v>
      </c>
      <c r="J207">
        <v>0.61</v>
      </c>
      <c r="K207">
        <v>0</v>
      </c>
      <c r="L207">
        <v>0</v>
      </c>
      <c r="M207">
        <v>0</v>
      </c>
      <c r="N207">
        <v>0</v>
      </c>
      <c r="O207">
        <v>0</v>
      </c>
      <c r="P207">
        <v>0</v>
      </c>
      <c r="Q207">
        <v>0</v>
      </c>
      <c r="R207">
        <v>1</v>
      </c>
      <c r="S207">
        <v>0</v>
      </c>
      <c r="T207">
        <v>0</v>
      </c>
      <c r="U207">
        <v>0</v>
      </c>
      <c r="V207">
        <v>0</v>
      </c>
      <c r="W207">
        <v>0</v>
      </c>
      <c r="X207">
        <v>0</v>
      </c>
      <c r="Y207">
        <v>1</v>
      </c>
      <c r="Z207">
        <v>0</v>
      </c>
      <c r="AA207">
        <v>0</v>
      </c>
      <c r="AB207">
        <v>0</v>
      </c>
      <c r="AC207">
        <v>0</v>
      </c>
      <c r="AD207">
        <v>0</v>
      </c>
      <c r="AE207">
        <v>1</v>
      </c>
      <c r="AF207" s="100">
        <f>AVERAGEIFS($C$2:C207, $B$2:B207, B207)</f>
        <v>21</v>
      </c>
      <c r="AG207" s="100">
        <f>AVERAGEIFS($I$2:I207, $B$2:B207, B207)</f>
        <v>0.75</v>
      </c>
      <c r="AH207" s="100">
        <f>AVERAGEIFS($I$2:J207, $B$2:C207, C207)</f>
        <v>0.54749999999999999</v>
      </c>
      <c r="AI207" s="100">
        <f>AVERAGEIFS($D$2:D207, $B$2:B207, B207)</f>
        <v>1</v>
      </c>
    </row>
    <row r="208" spans="1:35" x14ac:dyDescent="0.25">
      <c r="A208" s="106">
        <v>46076</v>
      </c>
      <c r="B208" t="s">
        <v>37</v>
      </c>
      <c r="C208">
        <v>13</v>
      </c>
      <c r="D208">
        <v>1</v>
      </c>
      <c r="E208">
        <v>4</v>
      </c>
      <c r="F208">
        <v>3</v>
      </c>
      <c r="G208">
        <v>18</v>
      </c>
      <c r="H208">
        <v>11</v>
      </c>
      <c r="I208">
        <v>0.75</v>
      </c>
      <c r="J208">
        <v>0.61</v>
      </c>
      <c r="K208">
        <v>0</v>
      </c>
      <c r="L208">
        <v>0</v>
      </c>
      <c r="M208">
        <v>0</v>
      </c>
      <c r="N208">
        <v>0</v>
      </c>
      <c r="O208">
        <v>0</v>
      </c>
      <c r="P208">
        <v>0</v>
      </c>
      <c r="Q208">
        <v>0</v>
      </c>
      <c r="R208">
        <v>1</v>
      </c>
      <c r="S208">
        <v>0</v>
      </c>
      <c r="T208">
        <v>0</v>
      </c>
      <c r="U208">
        <v>0</v>
      </c>
      <c r="V208">
        <v>0</v>
      </c>
      <c r="W208">
        <v>0</v>
      </c>
      <c r="X208">
        <v>0</v>
      </c>
      <c r="Y208">
        <v>1</v>
      </c>
      <c r="Z208">
        <v>0</v>
      </c>
      <c r="AA208">
        <v>0</v>
      </c>
      <c r="AB208">
        <v>0</v>
      </c>
      <c r="AC208">
        <v>0</v>
      </c>
      <c r="AD208">
        <v>0</v>
      </c>
      <c r="AE208">
        <v>1</v>
      </c>
      <c r="AF208" s="100">
        <f>AVERAGEIFS($C$2:C208, $B$2:B208, B208)</f>
        <v>13.5</v>
      </c>
      <c r="AG208" s="100">
        <f>AVERAGEIFS($I$2:I208, $B$2:B208, B208)</f>
        <v>0.61666666666666659</v>
      </c>
      <c r="AH208" s="100">
        <f>AVERAGEIFS($I$2:J208, $B$2:C208, C208)</f>
        <v>0.53444444444444439</v>
      </c>
      <c r="AI208" s="100">
        <f>AVERAGEIFS($D$2:D208, $B$2:B208, B208)</f>
        <v>0.5</v>
      </c>
    </row>
    <row r="209" spans="1:35" x14ac:dyDescent="0.25">
      <c r="A209" s="106">
        <v>46076</v>
      </c>
      <c r="B209" t="s">
        <v>107</v>
      </c>
      <c r="C209">
        <v>16</v>
      </c>
      <c r="D209">
        <v>1</v>
      </c>
      <c r="E209">
        <v>4</v>
      </c>
      <c r="F209">
        <v>3</v>
      </c>
      <c r="G209">
        <v>18</v>
      </c>
      <c r="H209">
        <v>11</v>
      </c>
      <c r="I209">
        <v>0.75</v>
      </c>
      <c r="J209">
        <v>0.61</v>
      </c>
      <c r="K209">
        <v>0</v>
      </c>
      <c r="L209">
        <v>0</v>
      </c>
      <c r="M209">
        <v>0</v>
      </c>
      <c r="N209">
        <v>0</v>
      </c>
      <c r="O209">
        <v>0</v>
      </c>
      <c r="P209">
        <v>0</v>
      </c>
      <c r="Q209">
        <v>0</v>
      </c>
      <c r="R209">
        <v>1</v>
      </c>
      <c r="S209">
        <v>0</v>
      </c>
      <c r="T209">
        <v>0</v>
      </c>
      <c r="U209">
        <v>0</v>
      </c>
      <c r="V209">
        <v>0</v>
      </c>
      <c r="W209">
        <v>0</v>
      </c>
      <c r="X209">
        <v>0</v>
      </c>
      <c r="Y209">
        <v>1</v>
      </c>
      <c r="Z209">
        <v>0</v>
      </c>
      <c r="AA209">
        <v>0</v>
      </c>
      <c r="AB209">
        <v>0</v>
      </c>
      <c r="AC209">
        <v>0</v>
      </c>
      <c r="AD209">
        <v>0</v>
      </c>
      <c r="AE209">
        <v>1</v>
      </c>
      <c r="AF209" s="100">
        <f>AVERAGEIFS($C$2:C209, $B$2:B209, B209)</f>
        <v>12.5</v>
      </c>
      <c r="AG209" s="100">
        <f>AVERAGEIFS($I$2:I209, $B$2:B209, B209)</f>
        <v>0.67500000000000004</v>
      </c>
      <c r="AH209" s="100">
        <f>AVERAGEIFS($I$2:J209, $B$2:C209, C209)</f>
        <v>0.52272727272727271</v>
      </c>
      <c r="AI209" s="100">
        <f>AVERAGEIFS($D$2:D209, $B$2:B209, B209)</f>
        <v>1</v>
      </c>
    </row>
    <row r="210" spans="1:35" x14ac:dyDescent="0.25">
      <c r="A210" s="106">
        <v>46076</v>
      </c>
      <c r="B210" t="s">
        <v>40</v>
      </c>
      <c r="C210">
        <v>18</v>
      </c>
      <c r="D210">
        <v>0</v>
      </c>
      <c r="E210">
        <v>4</v>
      </c>
      <c r="F210">
        <v>1</v>
      </c>
      <c r="G210">
        <v>18</v>
      </c>
      <c r="H210">
        <v>7</v>
      </c>
      <c r="I210">
        <v>0.25</v>
      </c>
      <c r="J210">
        <v>0.39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1</v>
      </c>
      <c r="Q210">
        <v>0</v>
      </c>
      <c r="R210">
        <v>0</v>
      </c>
      <c r="S210">
        <v>0</v>
      </c>
      <c r="T210">
        <v>0</v>
      </c>
      <c r="U210">
        <v>0</v>
      </c>
      <c r="V210">
        <v>0</v>
      </c>
      <c r="W210">
        <v>0</v>
      </c>
      <c r="X210">
        <v>0</v>
      </c>
      <c r="Y210">
        <v>0</v>
      </c>
      <c r="Z210">
        <v>0</v>
      </c>
      <c r="AA210">
        <v>0</v>
      </c>
      <c r="AB210">
        <v>0</v>
      </c>
      <c r="AC210">
        <v>0</v>
      </c>
      <c r="AD210">
        <v>0</v>
      </c>
      <c r="AE210">
        <v>0</v>
      </c>
      <c r="AF210" s="100">
        <f>AVERAGEIFS($C$2:C210, $B$2:B210, B210)</f>
        <v>16</v>
      </c>
      <c r="AG210" s="100">
        <f>AVERAGEIFS($I$2:I210, $B$2:B210, B210)</f>
        <v>0.34375</v>
      </c>
      <c r="AH210" s="100">
        <f>AVERAGEIFS($I$2:J210, $B$2:C210, C210)</f>
        <v>0.45899999999999996</v>
      </c>
      <c r="AI210" s="100">
        <f>AVERAGEIFS($D$2:D210, $B$2:B210, B210)</f>
        <v>0.25</v>
      </c>
    </row>
    <row r="211" spans="1:35" x14ac:dyDescent="0.25">
      <c r="A211" s="106">
        <v>46076</v>
      </c>
      <c r="B211" t="s">
        <v>2</v>
      </c>
      <c r="C211">
        <v>22</v>
      </c>
      <c r="D211">
        <v>0</v>
      </c>
      <c r="E211">
        <v>4</v>
      </c>
      <c r="F211">
        <v>1</v>
      </c>
      <c r="G211">
        <v>18</v>
      </c>
      <c r="H211">
        <v>7</v>
      </c>
      <c r="I211">
        <v>0.25</v>
      </c>
      <c r="J211">
        <v>0.39</v>
      </c>
      <c r="K211">
        <v>0</v>
      </c>
      <c r="L211">
        <v>0</v>
      </c>
      <c r="M211">
        <v>0</v>
      </c>
      <c r="N211">
        <v>0</v>
      </c>
      <c r="O211">
        <v>0</v>
      </c>
      <c r="P211">
        <v>1</v>
      </c>
      <c r="Q211">
        <v>0</v>
      </c>
      <c r="R211">
        <v>0</v>
      </c>
      <c r="S211">
        <v>0</v>
      </c>
      <c r="T211">
        <v>0</v>
      </c>
      <c r="U211">
        <v>0</v>
      </c>
      <c r="V211">
        <v>0</v>
      </c>
      <c r="W211">
        <v>0</v>
      </c>
      <c r="X211">
        <v>0</v>
      </c>
      <c r="Y211">
        <v>0</v>
      </c>
      <c r="Z211">
        <v>0</v>
      </c>
      <c r="AA211">
        <v>0</v>
      </c>
      <c r="AB211">
        <v>0</v>
      </c>
      <c r="AC211">
        <v>0</v>
      </c>
      <c r="AD211">
        <v>0</v>
      </c>
      <c r="AE211">
        <v>0</v>
      </c>
      <c r="AF211" s="100">
        <f>AVERAGEIFS($C$2:C211, $B$2:B211, B211)</f>
        <v>24.083333333333332</v>
      </c>
      <c r="AG211" s="100">
        <f>AVERAGEIFS($I$2:I211, $B$2:B211, B211)</f>
        <v>0.47750000000000004</v>
      </c>
      <c r="AH211" s="100">
        <f>AVERAGEIFS($I$2:J211, $B$2:C211, C211)</f>
        <v>0.54625000000000001</v>
      </c>
      <c r="AI211" s="100">
        <f>AVERAGEIFS($D$2:D211, $B$2:B211, B211)</f>
        <v>0.41666666666666669</v>
      </c>
    </row>
    <row r="212" spans="1:35" x14ac:dyDescent="0.25">
      <c r="A212" s="106">
        <v>46076</v>
      </c>
      <c r="B212" t="s">
        <v>50</v>
      </c>
      <c r="C212">
        <v>22</v>
      </c>
      <c r="D212">
        <v>0</v>
      </c>
      <c r="E212">
        <v>4</v>
      </c>
      <c r="F212">
        <v>1</v>
      </c>
      <c r="G212">
        <v>18</v>
      </c>
      <c r="H212">
        <v>7</v>
      </c>
      <c r="I212">
        <v>0.25</v>
      </c>
      <c r="J212">
        <v>0.39</v>
      </c>
      <c r="K212">
        <v>0</v>
      </c>
      <c r="L212">
        <v>0</v>
      </c>
      <c r="M212">
        <v>0</v>
      </c>
      <c r="N212">
        <v>0</v>
      </c>
      <c r="O212">
        <v>0</v>
      </c>
      <c r="P212">
        <v>1</v>
      </c>
      <c r="Q212">
        <v>0</v>
      </c>
      <c r="R212">
        <v>0</v>
      </c>
      <c r="S212">
        <v>0</v>
      </c>
      <c r="T212">
        <v>0</v>
      </c>
      <c r="U212">
        <v>0</v>
      </c>
      <c r="V212">
        <v>0</v>
      </c>
      <c r="W212">
        <v>0</v>
      </c>
      <c r="X212">
        <v>0</v>
      </c>
      <c r="Y212">
        <v>0</v>
      </c>
      <c r="Z212">
        <v>0</v>
      </c>
      <c r="AA212">
        <v>0</v>
      </c>
      <c r="AB212">
        <v>0</v>
      </c>
      <c r="AC212">
        <v>0</v>
      </c>
      <c r="AD212">
        <v>0</v>
      </c>
      <c r="AE212">
        <v>0</v>
      </c>
      <c r="AF212" s="100">
        <f>AVERAGEIFS($C$2:C212, $B$2:B212, B212)</f>
        <v>20.1875</v>
      </c>
      <c r="AG212" s="100">
        <f>AVERAGEIFS($I$2:I212, $B$2:B212, B212)</f>
        <v>0.53312500000000007</v>
      </c>
      <c r="AH212" s="100">
        <f>AVERAGEIFS($I$2:J212, $B$2:C212, C212)</f>
        <v>0.52888888888888885</v>
      </c>
      <c r="AI212" s="100">
        <f>AVERAGEIFS($D$2:D212, $B$2:B212, B212)</f>
        <v>0.5625</v>
      </c>
    </row>
    <row r="213" spans="1:35" x14ac:dyDescent="0.25">
      <c r="A213" s="106">
        <v>46076</v>
      </c>
      <c r="B213" t="s">
        <v>3</v>
      </c>
      <c r="C213">
        <v>18</v>
      </c>
      <c r="D213">
        <v>0</v>
      </c>
      <c r="E213">
        <v>4</v>
      </c>
      <c r="F213">
        <v>1</v>
      </c>
      <c r="G213">
        <v>18</v>
      </c>
      <c r="H213">
        <v>7</v>
      </c>
      <c r="I213">
        <v>0.25</v>
      </c>
      <c r="J213">
        <v>0.39</v>
      </c>
      <c r="K213">
        <v>0</v>
      </c>
      <c r="L213">
        <v>0</v>
      </c>
      <c r="M213">
        <v>0</v>
      </c>
      <c r="N213">
        <v>0</v>
      </c>
      <c r="O213">
        <v>0</v>
      </c>
      <c r="P213">
        <v>1</v>
      </c>
      <c r="Q213">
        <v>0</v>
      </c>
      <c r="R213">
        <v>0</v>
      </c>
      <c r="S213">
        <v>0</v>
      </c>
      <c r="T213">
        <v>0</v>
      </c>
      <c r="U213">
        <v>0</v>
      </c>
      <c r="V213">
        <v>0</v>
      </c>
      <c r="W213">
        <v>0</v>
      </c>
      <c r="X213">
        <v>0</v>
      </c>
      <c r="Y213">
        <v>0</v>
      </c>
      <c r="Z213">
        <v>0</v>
      </c>
      <c r="AA213">
        <v>0</v>
      </c>
      <c r="AB213">
        <v>0</v>
      </c>
      <c r="AC213">
        <v>0</v>
      </c>
      <c r="AD213">
        <v>0</v>
      </c>
      <c r="AE213">
        <v>0</v>
      </c>
      <c r="AF213" s="100">
        <f>AVERAGEIFS($C$2:C213, $B$2:B213, B213)</f>
        <v>16.8</v>
      </c>
      <c r="AG213" s="100">
        <f>AVERAGEIFS($I$2:I213, $B$2:B213, B213)</f>
        <v>0.44000000000000006</v>
      </c>
      <c r="AH213" s="100">
        <f>AVERAGEIFS($I$2:J213, $B$2:C213, C213)</f>
        <v>0.4527272727272727</v>
      </c>
      <c r="AI213" s="100">
        <f>AVERAGEIFS($D$2:D213, $B$2:B213, B213)</f>
        <v>0.6</v>
      </c>
    </row>
    <row r="214" spans="1:35" x14ac:dyDescent="0.25">
      <c r="A214" s="106">
        <v>46076</v>
      </c>
      <c r="B214" t="s">
        <v>25</v>
      </c>
      <c r="C214">
        <v>2</v>
      </c>
      <c r="D214">
        <v>0</v>
      </c>
      <c r="E214">
        <v>4</v>
      </c>
      <c r="F214">
        <v>1</v>
      </c>
      <c r="G214">
        <v>18</v>
      </c>
      <c r="H214">
        <v>7</v>
      </c>
      <c r="I214">
        <v>0.25</v>
      </c>
      <c r="J214">
        <v>0.39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1</v>
      </c>
      <c r="Q214">
        <v>0</v>
      </c>
      <c r="R214">
        <v>0</v>
      </c>
      <c r="S214">
        <v>0</v>
      </c>
      <c r="T214">
        <v>0</v>
      </c>
      <c r="U214">
        <v>0</v>
      </c>
      <c r="V214">
        <v>0</v>
      </c>
      <c r="W214">
        <v>0</v>
      </c>
      <c r="X214">
        <v>0</v>
      </c>
      <c r="Y214">
        <v>0</v>
      </c>
      <c r="Z214">
        <v>0</v>
      </c>
      <c r="AA214">
        <v>0</v>
      </c>
      <c r="AB214">
        <v>0</v>
      </c>
      <c r="AC214">
        <v>0</v>
      </c>
      <c r="AD214">
        <v>0</v>
      </c>
      <c r="AE214">
        <v>0</v>
      </c>
      <c r="AF214" s="100">
        <f>AVERAGEIFS($C$2:C214, $B$2:B214, B214)</f>
        <v>8</v>
      </c>
      <c r="AG214" s="100">
        <f>AVERAGEIFS($I$2:I214, $B$2:B214, B214)</f>
        <v>0.58333333333333337</v>
      </c>
      <c r="AH214" s="100">
        <f>AVERAGEIFS($I$2:J214, $B$2:C214, C214)</f>
        <v>0.31</v>
      </c>
      <c r="AI214" s="100">
        <f>AVERAGEIFS($D$2:D214, $B$2:B214, B214)</f>
        <v>0.66666666666666663</v>
      </c>
    </row>
    <row r="215" spans="1:35" x14ac:dyDescent="0.25">
      <c r="A215" s="106">
        <v>46077</v>
      </c>
      <c r="B215" t="s">
        <v>17</v>
      </c>
      <c r="C215">
        <v>29</v>
      </c>
      <c r="D215">
        <v>1</v>
      </c>
      <c r="E215">
        <v>5</v>
      </c>
      <c r="F215">
        <v>3</v>
      </c>
      <c r="G215">
        <v>21</v>
      </c>
      <c r="H215">
        <v>11</v>
      </c>
      <c r="I215">
        <v>0.6</v>
      </c>
      <c r="J215">
        <v>0.52</v>
      </c>
      <c r="K215">
        <v>0</v>
      </c>
      <c r="L215">
        <v>0</v>
      </c>
      <c r="M215">
        <v>0</v>
      </c>
      <c r="N215">
        <v>0</v>
      </c>
      <c r="O215">
        <v>0</v>
      </c>
      <c r="P215">
        <v>0</v>
      </c>
      <c r="Q215">
        <v>0</v>
      </c>
      <c r="R215">
        <v>0</v>
      </c>
      <c r="S215">
        <v>0</v>
      </c>
      <c r="T215">
        <v>0</v>
      </c>
      <c r="U215">
        <v>1</v>
      </c>
      <c r="V215">
        <v>0</v>
      </c>
      <c r="W215">
        <v>0</v>
      </c>
      <c r="X215">
        <v>0</v>
      </c>
      <c r="Y215">
        <v>0</v>
      </c>
      <c r="Z215">
        <v>0</v>
      </c>
      <c r="AA215">
        <v>1</v>
      </c>
      <c r="AB215">
        <v>0</v>
      </c>
      <c r="AC215">
        <v>1</v>
      </c>
      <c r="AD215">
        <v>0</v>
      </c>
      <c r="AE215">
        <v>0</v>
      </c>
      <c r="AF215" s="100">
        <f>AVERAGEIFS($C$2:C215, $B$2:B215, B215)</f>
        <v>20.733333333333334</v>
      </c>
      <c r="AG215" s="100">
        <f>AVERAGEIFS($I$2:I215, $B$2:B215, B215)</f>
        <v>0.48466666666666669</v>
      </c>
      <c r="AH215" s="100">
        <f>AVERAGEIFS($I$2:J215, $B$2:C215, C215)</f>
        <v>0.56000000000000005</v>
      </c>
      <c r="AI215" s="100">
        <f>AVERAGEIFS($D$2:D215, $B$2:B215, B215)</f>
        <v>0.4</v>
      </c>
    </row>
    <row r="216" spans="1:35" x14ac:dyDescent="0.25">
      <c r="A216" s="106">
        <v>46077</v>
      </c>
      <c r="B216" t="s">
        <v>113</v>
      </c>
      <c r="C216">
        <v>28</v>
      </c>
      <c r="D216">
        <v>1</v>
      </c>
      <c r="E216">
        <v>5</v>
      </c>
      <c r="F216">
        <v>3</v>
      </c>
      <c r="G216">
        <v>21</v>
      </c>
      <c r="H216">
        <v>11</v>
      </c>
      <c r="I216">
        <v>0.6</v>
      </c>
      <c r="J216">
        <v>0.52</v>
      </c>
      <c r="K216">
        <v>0</v>
      </c>
      <c r="L216">
        <v>0</v>
      </c>
      <c r="M216">
        <v>0</v>
      </c>
      <c r="N216">
        <v>0</v>
      </c>
      <c r="O216">
        <v>0</v>
      </c>
      <c r="P216">
        <v>0</v>
      </c>
      <c r="Q216">
        <v>0</v>
      </c>
      <c r="R216">
        <v>0</v>
      </c>
      <c r="S216">
        <v>0</v>
      </c>
      <c r="T216">
        <v>0</v>
      </c>
      <c r="U216">
        <v>1</v>
      </c>
      <c r="V216">
        <v>0</v>
      </c>
      <c r="W216">
        <v>0</v>
      </c>
      <c r="X216">
        <v>0</v>
      </c>
      <c r="Y216">
        <v>0</v>
      </c>
      <c r="Z216">
        <v>0</v>
      </c>
      <c r="AA216">
        <v>1</v>
      </c>
      <c r="AB216">
        <v>0</v>
      </c>
      <c r="AC216">
        <v>1</v>
      </c>
      <c r="AD216">
        <v>0</v>
      </c>
      <c r="AE216">
        <v>0</v>
      </c>
      <c r="AF216" s="100">
        <f>AVERAGEIFS($C$2:C216, $B$2:B216, B216)</f>
        <v>23</v>
      </c>
      <c r="AG216" s="100">
        <f>AVERAGEIFS($I$2:I216, $B$2:B216, B216)</f>
        <v>0.5</v>
      </c>
      <c r="AH216" s="100">
        <f>AVERAGEIFS($I$2:J216, $B$2:C216, C216)</f>
        <v>0.42500000000000004</v>
      </c>
      <c r="AI216" s="100">
        <f>AVERAGEIFS($D$2:D216, $B$2:B216, B216)</f>
        <v>0.5</v>
      </c>
    </row>
    <row r="217" spans="1:35" x14ac:dyDescent="0.25">
      <c r="A217" s="106">
        <v>46077</v>
      </c>
      <c r="B217" t="s">
        <v>54</v>
      </c>
      <c r="C217">
        <v>25</v>
      </c>
      <c r="D217">
        <v>1</v>
      </c>
      <c r="E217">
        <v>5</v>
      </c>
      <c r="F217">
        <v>3</v>
      </c>
      <c r="G217">
        <v>21</v>
      </c>
      <c r="H217">
        <v>11</v>
      </c>
      <c r="I217">
        <v>0.6</v>
      </c>
      <c r="J217">
        <v>0.52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>
        <v>0</v>
      </c>
      <c r="R217">
        <v>0</v>
      </c>
      <c r="S217">
        <v>0</v>
      </c>
      <c r="T217">
        <v>0</v>
      </c>
      <c r="U217">
        <v>1</v>
      </c>
      <c r="V217">
        <v>0</v>
      </c>
      <c r="W217">
        <v>0</v>
      </c>
      <c r="X217">
        <v>0</v>
      </c>
      <c r="Y217">
        <v>0</v>
      </c>
      <c r="Z217">
        <v>0</v>
      </c>
      <c r="AA217">
        <v>1</v>
      </c>
      <c r="AB217">
        <v>0</v>
      </c>
      <c r="AC217">
        <v>1</v>
      </c>
      <c r="AD217">
        <v>0</v>
      </c>
      <c r="AE217">
        <v>0</v>
      </c>
      <c r="AF217" s="100">
        <f>AVERAGEIFS($C$2:C217, $B$2:B217, B217)</f>
        <v>24.5625</v>
      </c>
      <c r="AG217" s="100">
        <f>AVERAGEIFS($I$2:I217, $B$2:B217, B217)</f>
        <v>0.52625</v>
      </c>
      <c r="AH217" s="100">
        <f>AVERAGEIFS($I$2:J217, $B$2:C217, C217)</f>
        <v>0.49615384615384611</v>
      </c>
      <c r="AI217" s="100">
        <f>AVERAGEIFS($D$2:D217, $B$2:B217, B217)</f>
        <v>0.5625</v>
      </c>
    </row>
    <row r="218" spans="1:35" x14ac:dyDescent="0.25">
      <c r="A218" s="106">
        <v>46077</v>
      </c>
      <c r="B218" t="s">
        <v>6</v>
      </c>
      <c r="C218">
        <v>24</v>
      </c>
      <c r="D218">
        <v>1</v>
      </c>
      <c r="E218">
        <v>5</v>
      </c>
      <c r="F218">
        <v>3</v>
      </c>
      <c r="G218">
        <v>21</v>
      </c>
      <c r="H218">
        <v>11</v>
      </c>
      <c r="I218">
        <v>0.6</v>
      </c>
      <c r="J218">
        <v>0.52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0</v>
      </c>
      <c r="T218">
        <v>0</v>
      </c>
      <c r="U218">
        <v>1</v>
      </c>
      <c r="V218">
        <v>0</v>
      </c>
      <c r="W218">
        <v>0</v>
      </c>
      <c r="X218">
        <v>0</v>
      </c>
      <c r="Y218">
        <v>0</v>
      </c>
      <c r="Z218">
        <v>0</v>
      </c>
      <c r="AA218">
        <v>1</v>
      </c>
      <c r="AB218">
        <v>0</v>
      </c>
      <c r="AC218">
        <v>1</v>
      </c>
      <c r="AD218">
        <v>0</v>
      </c>
      <c r="AE218">
        <v>0</v>
      </c>
      <c r="AF218" s="100">
        <f>AVERAGEIFS($C$2:C218, $B$2:B218, B218)</f>
        <v>22.266666666666666</v>
      </c>
      <c r="AG218" s="100">
        <f>AVERAGEIFS($I$2:I218, $B$2:B218, B218)</f>
        <v>0.65199999999999991</v>
      </c>
      <c r="AH218" s="100">
        <f>AVERAGEIFS($I$2:J218, $B$2:C218, C218)</f>
        <v>0.58250000000000002</v>
      </c>
      <c r="AI218" s="100">
        <f>AVERAGEIFS($D$2:D218, $B$2:B218, B218)</f>
        <v>0.73333333333333328</v>
      </c>
    </row>
    <row r="219" spans="1:35" x14ac:dyDescent="0.25">
      <c r="A219" s="106">
        <v>46077</v>
      </c>
      <c r="B219" t="s">
        <v>50</v>
      </c>
      <c r="C219">
        <v>22</v>
      </c>
      <c r="D219">
        <v>1</v>
      </c>
      <c r="E219">
        <v>5</v>
      </c>
      <c r="F219">
        <v>3</v>
      </c>
      <c r="G219">
        <v>21</v>
      </c>
      <c r="H219">
        <v>11</v>
      </c>
      <c r="I219">
        <v>0.6</v>
      </c>
      <c r="J219">
        <v>0.52</v>
      </c>
      <c r="K219">
        <v>0</v>
      </c>
      <c r="L219">
        <v>0</v>
      </c>
      <c r="M219">
        <v>0</v>
      </c>
      <c r="N219">
        <v>0</v>
      </c>
      <c r="O219">
        <v>0</v>
      </c>
      <c r="P219">
        <v>0</v>
      </c>
      <c r="Q219">
        <v>0</v>
      </c>
      <c r="R219">
        <v>0</v>
      </c>
      <c r="S219">
        <v>0</v>
      </c>
      <c r="T219">
        <v>0</v>
      </c>
      <c r="U219">
        <v>1</v>
      </c>
      <c r="V219">
        <v>0</v>
      </c>
      <c r="W219">
        <v>0</v>
      </c>
      <c r="X219">
        <v>0</v>
      </c>
      <c r="Y219">
        <v>0</v>
      </c>
      <c r="Z219">
        <v>0</v>
      </c>
      <c r="AA219">
        <v>1</v>
      </c>
      <c r="AB219">
        <v>0</v>
      </c>
      <c r="AC219">
        <v>1</v>
      </c>
      <c r="AD219">
        <v>0</v>
      </c>
      <c r="AE219">
        <v>0</v>
      </c>
      <c r="AF219" s="100">
        <f>AVERAGEIFS($C$2:C219, $B$2:B219, B219)</f>
        <v>20.294117647058822</v>
      </c>
      <c r="AG219" s="100">
        <f>AVERAGEIFS($I$2:I219, $B$2:B219, B219)</f>
        <v>0.53705882352941181</v>
      </c>
      <c r="AH219" s="100">
        <f>AVERAGEIFS($I$2:J219, $B$2:C219, C219)</f>
        <v>0.52799999999999991</v>
      </c>
      <c r="AI219" s="100">
        <f>AVERAGEIFS($D$2:D219, $B$2:B219, B219)</f>
        <v>0.58823529411764708</v>
      </c>
    </row>
    <row r="220" spans="1:35" x14ac:dyDescent="0.25">
      <c r="A220" s="106">
        <v>46077</v>
      </c>
      <c r="B220" t="s">
        <v>28</v>
      </c>
      <c r="C220">
        <v>22</v>
      </c>
      <c r="D220">
        <v>1</v>
      </c>
      <c r="E220">
        <v>5</v>
      </c>
      <c r="F220">
        <v>3</v>
      </c>
      <c r="G220">
        <v>21</v>
      </c>
      <c r="H220">
        <v>11</v>
      </c>
      <c r="I220">
        <v>0.6</v>
      </c>
      <c r="J220">
        <v>0.52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0</v>
      </c>
      <c r="Q220">
        <v>0</v>
      </c>
      <c r="R220">
        <v>0</v>
      </c>
      <c r="S220">
        <v>0</v>
      </c>
      <c r="T220">
        <v>0</v>
      </c>
      <c r="U220">
        <v>1</v>
      </c>
      <c r="V220">
        <v>0</v>
      </c>
      <c r="W220">
        <v>0</v>
      </c>
      <c r="X220">
        <v>0</v>
      </c>
      <c r="Y220">
        <v>0</v>
      </c>
      <c r="Z220">
        <v>0</v>
      </c>
      <c r="AA220">
        <v>1</v>
      </c>
      <c r="AB220">
        <v>0</v>
      </c>
      <c r="AC220">
        <v>1</v>
      </c>
      <c r="AD220">
        <v>0</v>
      </c>
      <c r="AE220">
        <v>0</v>
      </c>
      <c r="AF220" s="100">
        <f>AVERAGEIFS($C$2:C220, $B$2:B220, B220)</f>
        <v>16.111111111111111</v>
      </c>
      <c r="AG220" s="100">
        <f>AVERAGEIFS($I$2:I220, $B$2:B220, B220)</f>
        <v>0.49222222222222217</v>
      </c>
      <c r="AH220" s="100">
        <f>AVERAGEIFS($I$2:J220, $B$2:C220, C220)</f>
        <v>0.52727272727272723</v>
      </c>
      <c r="AI220" s="100">
        <f>AVERAGEIFS($D$2:D220, $B$2:B220, B220)</f>
        <v>0.44444444444444442</v>
      </c>
    </row>
    <row r="221" spans="1:35" x14ac:dyDescent="0.25">
      <c r="A221" s="106">
        <v>46077</v>
      </c>
      <c r="B221" t="s">
        <v>40</v>
      </c>
      <c r="C221">
        <v>18</v>
      </c>
      <c r="D221">
        <v>1</v>
      </c>
      <c r="E221">
        <v>5</v>
      </c>
      <c r="F221">
        <v>3</v>
      </c>
      <c r="G221">
        <v>21</v>
      </c>
      <c r="H221">
        <v>11</v>
      </c>
      <c r="I221">
        <v>0.6</v>
      </c>
      <c r="J221">
        <v>0.52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0</v>
      </c>
      <c r="Q221">
        <v>0</v>
      </c>
      <c r="R221">
        <v>0</v>
      </c>
      <c r="S221">
        <v>0</v>
      </c>
      <c r="T221">
        <v>0</v>
      </c>
      <c r="U221">
        <v>1</v>
      </c>
      <c r="V221">
        <v>0</v>
      </c>
      <c r="W221">
        <v>0</v>
      </c>
      <c r="X221">
        <v>0</v>
      </c>
      <c r="Y221">
        <v>0</v>
      </c>
      <c r="Z221">
        <v>0</v>
      </c>
      <c r="AA221">
        <v>1</v>
      </c>
      <c r="AB221">
        <v>0</v>
      </c>
      <c r="AC221">
        <v>1</v>
      </c>
      <c r="AD221">
        <v>0</v>
      </c>
      <c r="AE221">
        <v>0</v>
      </c>
      <c r="AF221" s="100">
        <f>AVERAGEIFS($C$2:C221, $B$2:B221, B221)</f>
        <v>16.222222222222221</v>
      </c>
      <c r="AG221" s="100">
        <f>AVERAGEIFS($I$2:I221, $B$2:B221, B221)</f>
        <v>0.37222222222222223</v>
      </c>
      <c r="AH221" s="100">
        <f>AVERAGEIFS($I$2:J221, $B$2:C221, C221)</f>
        <v>0.45833333333333331</v>
      </c>
      <c r="AI221" s="100">
        <f>AVERAGEIFS($D$2:D221, $B$2:B221, B221)</f>
        <v>0.33333333333333331</v>
      </c>
    </row>
    <row r="222" spans="1:35" x14ac:dyDescent="0.25">
      <c r="A222" s="106">
        <v>46077</v>
      </c>
      <c r="B222" t="s">
        <v>38</v>
      </c>
      <c r="C222">
        <v>4</v>
      </c>
      <c r="D222">
        <v>1</v>
      </c>
      <c r="E222">
        <v>5</v>
      </c>
      <c r="F222">
        <v>3</v>
      </c>
      <c r="G222">
        <v>21</v>
      </c>
      <c r="H222">
        <v>11</v>
      </c>
      <c r="I222">
        <v>0.6</v>
      </c>
      <c r="J222">
        <v>0.52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0</v>
      </c>
      <c r="T222">
        <v>0</v>
      </c>
      <c r="U222">
        <v>1</v>
      </c>
      <c r="V222">
        <v>0</v>
      </c>
      <c r="W222">
        <v>0</v>
      </c>
      <c r="X222">
        <v>0</v>
      </c>
      <c r="Y222">
        <v>0</v>
      </c>
      <c r="Z222">
        <v>0</v>
      </c>
      <c r="AA222">
        <v>1</v>
      </c>
      <c r="AB222">
        <v>0</v>
      </c>
      <c r="AC222">
        <v>1</v>
      </c>
      <c r="AD222">
        <v>0</v>
      </c>
      <c r="AE222">
        <v>0</v>
      </c>
      <c r="AF222" s="100">
        <f>AVERAGEIFS($C$2:C222, $B$2:B222, B222)</f>
        <v>3</v>
      </c>
      <c r="AG222" s="100">
        <f>AVERAGEIFS($I$2:I222, $B$2:B222, B222)</f>
        <v>0.45</v>
      </c>
      <c r="AH222" s="100">
        <f>AVERAGEIFS($I$2:J222, $B$2:C222, C222)</f>
        <v>0.52</v>
      </c>
      <c r="AI222" s="100">
        <f>AVERAGEIFS($D$2:D222, $B$2:B222, B222)</f>
        <v>0.66666666666666663</v>
      </c>
    </row>
    <row r="223" spans="1:35" x14ac:dyDescent="0.25">
      <c r="A223" s="106">
        <v>46077</v>
      </c>
      <c r="B223" t="s">
        <v>4</v>
      </c>
      <c r="C223">
        <v>41</v>
      </c>
      <c r="D223">
        <v>0</v>
      </c>
      <c r="E223">
        <v>5</v>
      </c>
      <c r="F223">
        <v>2</v>
      </c>
      <c r="G223">
        <v>21</v>
      </c>
      <c r="H223">
        <v>10</v>
      </c>
      <c r="I223">
        <v>0.4</v>
      </c>
      <c r="J223">
        <v>0.48</v>
      </c>
      <c r="K223">
        <v>0</v>
      </c>
      <c r="L223">
        <v>0</v>
      </c>
      <c r="M223">
        <v>0</v>
      </c>
      <c r="N223">
        <v>0</v>
      </c>
      <c r="O223">
        <v>0</v>
      </c>
      <c r="P223">
        <v>0</v>
      </c>
      <c r="Q223">
        <v>0</v>
      </c>
      <c r="R223">
        <v>0</v>
      </c>
      <c r="S223">
        <v>0</v>
      </c>
      <c r="T223">
        <v>0</v>
      </c>
      <c r="U223">
        <v>0</v>
      </c>
      <c r="V223">
        <v>0</v>
      </c>
      <c r="W223">
        <v>0</v>
      </c>
      <c r="X223">
        <v>1</v>
      </c>
      <c r="Y223">
        <v>0</v>
      </c>
      <c r="Z223">
        <v>0</v>
      </c>
      <c r="AA223">
        <v>0</v>
      </c>
      <c r="AB223">
        <v>1</v>
      </c>
      <c r="AC223">
        <v>0</v>
      </c>
      <c r="AD223">
        <v>0</v>
      </c>
      <c r="AE223">
        <v>0</v>
      </c>
      <c r="AF223" s="100">
        <f>AVERAGEIFS($C$2:C223, $B$2:B223, B223)</f>
        <v>25.8</v>
      </c>
      <c r="AG223" s="100">
        <f>AVERAGEIFS($I$2:I223, $B$2:B223, B223)</f>
        <v>0.29000000000000004</v>
      </c>
      <c r="AH223" s="100">
        <f>AVERAGEIFS($I$2:J223, $B$2:C223, C223)</f>
        <v>0.48</v>
      </c>
      <c r="AI223" s="100">
        <f>AVERAGEIFS($D$2:D223, $B$2:B223, B223)</f>
        <v>0</v>
      </c>
    </row>
    <row r="224" spans="1:35" x14ac:dyDescent="0.25">
      <c r="A224" s="106">
        <v>46077</v>
      </c>
      <c r="B224" t="s">
        <v>1</v>
      </c>
      <c r="C224">
        <v>38</v>
      </c>
      <c r="D224">
        <v>0</v>
      </c>
      <c r="E224">
        <v>5</v>
      </c>
      <c r="F224">
        <v>2</v>
      </c>
      <c r="G224">
        <v>21</v>
      </c>
      <c r="H224">
        <v>10</v>
      </c>
      <c r="I224">
        <v>0.4</v>
      </c>
      <c r="J224">
        <v>0.48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0</v>
      </c>
      <c r="Q224">
        <v>0</v>
      </c>
      <c r="R224">
        <v>0</v>
      </c>
      <c r="S224">
        <v>0</v>
      </c>
      <c r="T224">
        <v>0</v>
      </c>
      <c r="U224">
        <v>0</v>
      </c>
      <c r="V224">
        <v>0</v>
      </c>
      <c r="W224">
        <v>0</v>
      </c>
      <c r="X224">
        <v>1</v>
      </c>
      <c r="Y224">
        <v>0</v>
      </c>
      <c r="Z224">
        <v>0</v>
      </c>
      <c r="AA224">
        <v>0</v>
      </c>
      <c r="AB224">
        <v>1</v>
      </c>
      <c r="AC224">
        <v>0</v>
      </c>
      <c r="AD224">
        <v>0</v>
      </c>
      <c r="AE224">
        <v>0</v>
      </c>
      <c r="AF224" s="100">
        <f>AVERAGEIFS($C$2:C224, $B$2:B224, B224)</f>
        <v>27.857142857142858</v>
      </c>
      <c r="AG224" s="100">
        <f>AVERAGEIFS($I$2:I224, $B$2:B224, B224)</f>
        <v>0.42142857142857143</v>
      </c>
      <c r="AH224" s="100">
        <f>AVERAGEIFS($I$2:J224, $B$2:C224, C224)</f>
        <v>0.48</v>
      </c>
      <c r="AI224" s="100">
        <f>AVERAGEIFS($D$2:D224, $B$2:B224, B224)</f>
        <v>0.5714285714285714</v>
      </c>
    </row>
    <row r="225" spans="1:35" x14ac:dyDescent="0.25">
      <c r="A225" s="106">
        <v>46077</v>
      </c>
      <c r="B225" t="s">
        <v>3</v>
      </c>
      <c r="C225">
        <v>27</v>
      </c>
      <c r="D225">
        <v>0</v>
      </c>
      <c r="E225">
        <v>5</v>
      </c>
      <c r="F225">
        <v>2</v>
      </c>
      <c r="G225">
        <v>21</v>
      </c>
      <c r="H225">
        <v>10</v>
      </c>
      <c r="I225">
        <v>0.4</v>
      </c>
      <c r="J225">
        <v>0.48</v>
      </c>
      <c r="K225">
        <v>0</v>
      </c>
      <c r="L225">
        <v>0</v>
      </c>
      <c r="M225">
        <v>0</v>
      </c>
      <c r="N225">
        <v>0</v>
      </c>
      <c r="O225">
        <v>0</v>
      </c>
      <c r="P225">
        <v>0</v>
      </c>
      <c r="Q225">
        <v>0</v>
      </c>
      <c r="R225">
        <v>0</v>
      </c>
      <c r="S225">
        <v>0</v>
      </c>
      <c r="T225">
        <v>0</v>
      </c>
      <c r="U225">
        <v>0</v>
      </c>
      <c r="V225">
        <v>0</v>
      </c>
      <c r="W225">
        <v>0</v>
      </c>
      <c r="X225">
        <v>1</v>
      </c>
      <c r="Y225">
        <v>0</v>
      </c>
      <c r="Z225">
        <v>0</v>
      </c>
      <c r="AA225">
        <v>0</v>
      </c>
      <c r="AB225">
        <v>1</v>
      </c>
      <c r="AC225">
        <v>0</v>
      </c>
      <c r="AD225">
        <v>0</v>
      </c>
      <c r="AE225">
        <v>0</v>
      </c>
      <c r="AF225" s="100">
        <f>AVERAGEIFS($C$2:C225, $B$2:B225, B225)</f>
        <v>18.5</v>
      </c>
      <c r="AG225" s="100">
        <f>AVERAGEIFS($I$2:I225, $B$2:B225, B225)</f>
        <v>0.43333333333333335</v>
      </c>
      <c r="AH225" s="100">
        <f>AVERAGEIFS($I$2:J225, $B$2:C225, C225)</f>
        <v>0.47857142857142859</v>
      </c>
      <c r="AI225" s="100">
        <f>AVERAGEIFS($D$2:D225, $B$2:B225, B225)</f>
        <v>0.5</v>
      </c>
    </row>
    <row r="226" spans="1:35" x14ac:dyDescent="0.25">
      <c r="A226" s="106">
        <v>46077</v>
      </c>
      <c r="B226" t="s">
        <v>37</v>
      </c>
      <c r="C226">
        <v>14</v>
      </c>
      <c r="D226">
        <v>0</v>
      </c>
      <c r="E226">
        <v>5</v>
      </c>
      <c r="F226">
        <v>2</v>
      </c>
      <c r="G226">
        <v>21</v>
      </c>
      <c r="H226">
        <v>10</v>
      </c>
      <c r="I226">
        <v>0.4</v>
      </c>
      <c r="J226">
        <v>0.48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0</v>
      </c>
      <c r="T226">
        <v>0</v>
      </c>
      <c r="U226">
        <v>0</v>
      </c>
      <c r="V226">
        <v>0</v>
      </c>
      <c r="W226">
        <v>0</v>
      </c>
      <c r="X226">
        <v>1</v>
      </c>
      <c r="Y226">
        <v>0</v>
      </c>
      <c r="Z226">
        <v>0</v>
      </c>
      <c r="AA226">
        <v>0</v>
      </c>
      <c r="AB226">
        <v>1</v>
      </c>
      <c r="AC226">
        <v>0</v>
      </c>
      <c r="AD226">
        <v>0</v>
      </c>
      <c r="AE226">
        <v>0</v>
      </c>
      <c r="AF226" s="100">
        <f>AVERAGEIFS($C$2:C226, $B$2:B226, B226)</f>
        <v>13.571428571428571</v>
      </c>
      <c r="AG226" s="100">
        <f>AVERAGEIFS($I$2:I226, $B$2:B226, B226)</f>
        <v>0.58571428571428563</v>
      </c>
      <c r="AH226" s="100">
        <f>AVERAGEIFS($I$2:J226, $B$2:C226, C226)</f>
        <v>0.51249999999999996</v>
      </c>
      <c r="AI226" s="100">
        <f>AVERAGEIFS($D$2:D226, $B$2:B226, B226)</f>
        <v>0.42857142857142855</v>
      </c>
    </row>
    <row r="227" spans="1:35" x14ac:dyDescent="0.25">
      <c r="A227" s="106">
        <v>46077</v>
      </c>
      <c r="B227" t="s">
        <v>107</v>
      </c>
      <c r="C227">
        <v>14</v>
      </c>
      <c r="D227">
        <v>0</v>
      </c>
      <c r="E227">
        <v>5</v>
      </c>
      <c r="F227">
        <v>2</v>
      </c>
      <c r="G227">
        <v>21</v>
      </c>
      <c r="H227">
        <v>10</v>
      </c>
      <c r="I227">
        <v>0.4</v>
      </c>
      <c r="J227">
        <v>0.48</v>
      </c>
      <c r="K227">
        <v>0</v>
      </c>
      <c r="L227">
        <v>0</v>
      </c>
      <c r="M227">
        <v>0</v>
      </c>
      <c r="N227">
        <v>0</v>
      </c>
      <c r="O227">
        <v>0</v>
      </c>
      <c r="P227">
        <v>0</v>
      </c>
      <c r="Q227">
        <v>0</v>
      </c>
      <c r="R227">
        <v>0</v>
      </c>
      <c r="S227">
        <v>0</v>
      </c>
      <c r="T227">
        <v>0</v>
      </c>
      <c r="U227">
        <v>0</v>
      </c>
      <c r="V227">
        <v>0</v>
      </c>
      <c r="W227">
        <v>0</v>
      </c>
      <c r="X227">
        <v>1</v>
      </c>
      <c r="Y227">
        <v>0</v>
      </c>
      <c r="Z227">
        <v>0</v>
      </c>
      <c r="AA227">
        <v>0</v>
      </c>
      <c r="AB227">
        <v>1</v>
      </c>
      <c r="AC227">
        <v>0</v>
      </c>
      <c r="AD227">
        <v>0</v>
      </c>
      <c r="AE227">
        <v>0</v>
      </c>
      <c r="AF227" s="100">
        <f>AVERAGEIFS($C$2:C227, $B$2:B227, B227)</f>
        <v>13</v>
      </c>
      <c r="AG227" s="100">
        <f>AVERAGEIFS($I$2:I227, $B$2:B227, B227)</f>
        <v>0.58333333333333337</v>
      </c>
      <c r="AH227" s="100">
        <f>AVERAGEIFS($I$2:J227, $B$2:C227, C227)</f>
        <v>0.50888888888888895</v>
      </c>
      <c r="AI227" s="100">
        <f>AVERAGEIFS($D$2:D227, $B$2:B227, B227)</f>
        <v>0.66666666666666663</v>
      </c>
    </row>
    <row r="228" spans="1:35" x14ac:dyDescent="0.25">
      <c r="A228" s="106">
        <v>46077</v>
      </c>
      <c r="B228" t="s">
        <v>13</v>
      </c>
      <c r="C228">
        <v>11</v>
      </c>
      <c r="D228">
        <v>0</v>
      </c>
      <c r="E228">
        <v>5</v>
      </c>
      <c r="F228">
        <v>2</v>
      </c>
      <c r="G228">
        <v>21</v>
      </c>
      <c r="H228">
        <v>10</v>
      </c>
      <c r="I228">
        <v>0.4</v>
      </c>
      <c r="J228">
        <v>0.48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0</v>
      </c>
      <c r="Q228">
        <v>0</v>
      </c>
      <c r="R228">
        <v>0</v>
      </c>
      <c r="S228">
        <v>0</v>
      </c>
      <c r="T228">
        <v>0</v>
      </c>
      <c r="U228">
        <v>0</v>
      </c>
      <c r="V228">
        <v>0</v>
      </c>
      <c r="W228">
        <v>0</v>
      </c>
      <c r="X228">
        <v>1</v>
      </c>
      <c r="Y228">
        <v>0</v>
      </c>
      <c r="Z228">
        <v>0</v>
      </c>
      <c r="AA228">
        <v>0</v>
      </c>
      <c r="AB228">
        <v>1</v>
      </c>
      <c r="AC228">
        <v>0</v>
      </c>
      <c r="AD228">
        <v>0</v>
      </c>
      <c r="AE228">
        <v>0</v>
      </c>
      <c r="AF228" s="100">
        <f>AVERAGEIFS($C$2:C228, $B$2:B228, B228)</f>
        <v>9.3333333333333339</v>
      </c>
      <c r="AG228" s="100">
        <f>AVERAGEIFS($I$2:I228, $B$2:B228, B228)</f>
        <v>0.46666666666666662</v>
      </c>
      <c r="AH228" s="100">
        <f>AVERAGEIFS($I$2:J228, $B$2:C228, C228)</f>
        <v>0.501</v>
      </c>
      <c r="AI228" s="100">
        <f>AVERAGEIFS($D$2:D228, $B$2:B228, B228)</f>
        <v>0.33333333333333331</v>
      </c>
    </row>
    <row r="229" spans="1:35" x14ac:dyDescent="0.25">
      <c r="A229" s="106">
        <v>46077</v>
      </c>
      <c r="B229" t="s">
        <v>14</v>
      </c>
      <c r="C229">
        <v>10</v>
      </c>
      <c r="D229">
        <v>0</v>
      </c>
      <c r="E229">
        <v>5</v>
      </c>
      <c r="F229">
        <v>2</v>
      </c>
      <c r="G229">
        <v>21</v>
      </c>
      <c r="H229">
        <v>10</v>
      </c>
      <c r="I229">
        <v>0.4</v>
      </c>
      <c r="J229">
        <v>0.48</v>
      </c>
      <c r="K229">
        <v>0</v>
      </c>
      <c r="L229">
        <v>0</v>
      </c>
      <c r="M229">
        <v>0</v>
      </c>
      <c r="N229">
        <v>0</v>
      </c>
      <c r="O229">
        <v>0</v>
      </c>
      <c r="P229">
        <v>0</v>
      </c>
      <c r="Q229">
        <v>0</v>
      </c>
      <c r="R229">
        <v>0</v>
      </c>
      <c r="S229">
        <v>0</v>
      </c>
      <c r="T229">
        <v>0</v>
      </c>
      <c r="U229">
        <v>0</v>
      </c>
      <c r="V229">
        <v>0</v>
      </c>
      <c r="W229">
        <v>0</v>
      </c>
      <c r="X229">
        <v>1</v>
      </c>
      <c r="Y229">
        <v>0</v>
      </c>
      <c r="Z229">
        <v>0</v>
      </c>
      <c r="AA229">
        <v>0</v>
      </c>
      <c r="AB229">
        <v>1</v>
      </c>
      <c r="AC229">
        <v>0</v>
      </c>
      <c r="AD229">
        <v>0</v>
      </c>
      <c r="AE229">
        <v>0</v>
      </c>
      <c r="AF229" s="100">
        <f>AVERAGEIFS($C$2:C229, $B$2:B229, B229)</f>
        <v>17.5</v>
      </c>
      <c r="AG229" s="100">
        <f>AVERAGEIFS($I$2:I229, $B$2:B229, B229)</f>
        <v>0.437</v>
      </c>
      <c r="AH229" s="100">
        <f>AVERAGEIFS($I$2:J229, $B$2:C229, C229)</f>
        <v>0.54142857142857148</v>
      </c>
      <c r="AI229" s="100">
        <f>AVERAGEIFS($D$2:D229, $B$2:B229, B229)</f>
        <v>0.5</v>
      </c>
    </row>
    <row r="230" spans="1:35" x14ac:dyDescent="0.25">
      <c r="A230" s="106">
        <v>46077</v>
      </c>
      <c r="B230" t="s">
        <v>35</v>
      </c>
      <c r="C230">
        <v>9</v>
      </c>
      <c r="D230">
        <v>0</v>
      </c>
      <c r="E230">
        <v>5</v>
      </c>
      <c r="F230">
        <v>2</v>
      </c>
      <c r="G230">
        <v>21</v>
      </c>
      <c r="H230">
        <v>10</v>
      </c>
      <c r="I230">
        <v>0.4</v>
      </c>
      <c r="J230">
        <v>0.48</v>
      </c>
      <c r="K230">
        <v>0</v>
      </c>
      <c r="L230">
        <v>0</v>
      </c>
      <c r="M230">
        <v>0</v>
      </c>
      <c r="N230">
        <v>0</v>
      </c>
      <c r="O230">
        <v>0</v>
      </c>
      <c r="P230">
        <v>0</v>
      </c>
      <c r="Q230">
        <v>0</v>
      </c>
      <c r="R230">
        <v>0</v>
      </c>
      <c r="S230">
        <v>0</v>
      </c>
      <c r="T230">
        <v>0</v>
      </c>
      <c r="U230">
        <v>0</v>
      </c>
      <c r="V230">
        <v>0</v>
      </c>
      <c r="W230">
        <v>0</v>
      </c>
      <c r="X230">
        <v>1</v>
      </c>
      <c r="Y230">
        <v>0</v>
      </c>
      <c r="Z230">
        <v>0</v>
      </c>
      <c r="AA230">
        <v>0</v>
      </c>
      <c r="AB230">
        <v>1</v>
      </c>
      <c r="AC230">
        <v>0</v>
      </c>
      <c r="AD230">
        <v>0</v>
      </c>
      <c r="AE230">
        <v>0</v>
      </c>
      <c r="AF230" s="100">
        <f>AVERAGEIFS($C$2:C230, $B$2:B230, B230)</f>
        <v>11.142857142857142</v>
      </c>
      <c r="AG230" s="100">
        <f>AVERAGEIFS($I$2:I230, $B$2:B230, B230)</f>
        <v>0.43785714285714289</v>
      </c>
      <c r="AH230" s="100">
        <f>AVERAGEIFS($I$2:J230, $B$2:C230, C230)</f>
        <v>0.41749999999999998</v>
      </c>
      <c r="AI230" s="100">
        <f>AVERAGEIFS($D$2:D230, $B$2:B230, B230)</f>
        <v>0.35714285714285715</v>
      </c>
    </row>
    <row r="231" spans="1:35" x14ac:dyDescent="0.25">
      <c r="A231" s="106">
        <v>46078</v>
      </c>
      <c r="B231" t="s">
        <v>50</v>
      </c>
      <c r="C231">
        <v>20</v>
      </c>
      <c r="D231">
        <v>0</v>
      </c>
      <c r="E231">
        <v>5</v>
      </c>
      <c r="F231">
        <v>2</v>
      </c>
      <c r="G231">
        <v>25</v>
      </c>
      <c r="H231">
        <v>12</v>
      </c>
      <c r="I231">
        <v>0.4</v>
      </c>
      <c r="J231">
        <v>0.48</v>
      </c>
      <c r="K231">
        <v>0</v>
      </c>
      <c r="L231">
        <v>0</v>
      </c>
      <c r="M231">
        <v>0</v>
      </c>
      <c r="N231">
        <v>1</v>
      </c>
      <c r="O231">
        <v>0</v>
      </c>
      <c r="P231">
        <v>0</v>
      </c>
      <c r="Q231">
        <v>0</v>
      </c>
      <c r="R231">
        <v>0</v>
      </c>
      <c r="S231">
        <v>0</v>
      </c>
      <c r="T231">
        <v>0</v>
      </c>
      <c r="U231">
        <v>0</v>
      </c>
      <c r="V231">
        <v>0</v>
      </c>
      <c r="W231">
        <v>0</v>
      </c>
      <c r="X231">
        <v>0</v>
      </c>
      <c r="Y231">
        <v>1</v>
      </c>
      <c r="Z231">
        <v>0</v>
      </c>
      <c r="AA231">
        <v>0</v>
      </c>
      <c r="AB231">
        <v>0</v>
      </c>
      <c r="AC231">
        <v>0</v>
      </c>
      <c r="AD231">
        <v>0</v>
      </c>
      <c r="AE231">
        <v>0</v>
      </c>
      <c r="AF231" s="100">
        <f>AVERAGEIFS($C$2:C231, $B$2:B231, B231)</f>
        <v>20.277777777777779</v>
      </c>
      <c r="AG231" s="100">
        <f>AVERAGEIFS($I$2:I231, $B$2:B231, B231)</f>
        <v>0.5294444444444445</v>
      </c>
      <c r="AH231" s="100">
        <f>AVERAGEIFS($I$2:J231, $B$2:C231, C231)</f>
        <v>0.48142857142857137</v>
      </c>
      <c r="AI231" s="100">
        <f>AVERAGEIFS($D$2:D231, $B$2:B231, B231)</f>
        <v>0.55555555555555558</v>
      </c>
    </row>
    <row r="232" spans="1:35" x14ac:dyDescent="0.25">
      <c r="A232" s="106">
        <v>46078</v>
      </c>
      <c r="B232" t="s">
        <v>54</v>
      </c>
      <c r="C232">
        <v>20</v>
      </c>
      <c r="D232">
        <v>0</v>
      </c>
      <c r="E232">
        <v>5</v>
      </c>
      <c r="F232">
        <v>2</v>
      </c>
      <c r="G232">
        <v>25</v>
      </c>
      <c r="H232">
        <v>12</v>
      </c>
      <c r="I232">
        <v>0.4</v>
      </c>
      <c r="J232">
        <v>0.48</v>
      </c>
      <c r="K232">
        <v>0</v>
      </c>
      <c r="L232">
        <v>0</v>
      </c>
      <c r="M232">
        <v>0</v>
      </c>
      <c r="N232">
        <v>1</v>
      </c>
      <c r="O232">
        <v>0</v>
      </c>
      <c r="P232">
        <v>0</v>
      </c>
      <c r="Q232">
        <v>0</v>
      </c>
      <c r="R232">
        <v>0</v>
      </c>
      <c r="S232">
        <v>0</v>
      </c>
      <c r="T232">
        <v>0</v>
      </c>
      <c r="U232">
        <v>0</v>
      </c>
      <c r="V232">
        <v>0</v>
      </c>
      <c r="W232">
        <v>0</v>
      </c>
      <c r="X232">
        <v>0</v>
      </c>
      <c r="Y232">
        <v>1</v>
      </c>
      <c r="Z232">
        <v>0</v>
      </c>
      <c r="AA232">
        <v>0</v>
      </c>
      <c r="AB232">
        <v>0</v>
      </c>
      <c r="AC232">
        <v>0</v>
      </c>
      <c r="AD232">
        <v>0</v>
      </c>
      <c r="AE232">
        <v>0</v>
      </c>
      <c r="AF232" s="100">
        <f>AVERAGEIFS($C$2:C232, $B$2:B232, B232)</f>
        <v>24.294117647058822</v>
      </c>
      <c r="AG232" s="100">
        <f>AVERAGEIFS($I$2:I232, $B$2:B232, B232)</f>
        <v>0.51882352941176468</v>
      </c>
      <c r="AH232" s="100">
        <f>AVERAGEIFS($I$2:J232, $B$2:C232, C232)</f>
        <v>0.48124999999999996</v>
      </c>
      <c r="AI232" s="100">
        <f>AVERAGEIFS($D$2:D232, $B$2:B232, B232)</f>
        <v>0.52941176470588236</v>
      </c>
    </row>
    <row r="233" spans="1:35" x14ac:dyDescent="0.25">
      <c r="A233" s="106">
        <v>46078</v>
      </c>
      <c r="B233" t="s">
        <v>3</v>
      </c>
      <c r="C233">
        <v>22</v>
      </c>
      <c r="D233">
        <v>0</v>
      </c>
      <c r="E233">
        <v>5</v>
      </c>
      <c r="F233">
        <v>2</v>
      </c>
      <c r="G233">
        <v>25</v>
      </c>
      <c r="H233">
        <v>12</v>
      </c>
      <c r="I233">
        <v>0.4</v>
      </c>
      <c r="J233">
        <v>0.48</v>
      </c>
      <c r="K233">
        <v>0</v>
      </c>
      <c r="L233">
        <v>0</v>
      </c>
      <c r="M233">
        <v>0</v>
      </c>
      <c r="N233">
        <v>1</v>
      </c>
      <c r="O233">
        <v>0</v>
      </c>
      <c r="P233">
        <v>0</v>
      </c>
      <c r="Q233">
        <v>0</v>
      </c>
      <c r="R233">
        <v>0</v>
      </c>
      <c r="S233">
        <v>0</v>
      </c>
      <c r="T233">
        <v>0</v>
      </c>
      <c r="U233">
        <v>0</v>
      </c>
      <c r="V233">
        <v>0</v>
      </c>
      <c r="W233">
        <v>0</v>
      </c>
      <c r="X233">
        <v>0</v>
      </c>
      <c r="Y233">
        <v>1</v>
      </c>
      <c r="Z233">
        <v>0</v>
      </c>
      <c r="AA233">
        <v>0</v>
      </c>
      <c r="AB233">
        <v>0</v>
      </c>
      <c r="AC233">
        <v>0</v>
      </c>
      <c r="AD233">
        <v>0</v>
      </c>
      <c r="AE233">
        <v>0</v>
      </c>
      <c r="AF233" s="100">
        <f>AVERAGEIFS($C$2:C233, $B$2:B233, B233)</f>
        <v>19</v>
      </c>
      <c r="AG233" s="100">
        <f>AVERAGEIFS($I$2:I233, $B$2:B233, B233)</f>
        <v>0.42857142857142855</v>
      </c>
      <c r="AH233" s="100">
        <f>AVERAGEIFS($I$2:J233, $B$2:C233, C233)</f>
        <v>0.52333333333333332</v>
      </c>
      <c r="AI233" s="100">
        <f>AVERAGEIFS($D$2:D233, $B$2:B233, B233)</f>
        <v>0.42857142857142855</v>
      </c>
    </row>
    <row r="234" spans="1:35" x14ac:dyDescent="0.25">
      <c r="A234" s="106">
        <v>46078</v>
      </c>
      <c r="B234" t="s">
        <v>107</v>
      </c>
      <c r="C234">
        <v>16</v>
      </c>
      <c r="D234">
        <v>0</v>
      </c>
      <c r="E234">
        <v>5</v>
      </c>
      <c r="F234">
        <v>2</v>
      </c>
      <c r="G234">
        <v>25</v>
      </c>
      <c r="H234">
        <v>12</v>
      </c>
      <c r="I234">
        <v>0.4</v>
      </c>
      <c r="J234">
        <v>0.48</v>
      </c>
      <c r="K234">
        <v>0</v>
      </c>
      <c r="L234">
        <v>0</v>
      </c>
      <c r="M234">
        <v>0</v>
      </c>
      <c r="N234">
        <v>1</v>
      </c>
      <c r="O234">
        <v>0</v>
      </c>
      <c r="P234">
        <v>0</v>
      </c>
      <c r="Q234">
        <v>0</v>
      </c>
      <c r="R234">
        <v>0</v>
      </c>
      <c r="S234">
        <v>0</v>
      </c>
      <c r="T234">
        <v>0</v>
      </c>
      <c r="U234">
        <v>0</v>
      </c>
      <c r="V234">
        <v>0</v>
      </c>
      <c r="W234">
        <v>0</v>
      </c>
      <c r="X234">
        <v>0</v>
      </c>
      <c r="Y234">
        <v>1</v>
      </c>
      <c r="Z234">
        <v>0</v>
      </c>
      <c r="AA234">
        <v>0</v>
      </c>
      <c r="AB234">
        <v>0</v>
      </c>
      <c r="AC234">
        <v>0</v>
      </c>
      <c r="AD234">
        <v>0</v>
      </c>
      <c r="AE234">
        <v>0</v>
      </c>
      <c r="AF234" s="100">
        <f>AVERAGEIFS($C$2:C234, $B$2:B234, B234)</f>
        <v>13.75</v>
      </c>
      <c r="AG234" s="100">
        <f>AVERAGEIFS($I$2:I234, $B$2:B234, B234)</f>
        <v>0.53749999999999998</v>
      </c>
      <c r="AH234" s="100">
        <f>AVERAGEIFS($I$2:J234, $B$2:C234, C234)</f>
        <v>0.51916666666666667</v>
      </c>
      <c r="AI234" s="100">
        <f>AVERAGEIFS($D$2:D234, $B$2:B234, B234)</f>
        <v>0.5</v>
      </c>
    </row>
    <row r="235" spans="1:35" x14ac:dyDescent="0.25">
      <c r="A235" s="106">
        <v>46078</v>
      </c>
      <c r="B235" t="s">
        <v>45</v>
      </c>
      <c r="C235">
        <v>7</v>
      </c>
      <c r="D235">
        <v>0</v>
      </c>
      <c r="E235">
        <v>5</v>
      </c>
      <c r="F235">
        <v>2</v>
      </c>
      <c r="G235">
        <v>25</v>
      </c>
      <c r="H235">
        <v>12</v>
      </c>
      <c r="I235">
        <v>0.4</v>
      </c>
      <c r="J235">
        <v>0.48</v>
      </c>
      <c r="K235">
        <v>0</v>
      </c>
      <c r="L235">
        <v>0</v>
      </c>
      <c r="M235">
        <v>0</v>
      </c>
      <c r="N235">
        <v>1</v>
      </c>
      <c r="O235">
        <v>0</v>
      </c>
      <c r="P235">
        <v>0</v>
      </c>
      <c r="Q235">
        <v>0</v>
      </c>
      <c r="R235">
        <v>0</v>
      </c>
      <c r="S235">
        <v>0</v>
      </c>
      <c r="T235">
        <v>0</v>
      </c>
      <c r="U235">
        <v>0</v>
      </c>
      <c r="V235">
        <v>0</v>
      </c>
      <c r="W235">
        <v>0</v>
      </c>
      <c r="X235">
        <v>0</v>
      </c>
      <c r="Y235">
        <v>1</v>
      </c>
      <c r="Z235">
        <v>0</v>
      </c>
      <c r="AA235">
        <v>0</v>
      </c>
      <c r="AB235">
        <v>0</v>
      </c>
      <c r="AC235">
        <v>0</v>
      </c>
      <c r="AD235">
        <v>0</v>
      </c>
      <c r="AE235">
        <v>0</v>
      </c>
      <c r="AF235" s="100">
        <f>AVERAGEIFS($C$2:C235, $B$2:B235, B235)</f>
        <v>7</v>
      </c>
      <c r="AG235" s="100">
        <f>AVERAGEIFS($I$2:I235, $B$2:B235, B235)</f>
        <v>0.60666666666666658</v>
      </c>
      <c r="AH235" s="100">
        <f>AVERAGEIFS($I$2:J235, $B$2:C235, C235)</f>
        <v>0.52375000000000016</v>
      </c>
      <c r="AI235" s="100">
        <f>AVERAGEIFS($D$2:D235, $B$2:B235, B235)</f>
        <v>0.66666666666666663</v>
      </c>
    </row>
    <row r="236" spans="1:35" x14ac:dyDescent="0.25">
      <c r="A236" s="106">
        <v>46078</v>
      </c>
      <c r="B236" t="s">
        <v>6</v>
      </c>
      <c r="C236">
        <v>20</v>
      </c>
      <c r="D236">
        <v>1</v>
      </c>
      <c r="E236">
        <v>5</v>
      </c>
      <c r="F236">
        <v>3</v>
      </c>
      <c r="G236">
        <v>25</v>
      </c>
      <c r="H236">
        <v>13</v>
      </c>
      <c r="I236">
        <v>0.6</v>
      </c>
      <c r="J236">
        <v>0.52</v>
      </c>
      <c r="K236">
        <v>0</v>
      </c>
      <c r="L236">
        <v>0</v>
      </c>
      <c r="M236">
        <v>1</v>
      </c>
      <c r="N236">
        <v>0</v>
      </c>
      <c r="O236">
        <v>0</v>
      </c>
      <c r="P236">
        <v>0</v>
      </c>
      <c r="Q236">
        <v>0</v>
      </c>
      <c r="R236">
        <v>1</v>
      </c>
      <c r="S236">
        <v>0</v>
      </c>
      <c r="T236">
        <v>0</v>
      </c>
      <c r="U236">
        <v>0</v>
      </c>
      <c r="V236">
        <v>0</v>
      </c>
      <c r="W236">
        <v>0</v>
      </c>
      <c r="X236">
        <v>0</v>
      </c>
      <c r="Y236">
        <v>0</v>
      </c>
      <c r="Z236">
        <v>0</v>
      </c>
      <c r="AA236">
        <v>0</v>
      </c>
      <c r="AB236">
        <v>0</v>
      </c>
      <c r="AC236">
        <v>0</v>
      </c>
      <c r="AD236">
        <v>0</v>
      </c>
      <c r="AE236">
        <v>1</v>
      </c>
      <c r="AF236" s="100">
        <f>AVERAGEIFS($C$2:C236, $B$2:B236, B236)</f>
        <v>22.125</v>
      </c>
      <c r="AG236" s="100">
        <f>AVERAGEIFS($I$2:I236, $B$2:B236, B236)</f>
        <v>0.64874999999999994</v>
      </c>
      <c r="AH236" s="100">
        <f>AVERAGEIFS($I$2:J236, $B$2:C236, C236)</f>
        <v>0.48555555555555546</v>
      </c>
      <c r="AI236" s="100">
        <f>AVERAGEIFS($D$2:D236, $B$2:B236, B236)</f>
        <v>0.75</v>
      </c>
    </row>
    <row r="237" spans="1:35" x14ac:dyDescent="0.25">
      <c r="A237" s="106">
        <v>46078</v>
      </c>
      <c r="B237" t="s">
        <v>46</v>
      </c>
      <c r="C237">
        <v>26</v>
      </c>
      <c r="D237">
        <v>1</v>
      </c>
      <c r="E237">
        <v>5</v>
      </c>
      <c r="F237">
        <v>3</v>
      </c>
      <c r="G237">
        <v>25</v>
      </c>
      <c r="H237">
        <v>13</v>
      </c>
      <c r="I237">
        <v>0.6</v>
      </c>
      <c r="J237">
        <v>0.52</v>
      </c>
      <c r="K237">
        <v>0</v>
      </c>
      <c r="L237">
        <v>0</v>
      </c>
      <c r="M237">
        <v>1</v>
      </c>
      <c r="N237">
        <v>0</v>
      </c>
      <c r="O237">
        <v>0</v>
      </c>
      <c r="P237">
        <v>0</v>
      </c>
      <c r="Q237">
        <v>0</v>
      </c>
      <c r="R237">
        <v>1</v>
      </c>
      <c r="S237">
        <v>0</v>
      </c>
      <c r="T237">
        <v>0</v>
      </c>
      <c r="U237">
        <v>0</v>
      </c>
      <c r="V237">
        <v>0</v>
      </c>
      <c r="W237">
        <v>0</v>
      </c>
      <c r="X237">
        <v>0</v>
      </c>
      <c r="Y237">
        <v>0</v>
      </c>
      <c r="Z237">
        <v>0</v>
      </c>
      <c r="AA237">
        <v>0</v>
      </c>
      <c r="AB237">
        <v>0</v>
      </c>
      <c r="AC237">
        <v>0</v>
      </c>
      <c r="AD237">
        <v>0</v>
      </c>
      <c r="AE237">
        <v>1</v>
      </c>
      <c r="AF237" s="100">
        <f>AVERAGEIFS($C$2:C237, $B$2:B237, B237)</f>
        <v>19.818181818181817</v>
      </c>
      <c r="AG237" s="100">
        <f>AVERAGEIFS($I$2:I237, $B$2:B237, B237)</f>
        <v>0.48181818181818181</v>
      </c>
      <c r="AH237" s="100">
        <f>AVERAGEIFS($I$2:J237, $B$2:C237, C237)</f>
        <v>0.54666666666666675</v>
      </c>
      <c r="AI237" s="100">
        <f>AVERAGEIFS($D$2:D237, $B$2:B237, B237)</f>
        <v>0.36363636363636365</v>
      </c>
    </row>
    <row r="238" spans="1:35" x14ac:dyDescent="0.25">
      <c r="A238" s="106">
        <v>46078</v>
      </c>
      <c r="B238" t="s">
        <v>70</v>
      </c>
      <c r="C238">
        <v>8</v>
      </c>
      <c r="D238">
        <v>1</v>
      </c>
      <c r="E238">
        <v>5</v>
      </c>
      <c r="F238">
        <v>3</v>
      </c>
      <c r="G238">
        <v>25</v>
      </c>
      <c r="H238">
        <v>13</v>
      </c>
      <c r="I238">
        <v>0.6</v>
      </c>
      <c r="J238">
        <v>0.52</v>
      </c>
      <c r="K238">
        <v>0</v>
      </c>
      <c r="L238">
        <v>0</v>
      </c>
      <c r="M238">
        <v>1</v>
      </c>
      <c r="N238">
        <v>0</v>
      </c>
      <c r="O238">
        <v>0</v>
      </c>
      <c r="P238">
        <v>0</v>
      </c>
      <c r="Q238">
        <v>0</v>
      </c>
      <c r="R238">
        <v>1</v>
      </c>
      <c r="S238">
        <v>0</v>
      </c>
      <c r="T238">
        <v>0</v>
      </c>
      <c r="U238">
        <v>0</v>
      </c>
      <c r="V238">
        <v>0</v>
      </c>
      <c r="W238">
        <v>0</v>
      </c>
      <c r="X238">
        <v>0</v>
      </c>
      <c r="Y238">
        <v>0</v>
      </c>
      <c r="Z238">
        <v>0</v>
      </c>
      <c r="AA238">
        <v>0</v>
      </c>
      <c r="AB238">
        <v>0</v>
      </c>
      <c r="AC238">
        <v>0</v>
      </c>
      <c r="AD238">
        <v>0</v>
      </c>
      <c r="AE238">
        <v>1</v>
      </c>
      <c r="AF238" s="100">
        <f>AVERAGEIFS($C$2:C238, $B$2:B238, B238)</f>
        <v>11</v>
      </c>
      <c r="AG238" s="100">
        <f>AVERAGEIFS($I$2:I238, $B$2:B238, B238)</f>
        <v>0.73333333333333339</v>
      </c>
      <c r="AH238" s="100">
        <f>AVERAGEIFS($I$2:J238, $B$2:C238, C238)</f>
        <v>0.54600000000000004</v>
      </c>
      <c r="AI238" s="100">
        <f>AVERAGEIFS($D$2:D238, $B$2:B238, B238)</f>
        <v>1</v>
      </c>
    </row>
    <row r="239" spans="1:35" x14ac:dyDescent="0.25">
      <c r="A239" s="106">
        <v>46078</v>
      </c>
      <c r="B239" t="s">
        <v>40</v>
      </c>
      <c r="C239">
        <v>24</v>
      </c>
      <c r="D239">
        <v>1</v>
      </c>
      <c r="E239">
        <v>5</v>
      </c>
      <c r="F239">
        <v>3</v>
      </c>
      <c r="G239">
        <v>25</v>
      </c>
      <c r="H239">
        <v>13</v>
      </c>
      <c r="I239">
        <v>0.6</v>
      </c>
      <c r="J239">
        <v>0.52</v>
      </c>
      <c r="K239">
        <v>0</v>
      </c>
      <c r="L239">
        <v>0</v>
      </c>
      <c r="M239">
        <v>1</v>
      </c>
      <c r="N239">
        <v>0</v>
      </c>
      <c r="O239">
        <v>0</v>
      </c>
      <c r="P239">
        <v>0</v>
      </c>
      <c r="Q239">
        <v>0</v>
      </c>
      <c r="R239">
        <v>1</v>
      </c>
      <c r="S239">
        <v>0</v>
      </c>
      <c r="T239">
        <v>0</v>
      </c>
      <c r="U239">
        <v>0</v>
      </c>
      <c r="V239">
        <v>0</v>
      </c>
      <c r="W239">
        <v>0</v>
      </c>
      <c r="X239">
        <v>0</v>
      </c>
      <c r="Y239">
        <v>0</v>
      </c>
      <c r="Z239">
        <v>0</v>
      </c>
      <c r="AA239">
        <v>0</v>
      </c>
      <c r="AB239">
        <v>0</v>
      </c>
      <c r="AC239">
        <v>0</v>
      </c>
      <c r="AD239">
        <v>0</v>
      </c>
      <c r="AE239">
        <v>1</v>
      </c>
      <c r="AF239" s="100">
        <f>AVERAGEIFS($C$2:C239, $B$2:B239, B239)</f>
        <v>17</v>
      </c>
      <c r="AG239" s="100">
        <f>AVERAGEIFS($I$2:I239, $B$2:B239, B239)</f>
        <v>0.39500000000000002</v>
      </c>
      <c r="AH239" s="100">
        <f>AVERAGEIFS($I$2:J239, $B$2:C239, C239)</f>
        <v>0.57555555555555549</v>
      </c>
      <c r="AI239" s="100">
        <f>AVERAGEIFS($D$2:D239, $B$2:B239, B239)</f>
        <v>0.4</v>
      </c>
    </row>
    <row r="240" spans="1:35" x14ac:dyDescent="0.25">
      <c r="A240" s="106">
        <v>46078</v>
      </c>
      <c r="B240" t="s">
        <v>35</v>
      </c>
      <c r="C240">
        <v>16</v>
      </c>
      <c r="D240">
        <v>1</v>
      </c>
      <c r="E240">
        <v>5</v>
      </c>
      <c r="F240">
        <v>3</v>
      </c>
      <c r="G240">
        <v>25</v>
      </c>
      <c r="H240">
        <v>13</v>
      </c>
      <c r="I240">
        <v>0.6</v>
      </c>
      <c r="J240">
        <v>0.52</v>
      </c>
      <c r="K240">
        <v>0</v>
      </c>
      <c r="L240">
        <v>0</v>
      </c>
      <c r="M240">
        <v>1</v>
      </c>
      <c r="N240">
        <v>0</v>
      </c>
      <c r="O240">
        <v>0</v>
      </c>
      <c r="P240">
        <v>0</v>
      </c>
      <c r="Q240">
        <v>0</v>
      </c>
      <c r="R240">
        <v>1</v>
      </c>
      <c r="S240">
        <v>0</v>
      </c>
      <c r="T240">
        <v>0</v>
      </c>
      <c r="U240">
        <v>0</v>
      </c>
      <c r="V240">
        <v>0</v>
      </c>
      <c r="W240">
        <v>0</v>
      </c>
      <c r="X240">
        <v>0</v>
      </c>
      <c r="Y240">
        <v>0</v>
      </c>
      <c r="Z240">
        <v>0</v>
      </c>
      <c r="AA240">
        <v>0</v>
      </c>
      <c r="AB240">
        <v>0</v>
      </c>
      <c r="AC240">
        <v>0</v>
      </c>
      <c r="AD240">
        <v>0</v>
      </c>
      <c r="AE240">
        <v>1</v>
      </c>
      <c r="AF240" s="100">
        <f>AVERAGEIFS($C$2:C240, $B$2:B240, B240)</f>
        <v>11.466666666666667</v>
      </c>
      <c r="AG240" s="100">
        <f>AVERAGEIFS($I$2:I240, $B$2:B240, B240)</f>
        <v>0.44866666666666671</v>
      </c>
      <c r="AH240" s="100">
        <f>AVERAGEIFS($I$2:J240, $B$2:C240, C240)</f>
        <v>0.51923076923076927</v>
      </c>
      <c r="AI240" s="100">
        <f>AVERAGEIFS($D$2:D240, $B$2:B240, B240)</f>
        <v>0.4</v>
      </c>
    </row>
    <row r="241" spans="1:35" x14ac:dyDescent="0.25">
      <c r="A241" s="106">
        <v>46079</v>
      </c>
      <c r="B241" t="s">
        <v>4</v>
      </c>
      <c r="C241">
        <v>29</v>
      </c>
      <c r="D241">
        <v>1</v>
      </c>
      <c r="E241">
        <v>4</v>
      </c>
      <c r="F241">
        <v>3</v>
      </c>
      <c r="G241">
        <v>19</v>
      </c>
      <c r="H241">
        <v>11</v>
      </c>
      <c r="I241">
        <v>0.75</v>
      </c>
      <c r="J241">
        <v>0.57999999999999996</v>
      </c>
      <c r="K241">
        <v>0</v>
      </c>
      <c r="L241">
        <v>0</v>
      </c>
      <c r="M241">
        <v>1</v>
      </c>
      <c r="N241">
        <v>1</v>
      </c>
      <c r="O241">
        <v>0</v>
      </c>
      <c r="P241">
        <v>0</v>
      </c>
      <c r="Q241">
        <v>0</v>
      </c>
      <c r="R241">
        <v>0</v>
      </c>
      <c r="S241">
        <v>0</v>
      </c>
      <c r="T241">
        <v>0</v>
      </c>
      <c r="U241">
        <v>0</v>
      </c>
      <c r="V241">
        <v>0</v>
      </c>
      <c r="W241">
        <v>0</v>
      </c>
      <c r="X241">
        <v>1</v>
      </c>
      <c r="Y241">
        <v>0</v>
      </c>
      <c r="Z241">
        <v>0</v>
      </c>
      <c r="AA241">
        <v>0</v>
      </c>
      <c r="AB241">
        <v>0</v>
      </c>
      <c r="AC241">
        <v>0</v>
      </c>
      <c r="AD241">
        <v>0</v>
      </c>
      <c r="AE241">
        <v>0</v>
      </c>
      <c r="AF241" s="100">
        <f>AVERAGEIFS($C$2:C241, $B$2:B241, B241)</f>
        <v>26.333333333333332</v>
      </c>
      <c r="AG241" s="100">
        <f>AVERAGEIFS($I$2:I241, $B$2:B241, B241)</f>
        <v>0.3666666666666667</v>
      </c>
      <c r="AH241" s="100">
        <f>AVERAGEIFS($I$2:J241, $B$2:C241, C241)</f>
        <v>0.56500000000000006</v>
      </c>
      <c r="AI241" s="100">
        <f>AVERAGEIFS($D$2:D241, $B$2:B241, B241)</f>
        <v>0.16666666666666666</v>
      </c>
    </row>
    <row r="242" spans="1:35" x14ac:dyDescent="0.25">
      <c r="A242" s="106">
        <v>46079</v>
      </c>
      <c r="B242" t="s">
        <v>2</v>
      </c>
      <c r="C242">
        <v>33</v>
      </c>
      <c r="D242">
        <v>1</v>
      </c>
      <c r="E242">
        <v>4</v>
      </c>
      <c r="F242">
        <v>3</v>
      </c>
      <c r="G242">
        <v>19</v>
      </c>
      <c r="H242">
        <v>11</v>
      </c>
      <c r="I242">
        <v>0.75</v>
      </c>
      <c r="J242">
        <v>0.57999999999999996</v>
      </c>
      <c r="K242">
        <v>0</v>
      </c>
      <c r="L242">
        <v>0</v>
      </c>
      <c r="M242">
        <v>1</v>
      </c>
      <c r="N242">
        <v>1</v>
      </c>
      <c r="O242">
        <v>0</v>
      </c>
      <c r="P242">
        <v>0</v>
      </c>
      <c r="Q242">
        <v>0</v>
      </c>
      <c r="R242">
        <v>0</v>
      </c>
      <c r="S242">
        <v>0</v>
      </c>
      <c r="T242">
        <v>0</v>
      </c>
      <c r="U242">
        <v>0</v>
      </c>
      <c r="V242">
        <v>0</v>
      </c>
      <c r="W242">
        <v>0</v>
      </c>
      <c r="X242">
        <v>1</v>
      </c>
      <c r="Y242">
        <v>0</v>
      </c>
      <c r="Z242">
        <v>0</v>
      </c>
      <c r="AA242">
        <v>0</v>
      </c>
      <c r="AB242">
        <v>0</v>
      </c>
      <c r="AC242">
        <v>0</v>
      </c>
      <c r="AD242">
        <v>0</v>
      </c>
      <c r="AE242">
        <v>0</v>
      </c>
      <c r="AF242" s="100">
        <f>AVERAGEIFS($C$2:C242, $B$2:B242, B242)</f>
        <v>24.76923076923077</v>
      </c>
      <c r="AG242" s="100">
        <f>AVERAGEIFS($I$2:I242, $B$2:B242, B242)</f>
        <v>0.49846153846153851</v>
      </c>
      <c r="AH242" s="100">
        <f>AVERAGEIFS($I$2:J242, $B$2:C242, C242)</f>
        <v>0.57999999999999996</v>
      </c>
      <c r="AI242" s="100">
        <f>AVERAGEIFS($D$2:D242, $B$2:B242, B242)</f>
        <v>0.46153846153846156</v>
      </c>
    </row>
    <row r="243" spans="1:35" x14ac:dyDescent="0.25">
      <c r="A243" s="106">
        <v>46079</v>
      </c>
      <c r="B243" t="s">
        <v>40</v>
      </c>
      <c r="C243">
        <v>29</v>
      </c>
      <c r="D243">
        <v>1</v>
      </c>
      <c r="E243">
        <v>4</v>
      </c>
      <c r="F243">
        <v>3</v>
      </c>
      <c r="G243">
        <v>19</v>
      </c>
      <c r="H243">
        <v>11</v>
      </c>
      <c r="I243">
        <v>0.75</v>
      </c>
      <c r="J243">
        <v>0.57999999999999996</v>
      </c>
      <c r="K243">
        <v>0</v>
      </c>
      <c r="L243">
        <v>0</v>
      </c>
      <c r="M243">
        <v>1</v>
      </c>
      <c r="N243">
        <v>1</v>
      </c>
      <c r="O243">
        <v>0</v>
      </c>
      <c r="P243">
        <v>0</v>
      </c>
      <c r="Q243">
        <v>0</v>
      </c>
      <c r="R243">
        <v>0</v>
      </c>
      <c r="S243">
        <v>0</v>
      </c>
      <c r="T243">
        <v>0</v>
      </c>
      <c r="U243">
        <v>0</v>
      </c>
      <c r="V243">
        <v>0</v>
      </c>
      <c r="W243">
        <v>0</v>
      </c>
      <c r="X243">
        <v>1</v>
      </c>
      <c r="Y243">
        <v>0</v>
      </c>
      <c r="Z243">
        <v>0</v>
      </c>
      <c r="AA243">
        <v>0</v>
      </c>
      <c r="AB243">
        <v>0</v>
      </c>
      <c r="AC243">
        <v>0</v>
      </c>
      <c r="AD243">
        <v>0</v>
      </c>
      <c r="AE243">
        <v>0</v>
      </c>
      <c r="AF243" s="100">
        <f>AVERAGEIFS($C$2:C243, $B$2:B243, B243)</f>
        <v>18.09090909090909</v>
      </c>
      <c r="AG243" s="100">
        <f>AVERAGEIFS($I$2:I243, $B$2:B243, B243)</f>
        <v>0.4272727272727273</v>
      </c>
      <c r="AH243" s="100">
        <f>AVERAGEIFS($I$2:J243, $B$2:C243, C243)</f>
        <v>0.56800000000000006</v>
      </c>
      <c r="AI243" s="100">
        <f>AVERAGEIFS($D$2:D243, $B$2:B243, B243)</f>
        <v>0.45454545454545453</v>
      </c>
    </row>
    <row r="244" spans="1:35" x14ac:dyDescent="0.25">
      <c r="A244" s="106">
        <v>46079</v>
      </c>
      <c r="B244" t="s">
        <v>44</v>
      </c>
      <c r="C244">
        <v>31</v>
      </c>
      <c r="D244">
        <v>1</v>
      </c>
      <c r="E244">
        <v>4</v>
      </c>
      <c r="F244">
        <v>3</v>
      </c>
      <c r="G244">
        <v>19</v>
      </c>
      <c r="H244">
        <v>11</v>
      </c>
      <c r="I244">
        <v>0.75</v>
      </c>
      <c r="J244">
        <v>0.57999999999999996</v>
      </c>
      <c r="K244">
        <v>0</v>
      </c>
      <c r="L244">
        <v>0</v>
      </c>
      <c r="M244">
        <v>1</v>
      </c>
      <c r="N244">
        <v>1</v>
      </c>
      <c r="O244">
        <v>0</v>
      </c>
      <c r="P244">
        <v>0</v>
      </c>
      <c r="Q244">
        <v>0</v>
      </c>
      <c r="R244">
        <v>0</v>
      </c>
      <c r="S244">
        <v>0</v>
      </c>
      <c r="T244">
        <v>0</v>
      </c>
      <c r="U244">
        <v>0</v>
      </c>
      <c r="V244">
        <v>0</v>
      </c>
      <c r="W244">
        <v>0</v>
      </c>
      <c r="X244">
        <v>1</v>
      </c>
      <c r="Y244">
        <v>0</v>
      </c>
      <c r="Z244">
        <v>0</v>
      </c>
      <c r="AA244">
        <v>0</v>
      </c>
      <c r="AB244">
        <v>0</v>
      </c>
      <c r="AC244">
        <v>0</v>
      </c>
      <c r="AD244">
        <v>0</v>
      </c>
      <c r="AE244">
        <v>0</v>
      </c>
      <c r="AF244" s="100">
        <f>AVERAGEIFS($C$2:C244, $B$2:B244, B244)</f>
        <v>19.25</v>
      </c>
      <c r="AG244" s="100">
        <f>AVERAGEIFS($I$2:I244, $B$2:B244, B244)</f>
        <v>0.4375</v>
      </c>
      <c r="AH244" s="100">
        <f>AVERAGEIFS($I$2:J244, $B$2:C244, C244)</f>
        <v>0.56399999999999995</v>
      </c>
      <c r="AI244" s="100">
        <f>AVERAGEIFS($D$2:D244, $B$2:B244, B244)</f>
        <v>0.5</v>
      </c>
    </row>
    <row r="245" spans="1:35" x14ac:dyDescent="0.25">
      <c r="A245" s="106">
        <v>46079</v>
      </c>
      <c r="B245" t="s">
        <v>107</v>
      </c>
      <c r="C245">
        <v>24</v>
      </c>
      <c r="D245">
        <v>1</v>
      </c>
      <c r="E245">
        <v>4</v>
      </c>
      <c r="F245">
        <v>3</v>
      </c>
      <c r="G245">
        <v>19</v>
      </c>
      <c r="H245">
        <v>11</v>
      </c>
      <c r="I245">
        <v>0.75</v>
      </c>
      <c r="J245">
        <v>0.57999999999999996</v>
      </c>
      <c r="K245">
        <v>0</v>
      </c>
      <c r="L245">
        <v>0</v>
      </c>
      <c r="M245">
        <v>1</v>
      </c>
      <c r="N245">
        <v>1</v>
      </c>
      <c r="O245">
        <v>0</v>
      </c>
      <c r="P245">
        <v>0</v>
      </c>
      <c r="Q245">
        <v>0</v>
      </c>
      <c r="R245">
        <v>0</v>
      </c>
      <c r="S245">
        <v>0</v>
      </c>
      <c r="T245">
        <v>0</v>
      </c>
      <c r="U245">
        <v>0</v>
      </c>
      <c r="V245">
        <v>0</v>
      </c>
      <c r="W245">
        <v>0</v>
      </c>
      <c r="X245">
        <v>1</v>
      </c>
      <c r="Y245">
        <v>0</v>
      </c>
      <c r="Z245">
        <v>0</v>
      </c>
      <c r="AA245">
        <v>0</v>
      </c>
      <c r="AB245">
        <v>0</v>
      </c>
      <c r="AC245">
        <v>0</v>
      </c>
      <c r="AD245">
        <v>0</v>
      </c>
      <c r="AE245">
        <v>0</v>
      </c>
      <c r="AF245" s="100">
        <f>AVERAGEIFS($C$2:C245, $B$2:B245, B245)</f>
        <v>15.8</v>
      </c>
      <c r="AG245" s="100">
        <f>AVERAGEIFS($I$2:I245, $B$2:B245, B245)</f>
        <v>0.57999999999999996</v>
      </c>
      <c r="AH245" s="100">
        <f>AVERAGEIFS($I$2:J245, $B$2:C245, C245)</f>
        <v>0.57599999999999996</v>
      </c>
      <c r="AI245" s="100">
        <f>AVERAGEIFS($D$2:D245, $B$2:B245, B245)</f>
        <v>0.6</v>
      </c>
    </row>
    <row r="246" spans="1:35" x14ac:dyDescent="0.25">
      <c r="A246" s="106">
        <v>46079</v>
      </c>
      <c r="B246" t="s">
        <v>27</v>
      </c>
      <c r="C246">
        <v>17</v>
      </c>
      <c r="D246">
        <v>1</v>
      </c>
      <c r="E246">
        <v>4</v>
      </c>
      <c r="F246">
        <v>3</v>
      </c>
      <c r="G246">
        <v>19</v>
      </c>
      <c r="H246">
        <v>11</v>
      </c>
      <c r="I246">
        <v>0.75</v>
      </c>
      <c r="J246">
        <v>0.57999999999999996</v>
      </c>
      <c r="K246">
        <v>0</v>
      </c>
      <c r="L246">
        <v>0</v>
      </c>
      <c r="M246">
        <v>1</v>
      </c>
      <c r="N246">
        <v>1</v>
      </c>
      <c r="O246">
        <v>0</v>
      </c>
      <c r="P246">
        <v>0</v>
      </c>
      <c r="Q246">
        <v>0</v>
      </c>
      <c r="R246">
        <v>0</v>
      </c>
      <c r="S246">
        <v>0</v>
      </c>
      <c r="T246">
        <v>0</v>
      </c>
      <c r="U246">
        <v>0</v>
      </c>
      <c r="V246">
        <v>0</v>
      </c>
      <c r="W246">
        <v>0</v>
      </c>
      <c r="X246">
        <v>1</v>
      </c>
      <c r="Y246">
        <v>0</v>
      </c>
      <c r="Z246">
        <v>0</v>
      </c>
      <c r="AA246">
        <v>0</v>
      </c>
      <c r="AB246">
        <v>0</v>
      </c>
      <c r="AC246">
        <v>0</v>
      </c>
      <c r="AD246">
        <v>0</v>
      </c>
      <c r="AE246">
        <v>0</v>
      </c>
      <c r="AF246" s="100">
        <f>AVERAGEIFS($C$2:C246, $B$2:B246, B246)</f>
        <v>15.25</v>
      </c>
      <c r="AG246" s="100">
        <f>AVERAGEIFS($I$2:I246, $B$2:B246, B246)</f>
        <v>0.53749999999999998</v>
      </c>
      <c r="AH246" s="100">
        <f>AVERAGEIFS($I$2:J246, $B$2:C246, C246)</f>
        <v>0.4546153846153847</v>
      </c>
      <c r="AI246" s="100">
        <f>AVERAGEIFS($D$2:D246, $B$2:B246, B246)</f>
        <v>0.5</v>
      </c>
    </row>
    <row r="247" spans="1:35" x14ac:dyDescent="0.25">
      <c r="A247" s="106">
        <v>46079</v>
      </c>
      <c r="B247" t="s">
        <v>45</v>
      </c>
      <c r="C247">
        <v>13</v>
      </c>
      <c r="D247">
        <v>1</v>
      </c>
      <c r="E247">
        <v>4</v>
      </c>
      <c r="F247">
        <v>3</v>
      </c>
      <c r="G247">
        <v>19</v>
      </c>
      <c r="H247">
        <v>11</v>
      </c>
      <c r="I247">
        <v>0.75</v>
      </c>
      <c r="J247">
        <v>0.57999999999999996</v>
      </c>
      <c r="K247">
        <v>0</v>
      </c>
      <c r="L247">
        <v>0</v>
      </c>
      <c r="M247">
        <v>1</v>
      </c>
      <c r="N247">
        <v>1</v>
      </c>
      <c r="O247">
        <v>0</v>
      </c>
      <c r="P247">
        <v>0</v>
      </c>
      <c r="Q247">
        <v>0</v>
      </c>
      <c r="R247">
        <v>0</v>
      </c>
      <c r="S247">
        <v>0</v>
      </c>
      <c r="T247">
        <v>0</v>
      </c>
      <c r="U247">
        <v>0</v>
      </c>
      <c r="V247">
        <v>0</v>
      </c>
      <c r="W247">
        <v>0</v>
      </c>
      <c r="X247">
        <v>1</v>
      </c>
      <c r="Y247">
        <v>0</v>
      </c>
      <c r="Z247">
        <v>0</v>
      </c>
      <c r="AA247">
        <v>0</v>
      </c>
      <c r="AB247">
        <v>0</v>
      </c>
      <c r="AC247">
        <v>0</v>
      </c>
      <c r="AD247">
        <v>0</v>
      </c>
      <c r="AE247">
        <v>0</v>
      </c>
      <c r="AF247" s="100">
        <f>AVERAGEIFS($C$2:C247, $B$2:B247, B247)</f>
        <v>8.5</v>
      </c>
      <c r="AG247" s="100">
        <f>AVERAGEIFS($I$2:I247, $B$2:B247, B247)</f>
        <v>0.64249999999999996</v>
      </c>
      <c r="AH247" s="100">
        <f>AVERAGEIFS($I$2:J247, $B$2:C247, C247)</f>
        <v>0.53899999999999992</v>
      </c>
      <c r="AI247" s="100">
        <f>AVERAGEIFS($D$2:D247, $B$2:B247, B247)</f>
        <v>0.75</v>
      </c>
    </row>
    <row r="248" spans="1:35" x14ac:dyDescent="0.25">
      <c r="A248" s="106">
        <v>46079</v>
      </c>
      <c r="B248" t="s">
        <v>113</v>
      </c>
      <c r="C248">
        <v>18</v>
      </c>
      <c r="D248">
        <v>1</v>
      </c>
      <c r="E248">
        <v>4</v>
      </c>
      <c r="F248">
        <v>3</v>
      </c>
      <c r="G248">
        <v>19</v>
      </c>
      <c r="H248">
        <v>11</v>
      </c>
      <c r="I248">
        <v>0.75</v>
      </c>
      <c r="J248">
        <v>0.57999999999999996</v>
      </c>
      <c r="K248">
        <v>0</v>
      </c>
      <c r="L248">
        <v>0</v>
      </c>
      <c r="M248">
        <v>1</v>
      </c>
      <c r="N248">
        <v>1</v>
      </c>
      <c r="O248">
        <v>0</v>
      </c>
      <c r="P248">
        <v>0</v>
      </c>
      <c r="Q248">
        <v>0</v>
      </c>
      <c r="R248">
        <v>0</v>
      </c>
      <c r="S248">
        <v>0</v>
      </c>
      <c r="T248">
        <v>0</v>
      </c>
      <c r="U248">
        <v>0</v>
      </c>
      <c r="V248">
        <v>0</v>
      </c>
      <c r="W248">
        <v>0</v>
      </c>
      <c r="X248">
        <v>1</v>
      </c>
      <c r="Y248">
        <v>0</v>
      </c>
      <c r="Z248">
        <v>0</v>
      </c>
      <c r="AA248">
        <v>0</v>
      </c>
      <c r="AB248">
        <v>0</v>
      </c>
      <c r="AC248">
        <v>0</v>
      </c>
      <c r="AD248">
        <v>0</v>
      </c>
      <c r="AE248">
        <v>0</v>
      </c>
      <c r="AF248" s="100">
        <f>AVERAGEIFS($C$2:C248, $B$2:B248, B248)</f>
        <v>21.333333333333332</v>
      </c>
      <c r="AG248" s="100">
        <f>AVERAGEIFS($I$2:I248, $B$2:B248, B248)</f>
        <v>0.58333333333333337</v>
      </c>
      <c r="AH248" s="100">
        <f>AVERAGEIFS($I$2:J248, $B$2:C248, C248)</f>
        <v>0.46769230769230768</v>
      </c>
      <c r="AI248" s="100">
        <f>AVERAGEIFS($D$2:D248, $B$2:B248, B248)</f>
        <v>0.66666666666666663</v>
      </c>
    </row>
    <row r="249" spans="1:35" x14ac:dyDescent="0.25">
      <c r="A249" s="106">
        <v>46079</v>
      </c>
      <c r="B249" t="s">
        <v>1</v>
      </c>
      <c r="C249">
        <v>44</v>
      </c>
      <c r="D249">
        <v>0</v>
      </c>
      <c r="E249">
        <v>4</v>
      </c>
      <c r="F249">
        <v>1</v>
      </c>
      <c r="G249">
        <v>19</v>
      </c>
      <c r="H249">
        <v>8</v>
      </c>
      <c r="I249">
        <v>0.25</v>
      </c>
      <c r="J249">
        <v>0.42</v>
      </c>
      <c r="K249">
        <v>0</v>
      </c>
      <c r="L249">
        <v>0</v>
      </c>
      <c r="M249">
        <v>0</v>
      </c>
      <c r="N249">
        <v>0</v>
      </c>
      <c r="O249">
        <v>1</v>
      </c>
      <c r="P249">
        <v>0</v>
      </c>
      <c r="Q249">
        <v>0</v>
      </c>
      <c r="R249">
        <v>0</v>
      </c>
      <c r="S249">
        <v>0</v>
      </c>
      <c r="T249">
        <v>0</v>
      </c>
      <c r="U249">
        <v>0</v>
      </c>
      <c r="V249">
        <v>0</v>
      </c>
      <c r="W249">
        <v>0</v>
      </c>
      <c r="X249">
        <v>0</v>
      </c>
      <c r="Y249">
        <v>0</v>
      </c>
      <c r="Z249">
        <v>0</v>
      </c>
      <c r="AA249">
        <v>0</v>
      </c>
      <c r="AB249">
        <v>0</v>
      </c>
      <c r="AC249">
        <v>0</v>
      </c>
      <c r="AD249">
        <v>0</v>
      </c>
      <c r="AE249">
        <v>0</v>
      </c>
      <c r="AF249" s="100">
        <f>AVERAGEIFS($C$2:C249, $B$2:B249, B249)</f>
        <v>29.875</v>
      </c>
      <c r="AG249" s="100">
        <f>AVERAGEIFS($I$2:I249, $B$2:B249, B249)</f>
        <v>0.4</v>
      </c>
      <c r="AH249" s="100">
        <f>AVERAGEIFS($I$2:J249, $B$2:C249, C249)</f>
        <v>0.42</v>
      </c>
      <c r="AI249" s="100">
        <f>AVERAGEIFS($D$2:D249, $B$2:B249, B249)</f>
        <v>0.5</v>
      </c>
    </row>
    <row r="250" spans="1:35" x14ac:dyDescent="0.25">
      <c r="A250" s="106">
        <v>46079</v>
      </c>
      <c r="B250" t="s">
        <v>54</v>
      </c>
      <c r="C250">
        <v>36</v>
      </c>
      <c r="D250">
        <v>0</v>
      </c>
      <c r="E250">
        <v>4</v>
      </c>
      <c r="F250">
        <v>1</v>
      </c>
      <c r="G250">
        <v>19</v>
      </c>
      <c r="H250">
        <v>8</v>
      </c>
      <c r="I250">
        <v>0.25</v>
      </c>
      <c r="J250">
        <v>0.42</v>
      </c>
      <c r="K250">
        <v>0</v>
      </c>
      <c r="L250">
        <v>0</v>
      </c>
      <c r="M250">
        <v>0</v>
      </c>
      <c r="N250">
        <v>0</v>
      </c>
      <c r="O250">
        <v>1</v>
      </c>
      <c r="P250">
        <v>0</v>
      </c>
      <c r="Q250">
        <v>0</v>
      </c>
      <c r="R250">
        <v>0</v>
      </c>
      <c r="S250">
        <v>0</v>
      </c>
      <c r="T250">
        <v>0</v>
      </c>
      <c r="U250">
        <v>0</v>
      </c>
      <c r="V250">
        <v>0</v>
      </c>
      <c r="W250">
        <v>0</v>
      </c>
      <c r="X250">
        <v>0</v>
      </c>
      <c r="Y250">
        <v>0</v>
      </c>
      <c r="Z250">
        <v>0</v>
      </c>
      <c r="AA250">
        <v>0</v>
      </c>
      <c r="AB250">
        <v>0</v>
      </c>
      <c r="AC250">
        <v>0</v>
      </c>
      <c r="AD250">
        <v>0</v>
      </c>
      <c r="AE250">
        <v>0</v>
      </c>
      <c r="AF250" s="100">
        <f>AVERAGEIFS($C$2:C250, $B$2:B250, B250)</f>
        <v>24.944444444444443</v>
      </c>
      <c r="AG250" s="100">
        <f>AVERAGEIFS($I$2:I250, $B$2:B250, B250)</f>
        <v>0.50388888888888894</v>
      </c>
      <c r="AH250" s="100">
        <f>AVERAGEIFS($I$2:J250, $B$2:C250, C250)</f>
        <v>0.43</v>
      </c>
      <c r="AI250" s="100">
        <f>AVERAGEIFS($D$2:D250, $B$2:B250, B250)</f>
        <v>0.5</v>
      </c>
    </row>
    <row r="251" spans="1:35" x14ac:dyDescent="0.25">
      <c r="A251" s="106">
        <v>46079</v>
      </c>
      <c r="B251" t="s">
        <v>50</v>
      </c>
      <c r="C251">
        <v>28</v>
      </c>
      <c r="D251">
        <v>0</v>
      </c>
      <c r="E251">
        <v>4</v>
      </c>
      <c r="F251">
        <v>1</v>
      </c>
      <c r="G251">
        <v>19</v>
      </c>
      <c r="H251">
        <v>8</v>
      </c>
      <c r="I251">
        <v>0.25</v>
      </c>
      <c r="J251">
        <v>0.42</v>
      </c>
      <c r="K251">
        <v>0</v>
      </c>
      <c r="L251">
        <v>0</v>
      </c>
      <c r="M251">
        <v>0</v>
      </c>
      <c r="N251">
        <v>0</v>
      </c>
      <c r="O251">
        <v>1</v>
      </c>
      <c r="P251">
        <v>0</v>
      </c>
      <c r="Q251">
        <v>0</v>
      </c>
      <c r="R251">
        <v>0</v>
      </c>
      <c r="S251">
        <v>0</v>
      </c>
      <c r="T251">
        <v>0</v>
      </c>
      <c r="U251">
        <v>0</v>
      </c>
      <c r="V251">
        <v>0</v>
      </c>
      <c r="W251">
        <v>0</v>
      </c>
      <c r="X251">
        <v>0</v>
      </c>
      <c r="Y251">
        <v>0</v>
      </c>
      <c r="Z251">
        <v>0</v>
      </c>
      <c r="AA251">
        <v>0</v>
      </c>
      <c r="AB251">
        <v>0</v>
      </c>
      <c r="AC251">
        <v>0</v>
      </c>
      <c r="AD251">
        <v>0</v>
      </c>
      <c r="AE251">
        <v>0</v>
      </c>
      <c r="AF251" s="100">
        <f>AVERAGEIFS($C$2:C251, $B$2:B251, B251)</f>
        <v>20.684210526315791</v>
      </c>
      <c r="AG251" s="100">
        <f>AVERAGEIFS($I$2:I251, $B$2:B251, B251)</f>
        <v>0.51473684210526327</v>
      </c>
      <c r="AH251" s="100">
        <f>AVERAGEIFS($I$2:J251, $B$2:C251, C251)</f>
        <v>0.42333333333333334</v>
      </c>
      <c r="AI251" s="100">
        <f>AVERAGEIFS($D$2:D251, $B$2:B251, B251)</f>
        <v>0.52631578947368418</v>
      </c>
    </row>
    <row r="252" spans="1:35" x14ac:dyDescent="0.25">
      <c r="A252" s="106">
        <v>46079</v>
      </c>
      <c r="B252" t="s">
        <v>28</v>
      </c>
      <c r="C252">
        <v>21</v>
      </c>
      <c r="D252">
        <v>0</v>
      </c>
      <c r="E252">
        <v>4</v>
      </c>
      <c r="F252">
        <v>1</v>
      </c>
      <c r="G252">
        <v>19</v>
      </c>
      <c r="H252">
        <v>8</v>
      </c>
      <c r="I252">
        <v>0.25</v>
      </c>
      <c r="J252">
        <v>0.42</v>
      </c>
      <c r="K252">
        <v>0</v>
      </c>
      <c r="L252">
        <v>0</v>
      </c>
      <c r="M252">
        <v>0</v>
      </c>
      <c r="N252">
        <v>0</v>
      </c>
      <c r="O252">
        <v>1</v>
      </c>
      <c r="P252">
        <v>0</v>
      </c>
      <c r="Q252">
        <v>0</v>
      </c>
      <c r="R252">
        <v>0</v>
      </c>
      <c r="S252">
        <v>0</v>
      </c>
      <c r="T252">
        <v>0</v>
      </c>
      <c r="U252">
        <v>0</v>
      </c>
      <c r="V252">
        <v>0</v>
      </c>
      <c r="W252">
        <v>0</v>
      </c>
      <c r="X252">
        <v>0</v>
      </c>
      <c r="Y252">
        <v>0</v>
      </c>
      <c r="Z252">
        <v>0</v>
      </c>
      <c r="AA252">
        <v>0</v>
      </c>
      <c r="AB252">
        <v>0</v>
      </c>
      <c r="AC252">
        <v>0</v>
      </c>
      <c r="AD252">
        <v>0</v>
      </c>
      <c r="AE252">
        <v>0</v>
      </c>
      <c r="AF252" s="100">
        <f>AVERAGEIFS($C$2:C252, $B$2:B252, B252)</f>
        <v>16.600000000000001</v>
      </c>
      <c r="AG252" s="100">
        <f>AVERAGEIFS($I$2:I252, $B$2:B252, B252)</f>
        <v>0.46799999999999997</v>
      </c>
      <c r="AH252" s="100">
        <f>AVERAGEIFS($I$2:J252, $B$2:C252, C252)</f>
        <v>0.53333333333333333</v>
      </c>
      <c r="AI252" s="100">
        <f>AVERAGEIFS($D$2:D252, $B$2:B252, B252)</f>
        <v>0.4</v>
      </c>
    </row>
    <row r="253" spans="1:35" x14ac:dyDescent="0.25">
      <c r="A253" s="106">
        <v>46079</v>
      </c>
      <c r="B253" t="s">
        <v>114</v>
      </c>
      <c r="C253">
        <v>6</v>
      </c>
      <c r="D253">
        <v>0</v>
      </c>
      <c r="E253">
        <v>4</v>
      </c>
      <c r="F253">
        <v>1</v>
      </c>
      <c r="G253">
        <v>19</v>
      </c>
      <c r="H253">
        <v>8</v>
      </c>
      <c r="I253">
        <v>0.25</v>
      </c>
      <c r="J253">
        <v>0.42</v>
      </c>
      <c r="K253">
        <v>0</v>
      </c>
      <c r="L253">
        <v>0</v>
      </c>
      <c r="M253">
        <v>0</v>
      </c>
      <c r="N253">
        <v>0</v>
      </c>
      <c r="O253">
        <v>1</v>
      </c>
      <c r="P253">
        <v>0</v>
      </c>
      <c r="Q253">
        <v>0</v>
      </c>
      <c r="R253">
        <v>0</v>
      </c>
      <c r="S253">
        <v>0</v>
      </c>
      <c r="T253">
        <v>0</v>
      </c>
      <c r="U253">
        <v>0</v>
      </c>
      <c r="V253">
        <v>0</v>
      </c>
      <c r="W253">
        <v>0</v>
      </c>
      <c r="X253">
        <v>0</v>
      </c>
      <c r="Y253">
        <v>0</v>
      </c>
      <c r="Z253">
        <v>0</v>
      </c>
      <c r="AA253">
        <v>0</v>
      </c>
      <c r="AB253">
        <v>0</v>
      </c>
      <c r="AC253">
        <v>0</v>
      </c>
      <c r="AD253">
        <v>0</v>
      </c>
      <c r="AE253">
        <v>0</v>
      </c>
      <c r="AF253" s="100">
        <f>AVERAGEIFS($C$2:C253, $B$2:B253, B253)</f>
        <v>6</v>
      </c>
      <c r="AG253" s="100">
        <f>AVERAGEIFS($I$2:I253, $B$2:B253, B253)</f>
        <v>0.25</v>
      </c>
      <c r="AH253" s="100">
        <f>AVERAGEIFS($I$2:J253, $B$2:C253, C253)</f>
        <v>0.5066666666666666</v>
      </c>
      <c r="AI253" s="100">
        <f>AVERAGEIFS($D$2:D253, $B$2:B253, B253)</f>
        <v>0</v>
      </c>
    </row>
    <row r="254" spans="1:35" x14ac:dyDescent="0.25">
      <c r="A254" s="106">
        <v>46079</v>
      </c>
      <c r="B254" t="s">
        <v>35</v>
      </c>
      <c r="C254">
        <v>12</v>
      </c>
      <c r="D254">
        <v>0</v>
      </c>
      <c r="E254">
        <v>4</v>
      </c>
      <c r="F254">
        <v>1</v>
      </c>
      <c r="G254">
        <v>19</v>
      </c>
      <c r="H254">
        <v>8</v>
      </c>
      <c r="I254">
        <v>0.25</v>
      </c>
      <c r="J254">
        <v>0.42</v>
      </c>
      <c r="K254">
        <v>0</v>
      </c>
      <c r="L254">
        <v>0</v>
      </c>
      <c r="M254">
        <v>0</v>
      </c>
      <c r="N254">
        <v>0</v>
      </c>
      <c r="O254">
        <v>1</v>
      </c>
      <c r="P254">
        <v>0</v>
      </c>
      <c r="Q254">
        <v>0</v>
      </c>
      <c r="R254">
        <v>0</v>
      </c>
      <c r="S254">
        <v>0</v>
      </c>
      <c r="T254">
        <v>0</v>
      </c>
      <c r="U254">
        <v>0</v>
      </c>
      <c r="V254">
        <v>0</v>
      </c>
      <c r="W254">
        <v>0</v>
      </c>
      <c r="X254">
        <v>0</v>
      </c>
      <c r="Y254">
        <v>0</v>
      </c>
      <c r="Z254">
        <v>0</v>
      </c>
      <c r="AA254">
        <v>0</v>
      </c>
      <c r="AB254">
        <v>0</v>
      </c>
      <c r="AC254">
        <v>0</v>
      </c>
      <c r="AD254">
        <v>0</v>
      </c>
      <c r="AE254">
        <v>0</v>
      </c>
      <c r="AF254" s="100">
        <f>AVERAGEIFS($C$2:C254, $B$2:B254, B254)</f>
        <v>11.5</v>
      </c>
      <c r="AG254" s="100">
        <f>AVERAGEIFS($I$2:I254, $B$2:B254, B254)</f>
        <v>0.43625000000000003</v>
      </c>
      <c r="AH254" s="100">
        <f>AVERAGEIFS($I$2:J254, $B$2:C254, C254)</f>
        <v>0.48461538461538461</v>
      </c>
      <c r="AI254" s="100">
        <f>AVERAGEIFS($D$2:D254, $B$2:B254, B254)</f>
        <v>0.375</v>
      </c>
    </row>
    <row r="255" spans="1:35" x14ac:dyDescent="0.25">
      <c r="A255" s="106">
        <v>46079</v>
      </c>
      <c r="B255" t="s">
        <v>115</v>
      </c>
      <c r="C255">
        <v>14</v>
      </c>
      <c r="D255">
        <v>0</v>
      </c>
      <c r="E255">
        <v>4</v>
      </c>
      <c r="F255">
        <v>1</v>
      </c>
      <c r="G255">
        <v>19</v>
      </c>
      <c r="H255">
        <v>8</v>
      </c>
      <c r="I255">
        <v>0.25</v>
      </c>
      <c r="J255">
        <v>0.42</v>
      </c>
      <c r="K255">
        <v>0</v>
      </c>
      <c r="L255">
        <v>0</v>
      </c>
      <c r="M255">
        <v>0</v>
      </c>
      <c r="N255">
        <v>0</v>
      </c>
      <c r="O255">
        <v>1</v>
      </c>
      <c r="P255">
        <v>0</v>
      </c>
      <c r="Q255">
        <v>0</v>
      </c>
      <c r="R255">
        <v>0</v>
      </c>
      <c r="S255">
        <v>0</v>
      </c>
      <c r="T255">
        <v>0</v>
      </c>
      <c r="U255">
        <v>0</v>
      </c>
      <c r="V255">
        <v>0</v>
      </c>
      <c r="W255">
        <v>0</v>
      </c>
      <c r="X255">
        <v>0</v>
      </c>
      <c r="Y255">
        <v>0</v>
      </c>
      <c r="Z255">
        <v>0</v>
      </c>
      <c r="AA255">
        <v>0</v>
      </c>
      <c r="AB255">
        <v>0</v>
      </c>
      <c r="AC255">
        <v>0</v>
      </c>
      <c r="AD255">
        <v>0</v>
      </c>
      <c r="AE255">
        <v>0</v>
      </c>
      <c r="AF255" s="100">
        <f>AVERAGEIFS($C$2:C255, $B$2:B255, B255)</f>
        <v>14</v>
      </c>
      <c r="AG255" s="100">
        <f>AVERAGEIFS($I$2:I255, $B$2:B255, B255)</f>
        <v>0.25</v>
      </c>
      <c r="AH255" s="100">
        <f>AVERAGEIFS($I$2:J255, $B$2:C255, C255)</f>
        <v>0.5</v>
      </c>
      <c r="AI255" s="100">
        <f>AVERAGEIFS($D$2:D255, $B$2:B255, B255)</f>
        <v>0</v>
      </c>
    </row>
    <row r="256" spans="1:35" x14ac:dyDescent="0.25">
      <c r="A256" s="106">
        <v>46079</v>
      </c>
      <c r="B256" t="s">
        <v>46</v>
      </c>
      <c r="C256">
        <v>24</v>
      </c>
      <c r="D256">
        <v>0</v>
      </c>
      <c r="E256">
        <v>4</v>
      </c>
      <c r="F256">
        <v>1</v>
      </c>
      <c r="G256">
        <v>19</v>
      </c>
      <c r="H256">
        <v>8</v>
      </c>
      <c r="I256">
        <v>0.25</v>
      </c>
      <c r="J256">
        <v>0.42</v>
      </c>
      <c r="K256">
        <v>0</v>
      </c>
      <c r="L256">
        <v>0</v>
      </c>
      <c r="M256">
        <v>0</v>
      </c>
      <c r="N256">
        <v>0</v>
      </c>
      <c r="O256">
        <v>1</v>
      </c>
      <c r="P256">
        <v>0</v>
      </c>
      <c r="Q256">
        <v>0</v>
      </c>
      <c r="R256">
        <v>0</v>
      </c>
      <c r="S256">
        <v>0</v>
      </c>
      <c r="T256">
        <v>0</v>
      </c>
      <c r="U256">
        <v>0</v>
      </c>
      <c r="V256">
        <v>0</v>
      </c>
      <c r="W256">
        <v>0</v>
      </c>
      <c r="X256">
        <v>0</v>
      </c>
      <c r="Y256">
        <v>0</v>
      </c>
      <c r="Z256">
        <v>0</v>
      </c>
      <c r="AA256">
        <v>0</v>
      </c>
      <c r="AB256">
        <v>0</v>
      </c>
      <c r="AC256">
        <v>0</v>
      </c>
      <c r="AD256">
        <v>0</v>
      </c>
      <c r="AE256">
        <v>0</v>
      </c>
      <c r="AF256" s="100">
        <f>AVERAGEIFS($C$2:C256, $B$2:B256, B256)</f>
        <v>20.166666666666668</v>
      </c>
      <c r="AG256" s="100">
        <f>AVERAGEIFS($I$2:I256, $B$2:B256, B256)</f>
        <v>0.46249999999999997</v>
      </c>
      <c r="AH256" s="100">
        <f>AVERAGEIFS($I$2:J256, $B$2:C256, C256)</f>
        <v>0.56181818181818177</v>
      </c>
      <c r="AI256" s="100">
        <f>AVERAGEIFS($D$2:D256, $B$2:B256, B256)</f>
        <v>0.33333333333333331</v>
      </c>
    </row>
    <row r="257" spans="1:35" x14ac:dyDescent="0.25">
      <c r="A257" s="106">
        <v>46080</v>
      </c>
      <c r="B257" t="s">
        <v>4</v>
      </c>
      <c r="C257">
        <v>39</v>
      </c>
      <c r="D257">
        <v>1</v>
      </c>
      <c r="E257">
        <v>5</v>
      </c>
      <c r="F257">
        <v>3</v>
      </c>
      <c r="G257">
        <v>19</v>
      </c>
      <c r="H257">
        <v>11</v>
      </c>
      <c r="I257">
        <v>0.6</v>
      </c>
      <c r="J257">
        <v>0.57999999999999996</v>
      </c>
      <c r="K257">
        <v>0</v>
      </c>
      <c r="L257">
        <v>0</v>
      </c>
      <c r="M257">
        <v>1</v>
      </c>
      <c r="N257">
        <v>0</v>
      </c>
      <c r="O257">
        <v>0</v>
      </c>
      <c r="P257">
        <v>0</v>
      </c>
      <c r="Q257">
        <v>0</v>
      </c>
      <c r="R257">
        <v>0</v>
      </c>
      <c r="S257">
        <v>0</v>
      </c>
      <c r="T257">
        <v>1</v>
      </c>
      <c r="U257">
        <v>0</v>
      </c>
      <c r="V257">
        <v>0</v>
      </c>
      <c r="W257">
        <v>0</v>
      </c>
      <c r="X257">
        <v>0</v>
      </c>
      <c r="Y257">
        <v>0</v>
      </c>
      <c r="Z257">
        <v>0</v>
      </c>
      <c r="AA257">
        <v>0</v>
      </c>
      <c r="AB257">
        <v>1</v>
      </c>
      <c r="AC257">
        <v>0</v>
      </c>
      <c r="AD257">
        <v>0</v>
      </c>
      <c r="AE257">
        <v>0</v>
      </c>
      <c r="AF257" s="100">
        <f>AVERAGEIFS($C$2:C257, $B$2:B257, B257)</f>
        <v>28.142857142857142</v>
      </c>
      <c r="AG257" s="100">
        <f>AVERAGEIFS($I$2:I257, $B$2:B257, B257)</f>
        <v>0.4</v>
      </c>
      <c r="AH257" s="100">
        <f>AVERAGEIFS($I$2:J257, $B$2:C257, C257)</f>
        <v>0.57999999999999996</v>
      </c>
      <c r="AI257" s="100">
        <f>AVERAGEIFS($D$2:D257, $B$2:B257, B257)</f>
        <v>0.2857142857142857</v>
      </c>
    </row>
    <row r="258" spans="1:35" x14ac:dyDescent="0.25">
      <c r="A258" s="106">
        <v>46080</v>
      </c>
      <c r="B258" t="s">
        <v>54</v>
      </c>
      <c r="C258">
        <v>34</v>
      </c>
      <c r="D258">
        <v>1</v>
      </c>
      <c r="E258">
        <v>5</v>
      </c>
      <c r="F258">
        <v>3</v>
      </c>
      <c r="G258">
        <v>19</v>
      </c>
      <c r="H258">
        <v>11</v>
      </c>
      <c r="I258">
        <v>0.6</v>
      </c>
      <c r="J258">
        <v>0.57999999999999996</v>
      </c>
      <c r="K258">
        <v>0</v>
      </c>
      <c r="L258">
        <v>0</v>
      </c>
      <c r="M258">
        <v>1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0</v>
      </c>
      <c r="T258">
        <v>1</v>
      </c>
      <c r="U258">
        <v>0</v>
      </c>
      <c r="V258">
        <v>0</v>
      </c>
      <c r="W258">
        <v>0</v>
      </c>
      <c r="X258">
        <v>0</v>
      </c>
      <c r="Y258">
        <v>0</v>
      </c>
      <c r="Z258">
        <v>0</v>
      </c>
      <c r="AA258">
        <v>0</v>
      </c>
      <c r="AB258">
        <v>1</v>
      </c>
      <c r="AC258">
        <v>0</v>
      </c>
      <c r="AD258">
        <v>0</v>
      </c>
      <c r="AE258">
        <v>0</v>
      </c>
      <c r="AF258" s="100">
        <f>AVERAGEIFS($C$2:C258, $B$2:B258, B258)</f>
        <v>25.421052631578949</v>
      </c>
      <c r="AG258" s="100">
        <f>AVERAGEIFS($I$2:I258, $B$2:B258, B258)</f>
        <v>0.50894736842105259</v>
      </c>
      <c r="AH258" s="100">
        <f>AVERAGEIFS($I$2:J258, $B$2:C258, C258)</f>
        <v>0.54</v>
      </c>
      <c r="AI258" s="100">
        <f>AVERAGEIFS($D$2:D258, $B$2:B258, B258)</f>
        <v>0.52631578947368418</v>
      </c>
    </row>
    <row r="259" spans="1:35" x14ac:dyDescent="0.25">
      <c r="A259" s="106">
        <v>46080</v>
      </c>
      <c r="B259" t="s">
        <v>19</v>
      </c>
      <c r="C259">
        <v>6</v>
      </c>
      <c r="D259">
        <v>1</v>
      </c>
      <c r="E259">
        <v>5</v>
      </c>
      <c r="F259">
        <v>3</v>
      </c>
      <c r="G259">
        <v>19</v>
      </c>
      <c r="H259">
        <v>11</v>
      </c>
      <c r="I259">
        <v>0.6</v>
      </c>
      <c r="J259">
        <v>0.57999999999999996</v>
      </c>
      <c r="K259">
        <v>0</v>
      </c>
      <c r="L259">
        <v>0</v>
      </c>
      <c r="M259">
        <v>1</v>
      </c>
      <c r="N259">
        <v>0</v>
      </c>
      <c r="O259">
        <v>0</v>
      </c>
      <c r="P259">
        <v>0</v>
      </c>
      <c r="Q259">
        <v>0</v>
      </c>
      <c r="R259">
        <v>0</v>
      </c>
      <c r="S259">
        <v>0</v>
      </c>
      <c r="T259">
        <v>1</v>
      </c>
      <c r="U259">
        <v>0</v>
      </c>
      <c r="V259">
        <v>0</v>
      </c>
      <c r="W259">
        <v>0</v>
      </c>
      <c r="X259">
        <v>0</v>
      </c>
      <c r="Y259">
        <v>0</v>
      </c>
      <c r="Z259">
        <v>0</v>
      </c>
      <c r="AA259">
        <v>0</v>
      </c>
      <c r="AB259">
        <v>1</v>
      </c>
      <c r="AC259">
        <v>0</v>
      </c>
      <c r="AD259">
        <v>0</v>
      </c>
      <c r="AE259">
        <v>0</v>
      </c>
      <c r="AF259" s="100">
        <f>AVERAGEIFS($C$2:C259, $B$2:B259, B259)</f>
        <v>7.9230769230769234</v>
      </c>
      <c r="AG259" s="100">
        <f>AVERAGEIFS($I$2:I259, $B$2:B259, B259)</f>
        <v>0.60615384615384615</v>
      </c>
      <c r="AH259" s="100">
        <f>AVERAGEIFS($I$2:J259, $B$2:C259, C259)</f>
        <v>0.51714285714285713</v>
      </c>
      <c r="AI259" s="100">
        <f>AVERAGEIFS($D$2:D259, $B$2:B259, B259)</f>
        <v>0.69230769230769229</v>
      </c>
    </row>
    <row r="260" spans="1:35" x14ac:dyDescent="0.25">
      <c r="A260" s="106">
        <v>46080</v>
      </c>
      <c r="B260" t="s">
        <v>113</v>
      </c>
      <c r="C260">
        <v>23</v>
      </c>
      <c r="D260">
        <v>1</v>
      </c>
      <c r="E260">
        <v>5</v>
      </c>
      <c r="F260">
        <v>3</v>
      </c>
      <c r="G260">
        <v>19</v>
      </c>
      <c r="H260">
        <v>11</v>
      </c>
      <c r="I260">
        <v>0.6</v>
      </c>
      <c r="J260">
        <v>0.57999999999999996</v>
      </c>
      <c r="K260">
        <v>0</v>
      </c>
      <c r="L260">
        <v>0</v>
      </c>
      <c r="M260">
        <v>1</v>
      </c>
      <c r="N260">
        <v>0</v>
      </c>
      <c r="O260">
        <v>0</v>
      </c>
      <c r="P260">
        <v>0</v>
      </c>
      <c r="Q260">
        <v>0</v>
      </c>
      <c r="R260">
        <v>0</v>
      </c>
      <c r="S260">
        <v>0</v>
      </c>
      <c r="T260">
        <v>1</v>
      </c>
      <c r="U260">
        <v>0</v>
      </c>
      <c r="V260">
        <v>0</v>
      </c>
      <c r="W260">
        <v>0</v>
      </c>
      <c r="X260">
        <v>0</v>
      </c>
      <c r="Y260">
        <v>0</v>
      </c>
      <c r="Z260">
        <v>0</v>
      </c>
      <c r="AA260">
        <v>0</v>
      </c>
      <c r="AB260">
        <v>1</v>
      </c>
      <c r="AC260">
        <v>0</v>
      </c>
      <c r="AD260">
        <v>0</v>
      </c>
      <c r="AE260">
        <v>0</v>
      </c>
      <c r="AF260" s="100">
        <f>AVERAGEIFS($C$2:C260, $B$2:B260, B260)</f>
        <v>21.75</v>
      </c>
      <c r="AG260" s="100">
        <f>AVERAGEIFS($I$2:I260, $B$2:B260, B260)</f>
        <v>0.58750000000000002</v>
      </c>
      <c r="AH260" s="100">
        <f>AVERAGEIFS($I$2:J260, $B$2:C260, C260)</f>
        <v>0.59800000000000009</v>
      </c>
      <c r="AI260" s="100">
        <f>AVERAGEIFS($D$2:D260, $B$2:B260, B260)</f>
        <v>0.75</v>
      </c>
    </row>
    <row r="261" spans="1:35" x14ac:dyDescent="0.25">
      <c r="A261" s="106">
        <v>46080</v>
      </c>
      <c r="B261" t="s">
        <v>115</v>
      </c>
      <c r="C261">
        <v>9</v>
      </c>
      <c r="D261">
        <v>1</v>
      </c>
      <c r="E261">
        <v>5</v>
      </c>
      <c r="F261">
        <v>3</v>
      </c>
      <c r="G261">
        <v>19</v>
      </c>
      <c r="H261">
        <v>11</v>
      </c>
      <c r="I261">
        <v>0.6</v>
      </c>
      <c r="J261">
        <v>0.57999999999999996</v>
      </c>
      <c r="K261">
        <v>0</v>
      </c>
      <c r="L261">
        <v>0</v>
      </c>
      <c r="M261">
        <v>1</v>
      </c>
      <c r="N261">
        <v>0</v>
      </c>
      <c r="O261">
        <v>0</v>
      </c>
      <c r="P261">
        <v>0</v>
      </c>
      <c r="Q261">
        <v>0</v>
      </c>
      <c r="R261">
        <v>0</v>
      </c>
      <c r="S261">
        <v>0</v>
      </c>
      <c r="T261">
        <v>1</v>
      </c>
      <c r="U261">
        <v>0</v>
      </c>
      <c r="V261">
        <v>0</v>
      </c>
      <c r="W261">
        <v>0</v>
      </c>
      <c r="X261">
        <v>0</v>
      </c>
      <c r="Y261">
        <v>0</v>
      </c>
      <c r="Z261">
        <v>0</v>
      </c>
      <c r="AA261">
        <v>0</v>
      </c>
      <c r="AB261">
        <v>1</v>
      </c>
      <c r="AC261">
        <v>0</v>
      </c>
      <c r="AD261">
        <v>0</v>
      </c>
      <c r="AE261">
        <v>0</v>
      </c>
      <c r="AF261" s="100">
        <f>AVERAGEIFS($C$2:C261, $B$2:B261, B261)</f>
        <v>11.5</v>
      </c>
      <c r="AG261" s="100">
        <f>AVERAGEIFS($I$2:I261, $B$2:B261, B261)</f>
        <v>0.42499999999999999</v>
      </c>
      <c r="AH261" s="100">
        <f>AVERAGEIFS($I$2:J261, $B$2:C261, C261)</f>
        <v>0.43555555555555553</v>
      </c>
      <c r="AI261" s="100">
        <f>AVERAGEIFS($D$2:D261, $B$2:B261, B261)</f>
        <v>0.5</v>
      </c>
    </row>
    <row r="262" spans="1:35" x14ac:dyDescent="0.25">
      <c r="A262" s="106">
        <v>46080</v>
      </c>
      <c r="B262" t="s">
        <v>17</v>
      </c>
      <c r="C262">
        <v>28</v>
      </c>
      <c r="D262">
        <v>1</v>
      </c>
      <c r="E262">
        <v>5</v>
      </c>
      <c r="F262">
        <v>3</v>
      </c>
      <c r="G262">
        <v>19</v>
      </c>
      <c r="H262">
        <v>11</v>
      </c>
      <c r="I262">
        <v>0.6</v>
      </c>
      <c r="J262">
        <v>0.57999999999999996</v>
      </c>
      <c r="K262">
        <v>0</v>
      </c>
      <c r="L262">
        <v>0</v>
      </c>
      <c r="M262">
        <v>1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0</v>
      </c>
      <c r="T262">
        <v>1</v>
      </c>
      <c r="U262">
        <v>0</v>
      </c>
      <c r="V262">
        <v>0</v>
      </c>
      <c r="W262">
        <v>0</v>
      </c>
      <c r="X262">
        <v>0</v>
      </c>
      <c r="Y262">
        <v>0</v>
      </c>
      <c r="Z262">
        <v>0</v>
      </c>
      <c r="AA262">
        <v>0</v>
      </c>
      <c r="AB262">
        <v>1</v>
      </c>
      <c r="AC262">
        <v>0</v>
      </c>
      <c r="AD262">
        <v>0</v>
      </c>
      <c r="AE262">
        <v>0</v>
      </c>
      <c r="AF262" s="100">
        <f>AVERAGEIFS($C$2:C262, $B$2:B262, B262)</f>
        <v>21.1875</v>
      </c>
      <c r="AG262" s="100">
        <f>AVERAGEIFS($I$2:I262, $B$2:B262, B262)</f>
        <v>0.49187500000000001</v>
      </c>
      <c r="AH262" s="100">
        <f>AVERAGEIFS($I$2:J262, $B$2:C262, C262)</f>
        <v>0.46250000000000002</v>
      </c>
      <c r="AI262" s="100">
        <f>AVERAGEIFS($D$2:D262, $B$2:B262, B262)</f>
        <v>0.4375</v>
      </c>
    </row>
    <row r="263" spans="1:35" x14ac:dyDescent="0.25">
      <c r="A263" s="106">
        <v>46080</v>
      </c>
      <c r="B263" t="s">
        <v>35</v>
      </c>
      <c r="C263">
        <v>20</v>
      </c>
      <c r="D263">
        <v>0</v>
      </c>
      <c r="E263">
        <v>5</v>
      </c>
      <c r="F263">
        <v>2</v>
      </c>
      <c r="G263">
        <v>19</v>
      </c>
      <c r="H263">
        <v>8</v>
      </c>
      <c r="I263">
        <v>0.4</v>
      </c>
      <c r="J263">
        <v>0.42</v>
      </c>
      <c r="K263">
        <v>0</v>
      </c>
      <c r="L263">
        <v>1</v>
      </c>
      <c r="M263">
        <v>0</v>
      </c>
      <c r="N263">
        <v>0</v>
      </c>
      <c r="O263">
        <v>0</v>
      </c>
      <c r="P263">
        <v>0</v>
      </c>
      <c r="Q263">
        <v>0</v>
      </c>
      <c r="R263">
        <v>0</v>
      </c>
      <c r="S263">
        <v>0</v>
      </c>
      <c r="T263">
        <v>0</v>
      </c>
      <c r="U263">
        <v>0</v>
      </c>
      <c r="V263">
        <v>0</v>
      </c>
      <c r="W263">
        <v>0</v>
      </c>
      <c r="X263">
        <v>0</v>
      </c>
      <c r="Y263">
        <v>0</v>
      </c>
      <c r="Z263">
        <v>0</v>
      </c>
      <c r="AA263">
        <v>0</v>
      </c>
      <c r="AB263">
        <v>0</v>
      </c>
      <c r="AC263">
        <v>1</v>
      </c>
      <c r="AD263">
        <v>0</v>
      </c>
      <c r="AE263">
        <v>0</v>
      </c>
      <c r="AF263" s="100">
        <f>AVERAGEIFS($C$2:C263, $B$2:B263, B263)</f>
        <v>12</v>
      </c>
      <c r="AG263" s="100">
        <f>AVERAGEIFS($I$2:I263, $B$2:B263, B263)</f>
        <v>0.43411764705882355</v>
      </c>
      <c r="AH263" s="100">
        <f>AVERAGEIFS($I$2:J263, $B$2:C263, C263)</f>
        <v>0.47899999999999993</v>
      </c>
      <c r="AI263" s="100">
        <f>AVERAGEIFS($D$2:D263, $B$2:B263, B263)</f>
        <v>0.35294117647058826</v>
      </c>
    </row>
    <row r="264" spans="1:35" x14ac:dyDescent="0.25">
      <c r="A264" s="106">
        <v>46080</v>
      </c>
      <c r="B264" t="s">
        <v>6</v>
      </c>
      <c r="C264">
        <v>37</v>
      </c>
      <c r="D264">
        <v>0</v>
      </c>
      <c r="E264">
        <v>5</v>
      </c>
      <c r="F264">
        <v>2</v>
      </c>
      <c r="G264">
        <v>19</v>
      </c>
      <c r="H264">
        <v>8</v>
      </c>
      <c r="I264">
        <v>0.4</v>
      </c>
      <c r="J264">
        <v>0.42</v>
      </c>
      <c r="K264">
        <v>0</v>
      </c>
      <c r="L264">
        <v>1</v>
      </c>
      <c r="M264">
        <v>0</v>
      </c>
      <c r="N264">
        <v>0</v>
      </c>
      <c r="O264">
        <v>0</v>
      </c>
      <c r="P264">
        <v>0</v>
      </c>
      <c r="Q264">
        <v>0</v>
      </c>
      <c r="R264">
        <v>0</v>
      </c>
      <c r="S264">
        <v>0</v>
      </c>
      <c r="T264">
        <v>0</v>
      </c>
      <c r="U264">
        <v>0</v>
      </c>
      <c r="V264">
        <v>0</v>
      </c>
      <c r="W264">
        <v>0</v>
      </c>
      <c r="X264">
        <v>0</v>
      </c>
      <c r="Y264">
        <v>0</v>
      </c>
      <c r="Z264">
        <v>0</v>
      </c>
      <c r="AA264">
        <v>0</v>
      </c>
      <c r="AB264">
        <v>0</v>
      </c>
      <c r="AC264">
        <v>1</v>
      </c>
      <c r="AD264">
        <v>0</v>
      </c>
      <c r="AE264">
        <v>0</v>
      </c>
      <c r="AF264" s="100">
        <f>AVERAGEIFS($C$2:C264, $B$2:B264, B264)</f>
        <v>23</v>
      </c>
      <c r="AG264" s="100">
        <f>AVERAGEIFS($I$2:I264, $B$2:B264, B264)</f>
        <v>0.63411764705882345</v>
      </c>
      <c r="AH264" s="100">
        <f>AVERAGEIFS($I$2:J264, $B$2:C264, C264)</f>
        <v>0.47</v>
      </c>
      <c r="AI264" s="100">
        <f>AVERAGEIFS($D$2:D264, $B$2:B264, B264)</f>
        <v>0.70588235294117652</v>
      </c>
    </row>
    <row r="265" spans="1:35" x14ac:dyDescent="0.25">
      <c r="A265" s="106">
        <v>46080</v>
      </c>
      <c r="B265" t="s">
        <v>2</v>
      </c>
      <c r="C265">
        <v>24</v>
      </c>
      <c r="D265">
        <v>0</v>
      </c>
      <c r="E265">
        <v>5</v>
      </c>
      <c r="F265">
        <v>2</v>
      </c>
      <c r="G265">
        <v>19</v>
      </c>
      <c r="H265">
        <v>8</v>
      </c>
      <c r="I265">
        <v>0.4</v>
      </c>
      <c r="J265">
        <v>0.42</v>
      </c>
      <c r="K265">
        <v>0</v>
      </c>
      <c r="L265">
        <v>1</v>
      </c>
      <c r="M265">
        <v>0</v>
      </c>
      <c r="N265">
        <v>0</v>
      </c>
      <c r="O265">
        <v>0</v>
      </c>
      <c r="P265">
        <v>0</v>
      </c>
      <c r="Q265">
        <v>0</v>
      </c>
      <c r="R265">
        <v>0</v>
      </c>
      <c r="S265">
        <v>0</v>
      </c>
      <c r="T265">
        <v>0</v>
      </c>
      <c r="U265">
        <v>0</v>
      </c>
      <c r="V265">
        <v>0</v>
      </c>
      <c r="W265">
        <v>0</v>
      </c>
      <c r="X265">
        <v>0</v>
      </c>
      <c r="Y265">
        <v>0</v>
      </c>
      <c r="Z265">
        <v>0</v>
      </c>
      <c r="AA265">
        <v>0</v>
      </c>
      <c r="AB265">
        <v>0</v>
      </c>
      <c r="AC265">
        <v>1</v>
      </c>
      <c r="AD265">
        <v>0</v>
      </c>
      <c r="AE265">
        <v>0</v>
      </c>
      <c r="AF265" s="100">
        <f>AVERAGEIFS($C$2:C265, $B$2:B265, B265)</f>
        <v>24.714285714285715</v>
      </c>
      <c r="AG265" s="100">
        <f>AVERAGEIFS($I$2:I265, $B$2:B265, B265)</f>
        <v>0.49142857142857149</v>
      </c>
      <c r="AH265" s="100">
        <f>AVERAGEIFS($I$2:J265, $B$2:C265, C265)</f>
        <v>0.54999999999999993</v>
      </c>
      <c r="AI265" s="100">
        <f>AVERAGEIFS($D$2:D265, $B$2:B265, B265)</f>
        <v>0.42857142857142855</v>
      </c>
    </row>
    <row r="266" spans="1:35" x14ac:dyDescent="0.25">
      <c r="A266" s="106">
        <v>46080</v>
      </c>
      <c r="B266" t="s">
        <v>3</v>
      </c>
      <c r="C266">
        <v>24</v>
      </c>
      <c r="D266">
        <v>0</v>
      </c>
      <c r="E266">
        <v>5</v>
      </c>
      <c r="F266">
        <v>2</v>
      </c>
      <c r="G266">
        <v>19</v>
      </c>
      <c r="H266">
        <v>8</v>
      </c>
      <c r="I266">
        <v>0.4</v>
      </c>
      <c r="J266">
        <v>0.42</v>
      </c>
      <c r="K266">
        <v>0</v>
      </c>
      <c r="L266">
        <v>1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0</v>
      </c>
      <c r="T266">
        <v>0</v>
      </c>
      <c r="U266">
        <v>0</v>
      </c>
      <c r="V266">
        <v>0</v>
      </c>
      <c r="W266">
        <v>0</v>
      </c>
      <c r="X266">
        <v>0</v>
      </c>
      <c r="Y266">
        <v>0</v>
      </c>
      <c r="Z266">
        <v>0</v>
      </c>
      <c r="AA266">
        <v>0</v>
      </c>
      <c r="AB266">
        <v>0</v>
      </c>
      <c r="AC266">
        <v>1</v>
      </c>
      <c r="AD266">
        <v>0</v>
      </c>
      <c r="AE266">
        <v>0</v>
      </c>
      <c r="AF266" s="100">
        <f>AVERAGEIFS($C$2:C266, $B$2:B266, B266)</f>
        <v>19.625</v>
      </c>
      <c r="AG266" s="100">
        <f>AVERAGEIFS($I$2:I266, $B$2:B266, B266)</f>
        <v>0.42499999999999999</v>
      </c>
      <c r="AH266" s="100">
        <f>AVERAGEIFS($I$2:J266, $B$2:C266, C266)</f>
        <v>0.53999999999999992</v>
      </c>
      <c r="AI266" s="100">
        <f>AVERAGEIFS($D$2:D266, $B$2:B266, B266)</f>
        <v>0.375</v>
      </c>
    </row>
    <row r="267" spans="1:35" x14ac:dyDescent="0.25">
      <c r="A267" s="106">
        <v>46080</v>
      </c>
      <c r="B267" t="s">
        <v>137</v>
      </c>
      <c r="C267">
        <v>8</v>
      </c>
      <c r="D267">
        <v>0</v>
      </c>
      <c r="E267">
        <v>5</v>
      </c>
      <c r="F267">
        <v>2</v>
      </c>
      <c r="G267">
        <v>19</v>
      </c>
      <c r="H267">
        <v>8</v>
      </c>
      <c r="I267">
        <v>0.4</v>
      </c>
      <c r="J267">
        <v>0.42</v>
      </c>
      <c r="K267">
        <v>0</v>
      </c>
      <c r="L267">
        <v>1</v>
      </c>
      <c r="M267">
        <v>0</v>
      </c>
      <c r="N267">
        <v>0</v>
      </c>
      <c r="O267">
        <v>0</v>
      </c>
      <c r="P267">
        <v>0</v>
      </c>
      <c r="Q267">
        <v>0</v>
      </c>
      <c r="R267">
        <v>0</v>
      </c>
      <c r="S267">
        <v>0</v>
      </c>
      <c r="T267">
        <v>0</v>
      </c>
      <c r="U267">
        <v>0</v>
      </c>
      <c r="V267">
        <v>0</v>
      </c>
      <c r="W267">
        <v>0</v>
      </c>
      <c r="X267">
        <v>0</v>
      </c>
      <c r="Y267">
        <v>0</v>
      </c>
      <c r="Z267">
        <v>0</v>
      </c>
      <c r="AA267">
        <v>0</v>
      </c>
      <c r="AB267">
        <v>0</v>
      </c>
      <c r="AC267">
        <v>1</v>
      </c>
      <c r="AD267">
        <v>0</v>
      </c>
      <c r="AE267">
        <v>0</v>
      </c>
      <c r="AF267" s="100">
        <f>AVERAGEIFS($C$2:C267, $B$2:B267, B267)</f>
        <v>5.5</v>
      </c>
      <c r="AG267" s="100">
        <f>AVERAGEIFS($I$2:I267, $B$2:B267, B267)</f>
        <v>0.4</v>
      </c>
      <c r="AH267" s="100">
        <f>AVERAGEIFS($I$2:J267, $B$2:C267, C267)</f>
        <v>0.52500000000000002</v>
      </c>
      <c r="AI267" s="100">
        <f>AVERAGEIFS($D$2:D267, $B$2:B267, B267)</f>
        <v>0</v>
      </c>
    </row>
    <row r="268" spans="1:35" x14ac:dyDescent="0.25">
      <c r="A268" s="106">
        <v>46080</v>
      </c>
      <c r="B268" t="s">
        <v>40</v>
      </c>
      <c r="C268">
        <v>24</v>
      </c>
      <c r="D268">
        <v>0</v>
      </c>
      <c r="E268">
        <v>5</v>
      </c>
      <c r="F268">
        <v>2</v>
      </c>
      <c r="G268">
        <v>19</v>
      </c>
      <c r="H268">
        <v>8</v>
      </c>
      <c r="I268">
        <v>0.4</v>
      </c>
      <c r="J268">
        <v>0.42</v>
      </c>
      <c r="K268">
        <v>0</v>
      </c>
      <c r="L268">
        <v>1</v>
      </c>
      <c r="M268">
        <v>0</v>
      </c>
      <c r="N268">
        <v>0</v>
      </c>
      <c r="O268">
        <v>0</v>
      </c>
      <c r="P268">
        <v>0</v>
      </c>
      <c r="Q268">
        <v>0</v>
      </c>
      <c r="R268">
        <v>0</v>
      </c>
      <c r="S268">
        <v>0</v>
      </c>
      <c r="T268">
        <v>0</v>
      </c>
      <c r="U268">
        <v>0</v>
      </c>
      <c r="V268">
        <v>0</v>
      </c>
      <c r="W268">
        <v>0</v>
      </c>
      <c r="X268">
        <v>0</v>
      </c>
      <c r="Y268">
        <v>0</v>
      </c>
      <c r="Z268">
        <v>0</v>
      </c>
      <c r="AA268">
        <v>0</v>
      </c>
      <c r="AB268">
        <v>0</v>
      </c>
      <c r="AC268">
        <v>1</v>
      </c>
      <c r="AD268">
        <v>0</v>
      </c>
      <c r="AE268">
        <v>0</v>
      </c>
      <c r="AF268" s="100">
        <f>AVERAGEIFS($C$2:C268, $B$2:B268, B268)</f>
        <v>18.583333333333332</v>
      </c>
      <c r="AG268" s="100">
        <f>AVERAGEIFS($I$2:I268, $B$2:B268, B268)</f>
        <v>0.42500000000000004</v>
      </c>
      <c r="AH268" s="100">
        <f>AVERAGEIFS($I$2:J268, $B$2:C268, C268)</f>
        <v>0.53142857142857136</v>
      </c>
      <c r="AI268" s="100">
        <f>AVERAGEIFS($D$2:D268, $B$2:B268, B268)</f>
        <v>0.41666666666666669</v>
      </c>
    </row>
    <row r="269" spans="1:35" x14ac:dyDescent="0.25">
      <c r="A269" s="106">
        <v>46081</v>
      </c>
      <c r="B269" t="s">
        <v>4</v>
      </c>
      <c r="C269">
        <v>17</v>
      </c>
      <c r="D269">
        <v>0</v>
      </c>
      <c r="E269">
        <v>4</v>
      </c>
      <c r="F269">
        <v>1</v>
      </c>
      <c r="G269">
        <v>14</v>
      </c>
      <c r="H269">
        <v>5</v>
      </c>
      <c r="I269">
        <v>0.25</v>
      </c>
      <c r="J269">
        <v>0.36</v>
      </c>
      <c r="K269">
        <v>0</v>
      </c>
      <c r="L269">
        <v>0</v>
      </c>
      <c r="M269">
        <v>0</v>
      </c>
      <c r="N269">
        <v>0</v>
      </c>
      <c r="O269">
        <v>0</v>
      </c>
      <c r="P269">
        <v>0</v>
      </c>
      <c r="Q269">
        <v>0</v>
      </c>
      <c r="R269">
        <v>0</v>
      </c>
      <c r="S269">
        <v>0</v>
      </c>
      <c r="T269">
        <v>0</v>
      </c>
      <c r="U269">
        <v>0</v>
      </c>
      <c r="V269">
        <v>0</v>
      </c>
      <c r="W269">
        <v>0</v>
      </c>
      <c r="X269">
        <v>1</v>
      </c>
      <c r="Y269">
        <v>0</v>
      </c>
      <c r="Z269">
        <v>0</v>
      </c>
      <c r="AA269">
        <v>0</v>
      </c>
      <c r="AB269">
        <v>0</v>
      </c>
      <c r="AC269">
        <v>0</v>
      </c>
      <c r="AD269">
        <v>0</v>
      </c>
      <c r="AE269">
        <v>0</v>
      </c>
      <c r="AF269" s="100">
        <f>AVERAGEIFS($C$2:C269, $B$2:B269, B269)</f>
        <v>26.75</v>
      </c>
      <c r="AG269" s="100">
        <f>AVERAGEIFS($I$2:I269, $B$2:B269, B269)</f>
        <v>0.38125000000000003</v>
      </c>
      <c r="AH269" s="100">
        <f>AVERAGEIFS($I$2:J269, $B$2:C269, C269)</f>
        <v>0.44785714285714295</v>
      </c>
      <c r="AI269" s="100">
        <f>AVERAGEIFS($D$2:D269, $B$2:B269, B269)</f>
        <v>0.25</v>
      </c>
    </row>
    <row r="270" spans="1:35" x14ac:dyDescent="0.25">
      <c r="A270" s="106">
        <v>46081</v>
      </c>
      <c r="B270" t="s">
        <v>54</v>
      </c>
      <c r="C270">
        <v>14</v>
      </c>
      <c r="D270">
        <v>0</v>
      </c>
      <c r="E270">
        <v>4</v>
      </c>
      <c r="F270">
        <v>1</v>
      </c>
      <c r="G270">
        <v>14</v>
      </c>
      <c r="H270">
        <v>5</v>
      </c>
      <c r="I270">
        <v>0.25</v>
      </c>
      <c r="J270">
        <v>0.36</v>
      </c>
      <c r="K270">
        <v>0</v>
      </c>
      <c r="L270">
        <v>0</v>
      </c>
      <c r="M270">
        <v>0</v>
      </c>
      <c r="N270">
        <v>0</v>
      </c>
      <c r="O270">
        <v>0</v>
      </c>
      <c r="P270">
        <v>0</v>
      </c>
      <c r="Q270">
        <v>0</v>
      </c>
      <c r="R270">
        <v>0</v>
      </c>
      <c r="S270">
        <v>0</v>
      </c>
      <c r="T270">
        <v>0</v>
      </c>
      <c r="U270">
        <v>0</v>
      </c>
      <c r="V270">
        <v>0</v>
      </c>
      <c r="W270">
        <v>0</v>
      </c>
      <c r="X270">
        <v>1</v>
      </c>
      <c r="Y270">
        <v>0</v>
      </c>
      <c r="Z270">
        <v>0</v>
      </c>
      <c r="AA270">
        <v>0</v>
      </c>
      <c r="AB270">
        <v>0</v>
      </c>
      <c r="AC270">
        <v>0</v>
      </c>
      <c r="AD270">
        <v>0</v>
      </c>
      <c r="AE270">
        <v>0</v>
      </c>
      <c r="AF270" s="100">
        <f>AVERAGEIFS($C$2:C270, $B$2:B270, B270)</f>
        <v>24.85</v>
      </c>
      <c r="AG270" s="100">
        <f>AVERAGEIFS($I$2:I270, $B$2:B270, B270)</f>
        <v>0.496</v>
      </c>
      <c r="AH270" s="100">
        <f>AVERAGEIFS($I$2:J270, $B$2:C270, C270)</f>
        <v>0.4872727272727273</v>
      </c>
      <c r="AI270" s="100">
        <f>AVERAGEIFS($D$2:D270, $B$2:B270, B270)</f>
        <v>0.5</v>
      </c>
    </row>
    <row r="271" spans="1:35" x14ac:dyDescent="0.25">
      <c r="A271" s="106">
        <v>46081</v>
      </c>
      <c r="B271" t="s">
        <v>42</v>
      </c>
      <c r="C271">
        <v>16</v>
      </c>
      <c r="D271">
        <v>0</v>
      </c>
      <c r="E271">
        <v>4</v>
      </c>
      <c r="F271">
        <v>1</v>
      </c>
      <c r="G271">
        <v>14</v>
      </c>
      <c r="H271">
        <v>5</v>
      </c>
      <c r="I271">
        <v>0.25</v>
      </c>
      <c r="J271">
        <v>0.36</v>
      </c>
      <c r="K271">
        <v>0</v>
      </c>
      <c r="L271">
        <v>0</v>
      </c>
      <c r="M271">
        <v>0</v>
      </c>
      <c r="N271">
        <v>0</v>
      </c>
      <c r="O271">
        <v>0</v>
      </c>
      <c r="P271">
        <v>0</v>
      </c>
      <c r="Q271">
        <v>0</v>
      </c>
      <c r="R271">
        <v>0</v>
      </c>
      <c r="S271">
        <v>0</v>
      </c>
      <c r="T271">
        <v>0</v>
      </c>
      <c r="U271">
        <v>0</v>
      </c>
      <c r="V271">
        <v>0</v>
      </c>
      <c r="W271">
        <v>0</v>
      </c>
      <c r="X271">
        <v>1</v>
      </c>
      <c r="Y271">
        <v>0</v>
      </c>
      <c r="Z271">
        <v>0</v>
      </c>
      <c r="AA271">
        <v>0</v>
      </c>
      <c r="AB271">
        <v>0</v>
      </c>
      <c r="AC271">
        <v>0</v>
      </c>
      <c r="AD271">
        <v>0</v>
      </c>
      <c r="AE271">
        <v>0</v>
      </c>
      <c r="AF271" s="100">
        <f>AVERAGEIFS($C$2:C271, $B$2:B271, B271)</f>
        <v>15</v>
      </c>
      <c r="AG271" s="100">
        <f>AVERAGEIFS($I$2:I271, $B$2:B271, B271)</f>
        <v>0.47500000000000003</v>
      </c>
      <c r="AH271" s="100">
        <f>AVERAGEIFS($I$2:J271, $B$2:C271, C271)</f>
        <v>0.5078571428571429</v>
      </c>
      <c r="AI271" s="100">
        <f>AVERAGEIFS($D$2:D271, $B$2:B271, B271)</f>
        <v>0.625</v>
      </c>
    </row>
    <row r="272" spans="1:35" x14ac:dyDescent="0.25">
      <c r="A272" s="106">
        <v>46081</v>
      </c>
      <c r="B272" t="s">
        <v>71</v>
      </c>
      <c r="C272">
        <v>13</v>
      </c>
      <c r="D272">
        <v>0</v>
      </c>
      <c r="E272">
        <v>4</v>
      </c>
      <c r="F272">
        <v>1</v>
      </c>
      <c r="G272">
        <v>14</v>
      </c>
      <c r="H272">
        <v>5</v>
      </c>
      <c r="I272">
        <v>0.25</v>
      </c>
      <c r="J272">
        <v>0.36</v>
      </c>
      <c r="K272">
        <v>0</v>
      </c>
      <c r="L272">
        <v>0</v>
      </c>
      <c r="M272">
        <v>0</v>
      </c>
      <c r="N272">
        <v>0</v>
      </c>
      <c r="O272">
        <v>0</v>
      </c>
      <c r="P272">
        <v>0</v>
      </c>
      <c r="Q272">
        <v>0</v>
      </c>
      <c r="R272">
        <v>0</v>
      </c>
      <c r="S272">
        <v>0</v>
      </c>
      <c r="T272">
        <v>0</v>
      </c>
      <c r="U272">
        <v>0</v>
      </c>
      <c r="V272">
        <v>0</v>
      </c>
      <c r="W272">
        <v>0</v>
      </c>
      <c r="X272">
        <v>1</v>
      </c>
      <c r="Y272">
        <v>0</v>
      </c>
      <c r="Z272">
        <v>0</v>
      </c>
      <c r="AA272">
        <v>0</v>
      </c>
      <c r="AB272">
        <v>0</v>
      </c>
      <c r="AC272">
        <v>0</v>
      </c>
      <c r="AD272">
        <v>0</v>
      </c>
      <c r="AE272">
        <v>0</v>
      </c>
      <c r="AF272" s="100">
        <f>AVERAGEIFS($C$2:C272, $B$2:B272, B272)</f>
        <v>9.5</v>
      </c>
      <c r="AG272" s="100">
        <f>AVERAGEIFS($I$2:I272, $B$2:B272, B272)</f>
        <v>0.42499999999999999</v>
      </c>
      <c r="AH272" s="100">
        <f>AVERAGEIFS($I$2:J272, $B$2:C272, C272)</f>
        <v>0.52272727272727271</v>
      </c>
      <c r="AI272" s="100">
        <f>AVERAGEIFS($D$2:D272, $B$2:B272, B272)</f>
        <v>0.5</v>
      </c>
    </row>
    <row r="273" spans="1:35" x14ac:dyDescent="0.25">
      <c r="A273" s="106">
        <v>46081</v>
      </c>
      <c r="B273" t="s">
        <v>115</v>
      </c>
      <c r="C273">
        <v>8</v>
      </c>
      <c r="D273">
        <v>0</v>
      </c>
      <c r="E273">
        <v>4</v>
      </c>
      <c r="F273">
        <v>1</v>
      </c>
      <c r="G273">
        <v>14</v>
      </c>
      <c r="H273">
        <v>5</v>
      </c>
      <c r="I273">
        <v>0.25</v>
      </c>
      <c r="J273">
        <v>0.36</v>
      </c>
      <c r="K273">
        <v>0</v>
      </c>
      <c r="L273">
        <v>0</v>
      </c>
      <c r="M273">
        <v>0</v>
      </c>
      <c r="N273">
        <v>0</v>
      </c>
      <c r="O273">
        <v>0</v>
      </c>
      <c r="P273">
        <v>0</v>
      </c>
      <c r="Q273">
        <v>0</v>
      </c>
      <c r="R273">
        <v>0</v>
      </c>
      <c r="S273">
        <v>0</v>
      </c>
      <c r="T273">
        <v>0</v>
      </c>
      <c r="U273">
        <v>0</v>
      </c>
      <c r="V273">
        <v>0</v>
      </c>
      <c r="W273">
        <v>0</v>
      </c>
      <c r="X273">
        <v>1</v>
      </c>
      <c r="Y273">
        <v>0</v>
      </c>
      <c r="Z273">
        <v>0</v>
      </c>
      <c r="AA273">
        <v>0</v>
      </c>
      <c r="AB273">
        <v>0</v>
      </c>
      <c r="AC273">
        <v>0</v>
      </c>
      <c r="AD273">
        <v>0</v>
      </c>
      <c r="AE273">
        <v>0</v>
      </c>
      <c r="AF273" s="100">
        <f>AVERAGEIFS($C$2:C273, $B$2:B273, B273)</f>
        <v>10.333333333333334</v>
      </c>
      <c r="AG273" s="100">
        <f>AVERAGEIFS($I$2:I273, $B$2:B273, B273)</f>
        <v>0.3666666666666667</v>
      </c>
      <c r="AH273" s="100">
        <f>AVERAGEIFS($I$2:J273, $B$2:C273, C273)</f>
        <v>0.50142857142857145</v>
      </c>
      <c r="AI273" s="100">
        <f>AVERAGEIFS($D$2:D273, $B$2:B273, B273)</f>
        <v>0.33333333333333331</v>
      </c>
    </row>
    <row r="274" spans="1:35" x14ac:dyDescent="0.25">
      <c r="A274" s="106">
        <v>46081</v>
      </c>
      <c r="B274" t="s">
        <v>137</v>
      </c>
      <c r="C274">
        <v>3</v>
      </c>
      <c r="D274">
        <v>0</v>
      </c>
      <c r="E274">
        <v>4</v>
      </c>
      <c r="F274">
        <v>1</v>
      </c>
      <c r="G274">
        <v>14</v>
      </c>
      <c r="H274">
        <v>5</v>
      </c>
      <c r="I274">
        <v>0.25</v>
      </c>
      <c r="J274">
        <v>0.36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0</v>
      </c>
      <c r="T274">
        <v>0</v>
      </c>
      <c r="U274">
        <v>0</v>
      </c>
      <c r="V274">
        <v>0</v>
      </c>
      <c r="W274">
        <v>0</v>
      </c>
      <c r="X274">
        <v>1</v>
      </c>
      <c r="Y274">
        <v>0</v>
      </c>
      <c r="Z274">
        <v>0</v>
      </c>
      <c r="AA274">
        <v>0</v>
      </c>
      <c r="AB274">
        <v>0</v>
      </c>
      <c r="AC274">
        <v>0</v>
      </c>
      <c r="AD274">
        <v>0</v>
      </c>
      <c r="AE274">
        <v>0</v>
      </c>
      <c r="AF274" s="100">
        <f>AVERAGEIFS($C$2:C274, $B$2:B274, B274)</f>
        <v>4.666666666666667</v>
      </c>
      <c r="AG274" s="100">
        <f>AVERAGEIFS($I$2:I274, $B$2:B274, B274)</f>
        <v>0.35000000000000003</v>
      </c>
      <c r="AH274" s="100">
        <f>AVERAGEIFS($I$2:J274, $B$2:C274, C274)</f>
        <v>0.49875000000000003</v>
      </c>
      <c r="AI274" s="100">
        <f>AVERAGEIFS($D$2:D274, $B$2:B274, B274)</f>
        <v>0</v>
      </c>
    </row>
    <row r="275" spans="1:35" x14ac:dyDescent="0.25">
      <c r="A275" s="106">
        <v>46081</v>
      </c>
      <c r="B275" t="s">
        <v>35</v>
      </c>
      <c r="C275">
        <v>13</v>
      </c>
      <c r="D275">
        <v>1</v>
      </c>
      <c r="E275">
        <v>4</v>
      </c>
      <c r="F275">
        <v>3</v>
      </c>
      <c r="G275">
        <v>14</v>
      </c>
      <c r="H275">
        <v>9</v>
      </c>
      <c r="I275">
        <v>0.75</v>
      </c>
      <c r="J275">
        <v>0.64</v>
      </c>
      <c r="K275">
        <v>0</v>
      </c>
      <c r="L275">
        <v>0</v>
      </c>
      <c r="M275">
        <v>0</v>
      </c>
      <c r="N275">
        <v>0</v>
      </c>
      <c r="O275">
        <v>0</v>
      </c>
      <c r="P275">
        <v>0</v>
      </c>
      <c r="Q275">
        <v>0</v>
      </c>
      <c r="R275">
        <v>0</v>
      </c>
      <c r="S275">
        <v>0</v>
      </c>
      <c r="T275">
        <v>0</v>
      </c>
      <c r="U275">
        <v>1</v>
      </c>
      <c r="V275">
        <v>0</v>
      </c>
      <c r="W275">
        <v>0</v>
      </c>
      <c r="X275">
        <v>0</v>
      </c>
      <c r="Y275">
        <v>1</v>
      </c>
      <c r="Z275">
        <v>0</v>
      </c>
      <c r="AA275">
        <v>0</v>
      </c>
      <c r="AB275">
        <v>1</v>
      </c>
      <c r="AC275">
        <v>0</v>
      </c>
      <c r="AD275">
        <v>0</v>
      </c>
      <c r="AE275">
        <v>0</v>
      </c>
      <c r="AF275" s="100">
        <f>AVERAGEIFS($C$2:C275, $B$2:B275, B275)</f>
        <v>12.055555555555555</v>
      </c>
      <c r="AG275" s="100">
        <f>AVERAGEIFS($I$2:I275, $B$2:B275, B275)</f>
        <v>0.45166666666666672</v>
      </c>
      <c r="AH275" s="100">
        <f>AVERAGEIFS($I$2:J275, $B$2:C275, C275)</f>
        <v>0.53249999999999997</v>
      </c>
      <c r="AI275" s="100">
        <f>AVERAGEIFS($D$2:D275, $B$2:B275, B275)</f>
        <v>0.3888888888888889</v>
      </c>
    </row>
    <row r="276" spans="1:35" x14ac:dyDescent="0.25">
      <c r="A276" s="106">
        <v>46081</v>
      </c>
      <c r="B276" t="s">
        <v>44</v>
      </c>
      <c r="C276">
        <v>12</v>
      </c>
      <c r="D276">
        <v>1</v>
      </c>
      <c r="E276">
        <v>4</v>
      </c>
      <c r="F276">
        <v>3</v>
      </c>
      <c r="G276">
        <v>14</v>
      </c>
      <c r="H276">
        <v>9</v>
      </c>
      <c r="I276">
        <v>0.75</v>
      </c>
      <c r="J276">
        <v>0.64</v>
      </c>
      <c r="K276">
        <v>0</v>
      </c>
      <c r="L276">
        <v>0</v>
      </c>
      <c r="M276">
        <v>0</v>
      </c>
      <c r="N276">
        <v>0</v>
      </c>
      <c r="O276">
        <v>0</v>
      </c>
      <c r="P276">
        <v>0</v>
      </c>
      <c r="Q276">
        <v>0</v>
      </c>
      <c r="R276">
        <v>0</v>
      </c>
      <c r="S276">
        <v>0</v>
      </c>
      <c r="T276">
        <v>0</v>
      </c>
      <c r="U276">
        <v>1</v>
      </c>
      <c r="V276">
        <v>0</v>
      </c>
      <c r="W276">
        <v>0</v>
      </c>
      <c r="X276">
        <v>0</v>
      </c>
      <c r="Y276">
        <v>1</v>
      </c>
      <c r="Z276">
        <v>0</v>
      </c>
      <c r="AA276">
        <v>0</v>
      </c>
      <c r="AB276">
        <v>1</v>
      </c>
      <c r="AC276">
        <v>0</v>
      </c>
      <c r="AD276">
        <v>0</v>
      </c>
      <c r="AE276">
        <v>0</v>
      </c>
      <c r="AF276" s="100">
        <f>AVERAGEIFS($C$2:C276, $B$2:B276, B276)</f>
        <v>17.8</v>
      </c>
      <c r="AG276" s="100">
        <f>AVERAGEIFS($I$2:I276, $B$2:B276, B276)</f>
        <v>0.5</v>
      </c>
      <c r="AH276" s="100">
        <f>AVERAGEIFS($I$2:J276, $B$2:C276, C276)</f>
        <v>0.49571428571428566</v>
      </c>
      <c r="AI276" s="100">
        <f>AVERAGEIFS($D$2:D276, $B$2:B276, B276)</f>
        <v>0.6</v>
      </c>
    </row>
    <row r="277" spans="1:35" x14ac:dyDescent="0.25">
      <c r="A277" s="106">
        <v>46081</v>
      </c>
      <c r="B277" t="s">
        <v>2</v>
      </c>
      <c r="C277">
        <v>23</v>
      </c>
      <c r="D277">
        <v>1</v>
      </c>
      <c r="E277">
        <v>4</v>
      </c>
      <c r="F277">
        <v>3</v>
      </c>
      <c r="G277">
        <v>14</v>
      </c>
      <c r="H277">
        <v>9</v>
      </c>
      <c r="I277">
        <v>0.75</v>
      </c>
      <c r="J277">
        <v>0.64</v>
      </c>
      <c r="K277">
        <v>0</v>
      </c>
      <c r="L277">
        <v>0</v>
      </c>
      <c r="M277">
        <v>0</v>
      </c>
      <c r="N277">
        <v>0</v>
      </c>
      <c r="O277">
        <v>0</v>
      </c>
      <c r="P277">
        <v>0</v>
      </c>
      <c r="Q277">
        <v>0</v>
      </c>
      <c r="R277">
        <v>0</v>
      </c>
      <c r="S277">
        <v>0</v>
      </c>
      <c r="T277">
        <v>0</v>
      </c>
      <c r="U277">
        <v>1</v>
      </c>
      <c r="V277">
        <v>0</v>
      </c>
      <c r="W277">
        <v>0</v>
      </c>
      <c r="X277">
        <v>0</v>
      </c>
      <c r="Y277">
        <v>1</v>
      </c>
      <c r="Z277">
        <v>0</v>
      </c>
      <c r="AA277">
        <v>0</v>
      </c>
      <c r="AB277">
        <v>1</v>
      </c>
      <c r="AC277">
        <v>0</v>
      </c>
      <c r="AD277">
        <v>0</v>
      </c>
      <c r="AE277">
        <v>0</v>
      </c>
      <c r="AF277" s="100">
        <f>AVERAGEIFS($C$2:C277, $B$2:B277, B277)</f>
        <v>24.6</v>
      </c>
      <c r="AG277" s="100">
        <f>AVERAGEIFS($I$2:I277, $B$2:B277, B277)</f>
        <v>0.50866666666666671</v>
      </c>
      <c r="AH277" s="100">
        <f>AVERAGEIFS($I$2:J277, $B$2:C277, C277)</f>
        <v>0.60181818181818181</v>
      </c>
      <c r="AI277" s="100">
        <f>AVERAGEIFS($D$2:D277, $B$2:B277, B277)</f>
        <v>0.46666666666666667</v>
      </c>
    </row>
    <row r="278" spans="1:35" x14ac:dyDescent="0.25">
      <c r="A278" s="106">
        <v>46081</v>
      </c>
      <c r="B278" t="s">
        <v>40</v>
      </c>
      <c r="C278">
        <v>7</v>
      </c>
      <c r="D278">
        <v>1</v>
      </c>
      <c r="E278">
        <v>4</v>
      </c>
      <c r="F278">
        <v>3</v>
      </c>
      <c r="G278">
        <v>14</v>
      </c>
      <c r="H278">
        <v>9</v>
      </c>
      <c r="I278">
        <v>0.75</v>
      </c>
      <c r="J278">
        <v>0.64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0</v>
      </c>
      <c r="T278">
        <v>0</v>
      </c>
      <c r="U278">
        <v>1</v>
      </c>
      <c r="V278">
        <v>0</v>
      </c>
      <c r="W278">
        <v>0</v>
      </c>
      <c r="X278">
        <v>0</v>
      </c>
      <c r="Y278">
        <v>1</v>
      </c>
      <c r="Z278">
        <v>0</v>
      </c>
      <c r="AA278">
        <v>0</v>
      </c>
      <c r="AB278">
        <v>1</v>
      </c>
      <c r="AC278">
        <v>0</v>
      </c>
      <c r="AD278">
        <v>0</v>
      </c>
      <c r="AE278">
        <v>0</v>
      </c>
      <c r="AF278" s="100">
        <f>AVERAGEIFS($C$2:C278, $B$2:B278, B278)</f>
        <v>17.692307692307693</v>
      </c>
      <c r="AG278" s="100">
        <f>AVERAGEIFS($I$2:I278, $B$2:B278, B278)</f>
        <v>0.45000000000000007</v>
      </c>
      <c r="AH278" s="100">
        <f>AVERAGEIFS($I$2:J278, $B$2:C278, C278)</f>
        <v>0.53666666666666674</v>
      </c>
      <c r="AI278" s="100">
        <f>AVERAGEIFS($D$2:D278, $B$2:B278, B278)</f>
        <v>0.46153846153846156</v>
      </c>
    </row>
    <row r="279" spans="1:35" x14ac:dyDescent="0.25">
      <c r="A279" s="106">
        <v>46081</v>
      </c>
      <c r="B279" t="s">
        <v>6</v>
      </c>
      <c r="C279">
        <v>23</v>
      </c>
      <c r="D279">
        <v>1</v>
      </c>
      <c r="E279">
        <v>4</v>
      </c>
      <c r="F279">
        <v>3</v>
      </c>
      <c r="G279">
        <v>14</v>
      </c>
      <c r="H279">
        <v>9</v>
      </c>
      <c r="I279">
        <v>0.75</v>
      </c>
      <c r="J279">
        <v>0.64</v>
      </c>
      <c r="K279">
        <v>0</v>
      </c>
      <c r="L279">
        <v>0</v>
      </c>
      <c r="M279">
        <v>0</v>
      </c>
      <c r="N279">
        <v>0</v>
      </c>
      <c r="O279">
        <v>0</v>
      </c>
      <c r="P279">
        <v>0</v>
      </c>
      <c r="Q279">
        <v>0</v>
      </c>
      <c r="R279">
        <v>0</v>
      </c>
      <c r="S279">
        <v>0</v>
      </c>
      <c r="T279">
        <v>0</v>
      </c>
      <c r="U279">
        <v>1</v>
      </c>
      <c r="V279">
        <v>0</v>
      </c>
      <c r="W279">
        <v>0</v>
      </c>
      <c r="X279">
        <v>0</v>
      </c>
      <c r="Y279">
        <v>1</v>
      </c>
      <c r="Z279">
        <v>0</v>
      </c>
      <c r="AA279">
        <v>0</v>
      </c>
      <c r="AB279">
        <v>1</v>
      </c>
      <c r="AC279">
        <v>0</v>
      </c>
      <c r="AD279">
        <v>0</v>
      </c>
      <c r="AE279">
        <v>0</v>
      </c>
      <c r="AF279" s="100">
        <f>AVERAGEIFS($C$2:C279, $B$2:B279, B279)</f>
        <v>23</v>
      </c>
      <c r="AG279" s="100">
        <f>AVERAGEIFS($I$2:I279, $B$2:B279, B279)</f>
        <v>0.64055555555555554</v>
      </c>
      <c r="AH279" s="100">
        <f>AVERAGEIFS($I$2:J279, $B$2:C279, C279)</f>
        <v>0.60499999999999998</v>
      </c>
      <c r="AI279" s="100">
        <f>AVERAGEIFS($D$2:D279, $B$2:B279, B279)</f>
        <v>0.72222222222222221</v>
      </c>
    </row>
    <row r="280" spans="1:35" x14ac:dyDescent="0.25">
      <c r="A280" s="106">
        <v>46081</v>
      </c>
      <c r="B280" t="s">
        <v>118</v>
      </c>
      <c r="C280">
        <v>10</v>
      </c>
      <c r="D280">
        <v>1</v>
      </c>
      <c r="E280">
        <v>4</v>
      </c>
      <c r="F280">
        <v>3</v>
      </c>
      <c r="G280">
        <v>14</v>
      </c>
      <c r="H280">
        <v>9</v>
      </c>
      <c r="I280">
        <v>0.75</v>
      </c>
      <c r="J280">
        <v>0.64</v>
      </c>
      <c r="K280">
        <v>0</v>
      </c>
      <c r="L280">
        <v>0</v>
      </c>
      <c r="M280">
        <v>0</v>
      </c>
      <c r="N280">
        <v>0</v>
      </c>
      <c r="O280">
        <v>0</v>
      </c>
      <c r="P280">
        <v>0</v>
      </c>
      <c r="Q280">
        <v>0</v>
      </c>
      <c r="R280">
        <v>0</v>
      </c>
      <c r="S280">
        <v>0</v>
      </c>
      <c r="T280">
        <v>0</v>
      </c>
      <c r="U280">
        <v>1</v>
      </c>
      <c r="V280">
        <v>0</v>
      </c>
      <c r="W280">
        <v>0</v>
      </c>
      <c r="X280">
        <v>0</v>
      </c>
      <c r="Y280">
        <v>1</v>
      </c>
      <c r="Z280">
        <v>0</v>
      </c>
      <c r="AA280">
        <v>0</v>
      </c>
      <c r="AB280">
        <v>1</v>
      </c>
      <c r="AC280">
        <v>0</v>
      </c>
      <c r="AD280">
        <v>0</v>
      </c>
      <c r="AE280">
        <v>0</v>
      </c>
      <c r="AF280" s="100">
        <f>AVERAGEIFS($C$2:C280, $B$2:B280, B280)</f>
        <v>10</v>
      </c>
      <c r="AG280" s="100">
        <f>AVERAGEIFS($I$2:I280, $B$2:B280, B280)</f>
        <v>0.75</v>
      </c>
      <c r="AH280" s="100">
        <f>AVERAGEIFS($I$2:J280, $B$2:C280, C280)</f>
        <v>0.55374999999999996</v>
      </c>
      <c r="AI280" s="100">
        <f>AVERAGEIFS($D$2:D280, $B$2:B280, B280)</f>
        <v>1</v>
      </c>
    </row>
    <row r="281" spans="1:35" x14ac:dyDescent="0.25">
      <c r="A281" s="106">
        <v>46082</v>
      </c>
      <c r="B281" t="s">
        <v>42</v>
      </c>
      <c r="C281">
        <v>23</v>
      </c>
      <c r="D281">
        <v>0</v>
      </c>
      <c r="E281">
        <v>5</v>
      </c>
      <c r="F281">
        <v>2</v>
      </c>
      <c r="G281">
        <v>18</v>
      </c>
      <c r="H281">
        <v>7</v>
      </c>
      <c r="I281">
        <v>0.4</v>
      </c>
      <c r="J281">
        <v>0.39</v>
      </c>
      <c r="K281">
        <v>0</v>
      </c>
      <c r="L281">
        <v>1</v>
      </c>
      <c r="M281">
        <v>0</v>
      </c>
      <c r="N281">
        <v>0</v>
      </c>
      <c r="O281">
        <v>0</v>
      </c>
      <c r="P281">
        <v>0</v>
      </c>
      <c r="Q281">
        <v>1</v>
      </c>
      <c r="R281">
        <v>0</v>
      </c>
      <c r="S281">
        <v>0</v>
      </c>
      <c r="T281">
        <v>0</v>
      </c>
      <c r="U281">
        <v>0</v>
      </c>
      <c r="V281">
        <v>0</v>
      </c>
      <c r="W281">
        <v>0</v>
      </c>
      <c r="X281">
        <v>0</v>
      </c>
      <c r="Y281">
        <v>0</v>
      </c>
      <c r="Z281">
        <v>0</v>
      </c>
      <c r="AA281">
        <v>0</v>
      </c>
      <c r="AB281">
        <v>0</v>
      </c>
      <c r="AC281">
        <v>0</v>
      </c>
      <c r="AD281">
        <v>0</v>
      </c>
      <c r="AE281">
        <v>0</v>
      </c>
      <c r="AF281" s="100">
        <f>AVERAGEIFS($C$2:C281, $B$2:B281, B281)</f>
        <v>15.888888888888889</v>
      </c>
      <c r="AG281" s="100">
        <f>AVERAGEIFS($I$2:I281, $B$2:B281, B281)</f>
        <v>0.46666666666666667</v>
      </c>
      <c r="AH281" s="100">
        <f>AVERAGEIFS($I$2:J281, $B$2:C281, C281)</f>
        <v>0.58846153846153837</v>
      </c>
      <c r="AI281" s="100">
        <f>AVERAGEIFS($D$2:D281, $B$2:B281, B281)</f>
        <v>0.55555555555555558</v>
      </c>
    </row>
    <row r="282" spans="1:35" x14ac:dyDescent="0.25">
      <c r="A282" s="106">
        <v>46082</v>
      </c>
      <c r="B282" t="s">
        <v>4</v>
      </c>
      <c r="C282">
        <v>24</v>
      </c>
      <c r="D282">
        <v>0</v>
      </c>
      <c r="E282">
        <v>5</v>
      </c>
      <c r="F282">
        <v>2</v>
      </c>
      <c r="G282">
        <v>18</v>
      </c>
      <c r="H282">
        <v>7</v>
      </c>
      <c r="I282">
        <v>0.4</v>
      </c>
      <c r="J282">
        <v>0.39</v>
      </c>
      <c r="K282">
        <v>0</v>
      </c>
      <c r="L282">
        <v>1</v>
      </c>
      <c r="M282">
        <v>0</v>
      </c>
      <c r="N282">
        <v>0</v>
      </c>
      <c r="O282">
        <v>0</v>
      </c>
      <c r="P282">
        <v>0</v>
      </c>
      <c r="Q282">
        <v>1</v>
      </c>
      <c r="R282">
        <v>0</v>
      </c>
      <c r="S282">
        <v>0</v>
      </c>
      <c r="T282">
        <v>0</v>
      </c>
      <c r="U282">
        <v>0</v>
      </c>
      <c r="V282">
        <v>0</v>
      </c>
      <c r="W282">
        <v>0</v>
      </c>
      <c r="X282">
        <v>0</v>
      </c>
      <c r="Y282">
        <v>0</v>
      </c>
      <c r="Z282">
        <v>0</v>
      </c>
      <c r="AA282">
        <v>0</v>
      </c>
      <c r="AB282">
        <v>0</v>
      </c>
      <c r="AC282">
        <v>0</v>
      </c>
      <c r="AD282">
        <v>0</v>
      </c>
      <c r="AE282">
        <v>0</v>
      </c>
      <c r="AF282" s="100">
        <f>AVERAGEIFS($C$2:C282, $B$2:B282, B282)</f>
        <v>26.444444444444443</v>
      </c>
      <c r="AG282" s="100">
        <f>AVERAGEIFS($I$2:I282, $B$2:B282, B282)</f>
        <v>0.38333333333333336</v>
      </c>
      <c r="AH282" s="100">
        <f>AVERAGEIFS($I$2:J282, $B$2:C282, C282)</f>
        <v>0.52199999999999991</v>
      </c>
      <c r="AI282" s="100">
        <f>AVERAGEIFS($D$2:D282, $B$2:B282, B282)</f>
        <v>0.22222222222222221</v>
      </c>
    </row>
    <row r="283" spans="1:35" x14ac:dyDescent="0.25">
      <c r="A283" s="106">
        <v>46082</v>
      </c>
      <c r="B283" t="s">
        <v>54</v>
      </c>
      <c r="C283">
        <v>28</v>
      </c>
      <c r="D283">
        <v>0</v>
      </c>
      <c r="E283">
        <v>5</v>
      </c>
      <c r="F283">
        <v>2</v>
      </c>
      <c r="G283">
        <v>18</v>
      </c>
      <c r="H283">
        <v>7</v>
      </c>
      <c r="I283">
        <v>0.4</v>
      </c>
      <c r="J283">
        <v>0.39</v>
      </c>
      <c r="K283">
        <v>0</v>
      </c>
      <c r="L283">
        <v>1</v>
      </c>
      <c r="M283">
        <v>0</v>
      </c>
      <c r="N283">
        <v>0</v>
      </c>
      <c r="O283">
        <v>0</v>
      </c>
      <c r="P283">
        <v>0</v>
      </c>
      <c r="Q283">
        <v>1</v>
      </c>
      <c r="R283">
        <v>0</v>
      </c>
      <c r="S283">
        <v>0</v>
      </c>
      <c r="T283">
        <v>0</v>
      </c>
      <c r="U283">
        <v>0</v>
      </c>
      <c r="V283">
        <v>0</v>
      </c>
      <c r="W283">
        <v>0</v>
      </c>
      <c r="X283">
        <v>0</v>
      </c>
      <c r="Y283">
        <v>0</v>
      </c>
      <c r="Z283">
        <v>0</v>
      </c>
      <c r="AA283">
        <v>0</v>
      </c>
      <c r="AB283">
        <v>0</v>
      </c>
      <c r="AC283">
        <v>0</v>
      </c>
      <c r="AD283">
        <v>0</v>
      </c>
      <c r="AE283">
        <v>0</v>
      </c>
      <c r="AF283" s="100">
        <f>AVERAGEIFS($C$2:C283, $B$2:B283, B283)</f>
        <v>25</v>
      </c>
      <c r="AG283" s="100">
        <f>AVERAGEIFS($I$2:I283, $B$2:B283, B283)</f>
        <v>0.49142857142857144</v>
      </c>
      <c r="AH283" s="100">
        <f>AVERAGEIFS($I$2:J283, $B$2:C283, C283)</f>
        <v>0.44800000000000006</v>
      </c>
      <c r="AI283" s="100">
        <f>AVERAGEIFS($D$2:D283, $B$2:B283, B283)</f>
        <v>0.47619047619047616</v>
      </c>
    </row>
    <row r="284" spans="1:35" x14ac:dyDescent="0.25">
      <c r="A284" s="106">
        <v>46082</v>
      </c>
      <c r="B284" t="s">
        <v>40</v>
      </c>
      <c r="C284">
        <v>20</v>
      </c>
      <c r="D284">
        <v>0</v>
      </c>
      <c r="E284">
        <v>5</v>
      </c>
      <c r="F284">
        <v>2</v>
      </c>
      <c r="G284">
        <v>18</v>
      </c>
      <c r="H284">
        <v>7</v>
      </c>
      <c r="I284">
        <v>0.4</v>
      </c>
      <c r="J284">
        <v>0.39</v>
      </c>
      <c r="K284">
        <v>0</v>
      </c>
      <c r="L284">
        <v>1</v>
      </c>
      <c r="M284">
        <v>0</v>
      </c>
      <c r="N284">
        <v>0</v>
      </c>
      <c r="O284">
        <v>0</v>
      </c>
      <c r="P284">
        <v>0</v>
      </c>
      <c r="Q284">
        <v>1</v>
      </c>
      <c r="R284">
        <v>0</v>
      </c>
      <c r="S284">
        <v>0</v>
      </c>
      <c r="T284">
        <v>0</v>
      </c>
      <c r="U284">
        <v>0</v>
      </c>
      <c r="V284">
        <v>0</v>
      </c>
      <c r="W284">
        <v>0</v>
      </c>
      <c r="X284">
        <v>0</v>
      </c>
      <c r="Y284">
        <v>0</v>
      </c>
      <c r="Z284">
        <v>0</v>
      </c>
      <c r="AA284">
        <v>0</v>
      </c>
      <c r="AB284">
        <v>0</v>
      </c>
      <c r="AC284">
        <v>0</v>
      </c>
      <c r="AD284">
        <v>0</v>
      </c>
      <c r="AE284">
        <v>0</v>
      </c>
      <c r="AF284" s="100">
        <f>AVERAGEIFS($C$2:C284, $B$2:B284, B284)</f>
        <v>17.857142857142858</v>
      </c>
      <c r="AG284" s="100">
        <f>AVERAGEIFS($I$2:I284, $B$2:B284, B284)</f>
        <v>0.44642857142857151</v>
      </c>
      <c r="AH284" s="100">
        <f>AVERAGEIFS($I$2:J284, $B$2:C284, C284)</f>
        <v>0.47090909090909078</v>
      </c>
      <c r="AI284" s="100">
        <f>AVERAGEIFS($D$2:D284, $B$2:B284, B284)</f>
        <v>0.42857142857142855</v>
      </c>
    </row>
    <row r="285" spans="1:35" x14ac:dyDescent="0.25">
      <c r="A285" s="106">
        <v>46082</v>
      </c>
      <c r="B285" t="s">
        <v>115</v>
      </c>
      <c r="C285">
        <v>13</v>
      </c>
      <c r="D285">
        <v>0</v>
      </c>
      <c r="E285">
        <v>5</v>
      </c>
      <c r="F285">
        <v>2</v>
      </c>
      <c r="G285">
        <v>18</v>
      </c>
      <c r="H285">
        <v>7</v>
      </c>
      <c r="I285">
        <v>0.4</v>
      </c>
      <c r="J285">
        <v>0.39</v>
      </c>
      <c r="K285">
        <v>0</v>
      </c>
      <c r="L285">
        <v>1</v>
      </c>
      <c r="M285">
        <v>0</v>
      </c>
      <c r="N285">
        <v>0</v>
      </c>
      <c r="O285">
        <v>0</v>
      </c>
      <c r="P285">
        <v>0</v>
      </c>
      <c r="Q285">
        <v>1</v>
      </c>
      <c r="R285">
        <v>0</v>
      </c>
      <c r="S285">
        <v>0</v>
      </c>
      <c r="T285">
        <v>0</v>
      </c>
      <c r="U285">
        <v>0</v>
      </c>
      <c r="V285">
        <v>0</v>
      </c>
      <c r="W285">
        <v>0</v>
      </c>
      <c r="X285">
        <v>0</v>
      </c>
      <c r="Y285">
        <v>0</v>
      </c>
      <c r="Z285">
        <v>0</v>
      </c>
      <c r="AA285">
        <v>0</v>
      </c>
      <c r="AB285">
        <v>0</v>
      </c>
      <c r="AC285">
        <v>0</v>
      </c>
      <c r="AD285">
        <v>0</v>
      </c>
      <c r="AE285">
        <v>0</v>
      </c>
      <c r="AF285" s="100">
        <f>AVERAGEIFS($C$2:C285, $B$2:B285, B285)</f>
        <v>11</v>
      </c>
      <c r="AG285" s="100">
        <f>AVERAGEIFS($I$2:I285, $B$2:B285, B285)</f>
        <v>0.375</v>
      </c>
      <c r="AH285" s="100">
        <f>AVERAGEIFS($I$2:J285, $B$2:C285, C285)</f>
        <v>0.52153846153846151</v>
      </c>
      <c r="AI285" s="100">
        <f>AVERAGEIFS($D$2:D285, $B$2:B285, B285)</f>
        <v>0.25</v>
      </c>
    </row>
    <row r="286" spans="1:35" x14ac:dyDescent="0.25">
      <c r="A286" s="106">
        <v>46082</v>
      </c>
      <c r="B286" t="s">
        <v>113</v>
      </c>
      <c r="C286">
        <v>13</v>
      </c>
      <c r="D286">
        <v>0</v>
      </c>
      <c r="E286">
        <v>5</v>
      </c>
      <c r="F286">
        <v>2</v>
      </c>
      <c r="G286">
        <v>18</v>
      </c>
      <c r="H286">
        <v>7</v>
      </c>
      <c r="I286">
        <v>0.4</v>
      </c>
      <c r="J286">
        <v>0.39</v>
      </c>
      <c r="K286">
        <v>0</v>
      </c>
      <c r="L286">
        <v>1</v>
      </c>
      <c r="M286">
        <v>0</v>
      </c>
      <c r="N286">
        <v>0</v>
      </c>
      <c r="O286">
        <v>0</v>
      </c>
      <c r="P286">
        <v>0</v>
      </c>
      <c r="Q286">
        <v>1</v>
      </c>
      <c r="R286">
        <v>0</v>
      </c>
      <c r="S286">
        <v>0</v>
      </c>
      <c r="T286">
        <v>0</v>
      </c>
      <c r="U286">
        <v>0</v>
      </c>
      <c r="V286">
        <v>0</v>
      </c>
      <c r="W286">
        <v>0</v>
      </c>
      <c r="X286">
        <v>0</v>
      </c>
      <c r="Y286">
        <v>0</v>
      </c>
      <c r="Z286">
        <v>0</v>
      </c>
      <c r="AA286">
        <v>0</v>
      </c>
      <c r="AB286">
        <v>0</v>
      </c>
      <c r="AC286">
        <v>0</v>
      </c>
      <c r="AD286">
        <v>0</v>
      </c>
      <c r="AE286">
        <v>0</v>
      </c>
      <c r="AF286" s="100">
        <f>AVERAGEIFS($C$2:C286, $B$2:B286, B286)</f>
        <v>20</v>
      </c>
      <c r="AG286" s="100">
        <f>AVERAGEIFS($I$2:I286, $B$2:B286, B286)</f>
        <v>0.55000000000000004</v>
      </c>
      <c r="AH286" s="100">
        <f>AVERAGEIFS($I$2:J286, $B$2:C286, C286)</f>
        <v>0.51214285714285712</v>
      </c>
      <c r="AI286" s="100">
        <f>AVERAGEIFS($D$2:D286, $B$2:B286, B286)</f>
        <v>0.6</v>
      </c>
    </row>
    <row r="287" spans="1:35" x14ac:dyDescent="0.25">
      <c r="A287" s="106">
        <v>46082</v>
      </c>
      <c r="B287" t="s">
        <v>6</v>
      </c>
      <c r="C287">
        <v>36</v>
      </c>
      <c r="D287">
        <v>1</v>
      </c>
      <c r="E287">
        <v>5</v>
      </c>
      <c r="F287">
        <v>3</v>
      </c>
      <c r="G287">
        <v>18</v>
      </c>
      <c r="H287">
        <v>11</v>
      </c>
      <c r="I287">
        <v>0.6</v>
      </c>
      <c r="J287">
        <v>0.61</v>
      </c>
      <c r="K287">
        <v>1</v>
      </c>
      <c r="L287">
        <v>0</v>
      </c>
      <c r="M287">
        <v>0</v>
      </c>
      <c r="N287">
        <v>0</v>
      </c>
      <c r="O287">
        <v>0</v>
      </c>
      <c r="P287">
        <v>0</v>
      </c>
      <c r="Q287">
        <v>0</v>
      </c>
      <c r="R287">
        <v>0</v>
      </c>
      <c r="S287">
        <v>0</v>
      </c>
      <c r="T287">
        <v>0</v>
      </c>
      <c r="U287">
        <v>0</v>
      </c>
      <c r="V287">
        <v>1</v>
      </c>
      <c r="W287">
        <v>0</v>
      </c>
      <c r="X287">
        <v>0</v>
      </c>
      <c r="Y287">
        <v>0</v>
      </c>
      <c r="Z287">
        <v>0</v>
      </c>
      <c r="AA287">
        <v>0</v>
      </c>
      <c r="AB287">
        <v>0</v>
      </c>
      <c r="AC287">
        <v>0</v>
      </c>
      <c r="AD287">
        <v>0</v>
      </c>
      <c r="AE287">
        <v>1</v>
      </c>
      <c r="AF287" s="100">
        <f>AVERAGEIFS($C$2:C287, $B$2:B287, B287)</f>
        <v>23.684210526315791</v>
      </c>
      <c r="AG287" s="100">
        <f>AVERAGEIFS($I$2:I287, $B$2:B287, B287)</f>
        <v>0.63842105263157889</v>
      </c>
      <c r="AH287" s="100">
        <f>AVERAGEIFS($I$2:J287, $B$2:C287, C287)</f>
        <v>0.47499999999999998</v>
      </c>
      <c r="AI287" s="100">
        <f>AVERAGEIFS($D$2:D287, $B$2:B287, B287)</f>
        <v>0.73684210526315785</v>
      </c>
    </row>
    <row r="288" spans="1:35" x14ac:dyDescent="0.25">
      <c r="A288" s="106">
        <v>46082</v>
      </c>
      <c r="B288" t="s">
        <v>2</v>
      </c>
      <c r="C288">
        <v>24</v>
      </c>
      <c r="D288">
        <v>1</v>
      </c>
      <c r="E288">
        <v>5</v>
      </c>
      <c r="F288">
        <v>3</v>
      </c>
      <c r="G288">
        <v>18</v>
      </c>
      <c r="H288">
        <v>11</v>
      </c>
      <c r="I288">
        <v>0.6</v>
      </c>
      <c r="J288">
        <v>0.61</v>
      </c>
      <c r="K288">
        <v>1</v>
      </c>
      <c r="L288">
        <v>0</v>
      </c>
      <c r="M288">
        <v>0</v>
      </c>
      <c r="N288">
        <v>0</v>
      </c>
      <c r="O288">
        <v>0</v>
      </c>
      <c r="P288">
        <v>0</v>
      </c>
      <c r="Q288">
        <v>0</v>
      </c>
      <c r="R288">
        <v>0</v>
      </c>
      <c r="S288">
        <v>0</v>
      </c>
      <c r="T288">
        <v>0</v>
      </c>
      <c r="U288">
        <v>0</v>
      </c>
      <c r="V288">
        <v>1</v>
      </c>
      <c r="W288">
        <v>0</v>
      </c>
      <c r="X288">
        <v>0</v>
      </c>
      <c r="Y288">
        <v>0</v>
      </c>
      <c r="Z288">
        <v>0</v>
      </c>
      <c r="AA288">
        <v>0</v>
      </c>
      <c r="AB288">
        <v>0</v>
      </c>
      <c r="AC288">
        <v>0</v>
      </c>
      <c r="AD288">
        <v>0</v>
      </c>
      <c r="AE288">
        <v>1</v>
      </c>
      <c r="AF288" s="100">
        <f>AVERAGEIFS($C$2:C288, $B$2:B288, B288)</f>
        <v>24.5625</v>
      </c>
      <c r="AG288" s="100">
        <f>AVERAGEIFS($I$2:I288, $B$2:B288, B288)</f>
        <v>0.51437500000000003</v>
      </c>
      <c r="AH288" s="100">
        <f>AVERAGEIFS($I$2:J288, $B$2:C288, C288)</f>
        <v>0.52749999999999997</v>
      </c>
      <c r="AI288" s="100">
        <f>AVERAGEIFS($D$2:D288, $B$2:B288, B288)</f>
        <v>0.5</v>
      </c>
    </row>
    <row r="289" spans="1:35" x14ac:dyDescent="0.25">
      <c r="A289" s="106">
        <v>46082</v>
      </c>
      <c r="B289" t="s">
        <v>44</v>
      </c>
      <c r="C289">
        <v>22</v>
      </c>
      <c r="D289">
        <v>1</v>
      </c>
      <c r="E289">
        <v>5</v>
      </c>
      <c r="F289">
        <v>3</v>
      </c>
      <c r="G289">
        <v>18</v>
      </c>
      <c r="H289">
        <v>11</v>
      </c>
      <c r="I289">
        <v>0.6</v>
      </c>
      <c r="J289">
        <v>0.61</v>
      </c>
      <c r="K289">
        <v>1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0</v>
      </c>
      <c r="T289">
        <v>0</v>
      </c>
      <c r="U289">
        <v>0</v>
      </c>
      <c r="V289">
        <v>1</v>
      </c>
      <c r="W289">
        <v>0</v>
      </c>
      <c r="X289">
        <v>0</v>
      </c>
      <c r="Y289">
        <v>0</v>
      </c>
      <c r="Z289">
        <v>0</v>
      </c>
      <c r="AA289">
        <v>0</v>
      </c>
      <c r="AB289">
        <v>0</v>
      </c>
      <c r="AC289">
        <v>0</v>
      </c>
      <c r="AD289">
        <v>0</v>
      </c>
      <c r="AE289">
        <v>1</v>
      </c>
      <c r="AF289" s="100">
        <f>AVERAGEIFS($C$2:C289, $B$2:B289, B289)</f>
        <v>18.5</v>
      </c>
      <c r="AG289" s="100">
        <f>AVERAGEIFS($I$2:I289, $B$2:B289, B289)</f>
        <v>0.51666666666666672</v>
      </c>
      <c r="AH289" s="100">
        <f>AVERAGEIFS($I$2:J289, $B$2:C289, C289)</f>
        <v>0.53</v>
      </c>
      <c r="AI289" s="100">
        <f>AVERAGEIFS($D$2:D289, $B$2:B289, B289)</f>
        <v>0.66666666666666663</v>
      </c>
    </row>
    <row r="290" spans="1:35" x14ac:dyDescent="0.25">
      <c r="A290" s="106">
        <v>46082</v>
      </c>
      <c r="B290" t="s">
        <v>46</v>
      </c>
      <c r="C290">
        <v>18</v>
      </c>
      <c r="D290">
        <v>1</v>
      </c>
      <c r="E290">
        <v>5</v>
      </c>
      <c r="F290">
        <v>3</v>
      </c>
      <c r="G290">
        <v>18</v>
      </c>
      <c r="H290">
        <v>11</v>
      </c>
      <c r="I290">
        <v>0.6</v>
      </c>
      <c r="J290">
        <v>0.61</v>
      </c>
      <c r="K290">
        <v>1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0</v>
      </c>
      <c r="T290">
        <v>0</v>
      </c>
      <c r="U290">
        <v>0</v>
      </c>
      <c r="V290">
        <v>1</v>
      </c>
      <c r="W290">
        <v>0</v>
      </c>
      <c r="X290">
        <v>0</v>
      </c>
      <c r="Y290">
        <v>0</v>
      </c>
      <c r="Z290">
        <v>0</v>
      </c>
      <c r="AA290">
        <v>0</v>
      </c>
      <c r="AB290">
        <v>0</v>
      </c>
      <c r="AC290">
        <v>0</v>
      </c>
      <c r="AD290">
        <v>0</v>
      </c>
      <c r="AE290">
        <v>1</v>
      </c>
      <c r="AF290" s="100">
        <f>AVERAGEIFS($C$2:C290, $B$2:B290, B290)</f>
        <v>20</v>
      </c>
      <c r="AG290" s="100">
        <f>AVERAGEIFS($I$2:I290, $B$2:B290, B290)</f>
        <v>0.47307692307692306</v>
      </c>
      <c r="AH290" s="100">
        <f>AVERAGEIFS($I$2:J290, $B$2:C290, C290)</f>
        <v>0.47785714285714287</v>
      </c>
      <c r="AI290" s="100">
        <f>AVERAGEIFS($D$2:D290, $B$2:B290, B290)</f>
        <v>0.38461538461538464</v>
      </c>
    </row>
    <row r="291" spans="1:35" x14ac:dyDescent="0.25">
      <c r="A291" s="106">
        <v>46082</v>
      </c>
      <c r="B291" t="s">
        <v>137</v>
      </c>
      <c r="C291">
        <v>7</v>
      </c>
      <c r="D291">
        <v>1</v>
      </c>
      <c r="E291">
        <v>5</v>
      </c>
      <c r="F291">
        <v>3</v>
      </c>
      <c r="G291">
        <v>18</v>
      </c>
      <c r="H291">
        <v>11</v>
      </c>
      <c r="I291">
        <v>0.6</v>
      </c>
      <c r="J291">
        <v>0.61</v>
      </c>
      <c r="K291">
        <v>1</v>
      </c>
      <c r="L291">
        <v>0</v>
      </c>
      <c r="M291">
        <v>0</v>
      </c>
      <c r="N291">
        <v>0</v>
      </c>
      <c r="O291">
        <v>0</v>
      </c>
      <c r="P291">
        <v>0</v>
      </c>
      <c r="Q291">
        <v>0</v>
      </c>
      <c r="R291">
        <v>0</v>
      </c>
      <c r="S291">
        <v>0</v>
      </c>
      <c r="T291">
        <v>0</v>
      </c>
      <c r="U291">
        <v>0</v>
      </c>
      <c r="V291">
        <v>1</v>
      </c>
      <c r="W291">
        <v>0</v>
      </c>
      <c r="X291">
        <v>0</v>
      </c>
      <c r="Y291">
        <v>0</v>
      </c>
      <c r="Z291">
        <v>0</v>
      </c>
      <c r="AA291">
        <v>0</v>
      </c>
      <c r="AB291">
        <v>0</v>
      </c>
      <c r="AC291">
        <v>0</v>
      </c>
      <c r="AD291">
        <v>0</v>
      </c>
      <c r="AE291">
        <v>1</v>
      </c>
      <c r="AF291" s="100">
        <f>AVERAGEIFS($C$2:C291, $B$2:B291, B291)</f>
        <v>5.25</v>
      </c>
      <c r="AG291" s="100">
        <f>AVERAGEIFS($I$2:I291, $B$2:B291, B291)</f>
        <v>0.41249999999999998</v>
      </c>
      <c r="AH291" s="100">
        <f>AVERAGEIFS($I$2:J291, $B$2:C291, C291)</f>
        <v>0.54400000000000015</v>
      </c>
      <c r="AI291" s="100">
        <f>AVERAGEIFS($D$2:D291, $B$2:B291, B291)</f>
        <v>0.25</v>
      </c>
    </row>
    <row r="292" spans="1:35" x14ac:dyDescent="0.25">
      <c r="A292" s="106">
        <v>46082</v>
      </c>
      <c r="B292" t="s">
        <v>70</v>
      </c>
      <c r="C292">
        <v>11</v>
      </c>
      <c r="D292">
        <v>1</v>
      </c>
      <c r="E292">
        <v>5</v>
      </c>
      <c r="F292">
        <v>3</v>
      </c>
      <c r="G292">
        <v>18</v>
      </c>
      <c r="H292">
        <v>11</v>
      </c>
      <c r="I292">
        <v>0.6</v>
      </c>
      <c r="J292">
        <v>0.61</v>
      </c>
      <c r="K292">
        <v>1</v>
      </c>
      <c r="L292">
        <v>0</v>
      </c>
      <c r="M292">
        <v>0</v>
      </c>
      <c r="N292">
        <v>0</v>
      </c>
      <c r="O292">
        <v>0</v>
      </c>
      <c r="P292">
        <v>0</v>
      </c>
      <c r="Q292">
        <v>0</v>
      </c>
      <c r="R292">
        <v>0</v>
      </c>
      <c r="S292">
        <v>0</v>
      </c>
      <c r="T292">
        <v>0</v>
      </c>
      <c r="U292">
        <v>0</v>
      </c>
      <c r="V292">
        <v>1</v>
      </c>
      <c r="W292">
        <v>0</v>
      </c>
      <c r="X292">
        <v>0</v>
      </c>
      <c r="Y292">
        <v>0</v>
      </c>
      <c r="Z292">
        <v>0</v>
      </c>
      <c r="AA292">
        <v>0</v>
      </c>
      <c r="AB292">
        <v>0</v>
      </c>
      <c r="AC292">
        <v>0</v>
      </c>
      <c r="AD292">
        <v>0</v>
      </c>
      <c r="AE292">
        <v>1</v>
      </c>
      <c r="AF292" s="100">
        <f>AVERAGEIFS($C$2:C292, $B$2:B292, B292)</f>
        <v>11</v>
      </c>
      <c r="AG292" s="100">
        <f>AVERAGEIFS($I$2:I292, $B$2:B292, B292)</f>
        <v>0.70000000000000007</v>
      </c>
      <c r="AH292" s="100">
        <f>AVERAGEIFS($I$2:J292, $B$2:C292, C292)</f>
        <v>0.51090909090909087</v>
      </c>
      <c r="AI292" s="100">
        <f>AVERAGEIFS($D$2:D292, $B$2:B292, B292)</f>
        <v>1</v>
      </c>
    </row>
    <row r="293" spans="1:35" x14ac:dyDescent="0.25">
      <c r="A293" s="106">
        <v>46083</v>
      </c>
      <c r="B293" t="s">
        <v>17</v>
      </c>
      <c r="C293">
        <v>25</v>
      </c>
      <c r="D293">
        <v>0</v>
      </c>
      <c r="E293">
        <v>5</v>
      </c>
      <c r="F293">
        <v>2</v>
      </c>
      <c r="G293">
        <v>20</v>
      </c>
      <c r="H293">
        <v>8</v>
      </c>
      <c r="I293">
        <v>0.4</v>
      </c>
      <c r="J293">
        <v>0.4</v>
      </c>
      <c r="K293">
        <v>0</v>
      </c>
      <c r="L293">
        <v>0</v>
      </c>
      <c r="M293">
        <v>0</v>
      </c>
      <c r="N293">
        <v>0</v>
      </c>
      <c r="O293">
        <v>0</v>
      </c>
      <c r="P293">
        <v>0</v>
      </c>
      <c r="Q293">
        <v>0</v>
      </c>
      <c r="R293">
        <v>0</v>
      </c>
      <c r="S293">
        <v>0</v>
      </c>
      <c r="T293">
        <v>0</v>
      </c>
      <c r="U293">
        <v>0</v>
      </c>
      <c r="V293">
        <v>0</v>
      </c>
      <c r="W293">
        <v>0</v>
      </c>
      <c r="X293">
        <v>0</v>
      </c>
      <c r="Y293">
        <v>1</v>
      </c>
      <c r="Z293">
        <v>0</v>
      </c>
      <c r="AA293">
        <v>0</v>
      </c>
      <c r="AB293">
        <v>1</v>
      </c>
      <c r="AC293">
        <v>0</v>
      </c>
      <c r="AD293">
        <v>0</v>
      </c>
      <c r="AE293">
        <v>0</v>
      </c>
      <c r="AF293" s="100">
        <f>AVERAGEIFS($C$2:C293, $B$2:B293, B293)</f>
        <v>21.411764705882351</v>
      </c>
      <c r="AG293" s="100">
        <f>AVERAGEIFS($I$2:I293, $B$2:B293, B293)</f>
        <v>0.4864705882352941</v>
      </c>
      <c r="AH293" s="100">
        <f>AVERAGEIFS($I$2:J293, $B$2:C293, C293)</f>
        <v>0.48928571428571427</v>
      </c>
      <c r="AI293" s="100">
        <f>AVERAGEIFS($D$2:D293, $B$2:B293, B293)</f>
        <v>0.41176470588235292</v>
      </c>
    </row>
    <row r="294" spans="1:35" x14ac:dyDescent="0.25">
      <c r="A294" s="106">
        <v>46083</v>
      </c>
      <c r="B294" t="s">
        <v>54</v>
      </c>
      <c r="C294">
        <v>24</v>
      </c>
      <c r="D294">
        <v>0</v>
      </c>
      <c r="E294">
        <v>5</v>
      </c>
      <c r="F294">
        <v>2</v>
      </c>
      <c r="G294">
        <v>20</v>
      </c>
      <c r="H294">
        <v>8</v>
      </c>
      <c r="I294">
        <v>0.4</v>
      </c>
      <c r="J294">
        <v>0.4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0</v>
      </c>
      <c r="T294">
        <v>0</v>
      </c>
      <c r="U294">
        <v>0</v>
      </c>
      <c r="V294">
        <v>0</v>
      </c>
      <c r="W294">
        <v>0</v>
      </c>
      <c r="X294">
        <v>0</v>
      </c>
      <c r="Y294">
        <v>1</v>
      </c>
      <c r="Z294">
        <v>0</v>
      </c>
      <c r="AA294">
        <v>0</v>
      </c>
      <c r="AB294">
        <v>1</v>
      </c>
      <c r="AC294">
        <v>0</v>
      </c>
      <c r="AD294">
        <v>0</v>
      </c>
      <c r="AE294">
        <v>0</v>
      </c>
      <c r="AF294" s="100">
        <f>AVERAGEIFS($C$2:C294, $B$2:B294, B294)</f>
        <v>24.954545454545453</v>
      </c>
      <c r="AG294" s="100">
        <f>AVERAGEIFS($I$2:I294, $B$2:B294, B294)</f>
        <v>0.4872727272727273</v>
      </c>
      <c r="AH294" s="100">
        <f>AVERAGEIFS($I$2:J294, $B$2:C294, C294)</f>
        <v>0.52</v>
      </c>
      <c r="AI294" s="100">
        <f>AVERAGEIFS($D$2:D294, $B$2:B294, B294)</f>
        <v>0.45454545454545453</v>
      </c>
    </row>
    <row r="295" spans="1:35" x14ac:dyDescent="0.25">
      <c r="A295" s="106">
        <v>46083</v>
      </c>
      <c r="B295" t="s">
        <v>115</v>
      </c>
      <c r="C295">
        <v>23</v>
      </c>
      <c r="D295">
        <v>0</v>
      </c>
      <c r="E295">
        <v>5</v>
      </c>
      <c r="F295">
        <v>2</v>
      </c>
      <c r="G295">
        <v>20</v>
      </c>
      <c r="H295">
        <v>8</v>
      </c>
      <c r="I295">
        <v>0.4</v>
      </c>
      <c r="J295">
        <v>0.4</v>
      </c>
      <c r="K295">
        <v>0</v>
      </c>
      <c r="L295">
        <v>0</v>
      </c>
      <c r="M295">
        <v>0</v>
      </c>
      <c r="N295">
        <v>0</v>
      </c>
      <c r="O295">
        <v>0</v>
      </c>
      <c r="P295">
        <v>0</v>
      </c>
      <c r="Q295">
        <v>0</v>
      </c>
      <c r="R295">
        <v>0</v>
      </c>
      <c r="S295">
        <v>0</v>
      </c>
      <c r="T295">
        <v>0</v>
      </c>
      <c r="U295">
        <v>0</v>
      </c>
      <c r="V295">
        <v>0</v>
      </c>
      <c r="W295">
        <v>0</v>
      </c>
      <c r="X295">
        <v>0</v>
      </c>
      <c r="Y295">
        <v>1</v>
      </c>
      <c r="Z295">
        <v>0</v>
      </c>
      <c r="AA295">
        <v>0</v>
      </c>
      <c r="AB295">
        <v>1</v>
      </c>
      <c r="AC295">
        <v>0</v>
      </c>
      <c r="AD295">
        <v>0</v>
      </c>
      <c r="AE295">
        <v>0</v>
      </c>
      <c r="AF295" s="100">
        <f>AVERAGEIFS($C$2:C295, $B$2:B295, B295)</f>
        <v>13.4</v>
      </c>
      <c r="AG295" s="100">
        <f>AVERAGEIFS($I$2:I295, $B$2:B295, B295)</f>
        <v>0.38</v>
      </c>
      <c r="AH295" s="100">
        <f>AVERAGEIFS($I$2:J295, $B$2:C295, C295)</f>
        <v>0.57499999999999996</v>
      </c>
      <c r="AI295" s="100">
        <f>AVERAGEIFS($D$2:D295, $B$2:B295, B295)</f>
        <v>0.2</v>
      </c>
    </row>
    <row r="296" spans="1:35" x14ac:dyDescent="0.25">
      <c r="A296" s="106">
        <v>46083</v>
      </c>
      <c r="B296" t="s">
        <v>107</v>
      </c>
      <c r="C296">
        <v>16</v>
      </c>
      <c r="D296">
        <v>0</v>
      </c>
      <c r="E296">
        <v>5</v>
      </c>
      <c r="F296">
        <v>2</v>
      </c>
      <c r="G296">
        <v>20</v>
      </c>
      <c r="H296">
        <v>8</v>
      </c>
      <c r="I296">
        <v>0.4</v>
      </c>
      <c r="J296">
        <v>0.4</v>
      </c>
      <c r="K296">
        <v>0</v>
      </c>
      <c r="L296">
        <v>0</v>
      </c>
      <c r="M296">
        <v>0</v>
      </c>
      <c r="N296">
        <v>0</v>
      </c>
      <c r="O296">
        <v>0</v>
      </c>
      <c r="P296">
        <v>0</v>
      </c>
      <c r="Q296">
        <v>0</v>
      </c>
      <c r="R296">
        <v>0</v>
      </c>
      <c r="S296">
        <v>0</v>
      </c>
      <c r="T296">
        <v>0</v>
      </c>
      <c r="U296">
        <v>0</v>
      </c>
      <c r="V296">
        <v>0</v>
      </c>
      <c r="W296">
        <v>0</v>
      </c>
      <c r="X296">
        <v>0</v>
      </c>
      <c r="Y296">
        <v>1</v>
      </c>
      <c r="Z296">
        <v>0</v>
      </c>
      <c r="AA296">
        <v>0</v>
      </c>
      <c r="AB296">
        <v>1</v>
      </c>
      <c r="AC296">
        <v>0</v>
      </c>
      <c r="AD296">
        <v>0</v>
      </c>
      <c r="AE296">
        <v>0</v>
      </c>
      <c r="AF296" s="100">
        <f>AVERAGEIFS($C$2:C296, $B$2:B296, B296)</f>
        <v>15.833333333333334</v>
      </c>
      <c r="AG296" s="100">
        <f>AVERAGEIFS($I$2:I296, $B$2:B296, B296)</f>
        <v>0.54999999999999993</v>
      </c>
      <c r="AH296" s="100">
        <f>AVERAGEIFS($I$2:J296, $B$2:C296, C296)</f>
        <v>0.5006666666666667</v>
      </c>
      <c r="AI296" s="100">
        <f>AVERAGEIFS($D$2:D296, $B$2:B296, B296)</f>
        <v>0.5</v>
      </c>
    </row>
    <row r="297" spans="1:35" x14ac:dyDescent="0.25">
      <c r="A297" s="106">
        <v>46083</v>
      </c>
      <c r="B297" t="s">
        <v>52</v>
      </c>
      <c r="C297">
        <v>16</v>
      </c>
      <c r="D297">
        <v>0</v>
      </c>
      <c r="E297">
        <v>5</v>
      </c>
      <c r="F297">
        <v>2</v>
      </c>
      <c r="G297">
        <v>20</v>
      </c>
      <c r="H297">
        <v>8</v>
      </c>
      <c r="I297">
        <v>0.4</v>
      </c>
      <c r="J297">
        <v>0.4</v>
      </c>
      <c r="K297">
        <v>0</v>
      </c>
      <c r="L297">
        <v>0</v>
      </c>
      <c r="M297">
        <v>0</v>
      </c>
      <c r="N297">
        <v>0</v>
      </c>
      <c r="O297">
        <v>0</v>
      </c>
      <c r="P297">
        <v>0</v>
      </c>
      <c r="Q297">
        <v>0</v>
      </c>
      <c r="R297">
        <v>0</v>
      </c>
      <c r="S297">
        <v>0</v>
      </c>
      <c r="T297">
        <v>0</v>
      </c>
      <c r="U297">
        <v>0</v>
      </c>
      <c r="V297">
        <v>0</v>
      </c>
      <c r="W297">
        <v>0</v>
      </c>
      <c r="X297">
        <v>0</v>
      </c>
      <c r="Y297">
        <v>1</v>
      </c>
      <c r="Z297">
        <v>0</v>
      </c>
      <c r="AA297">
        <v>0</v>
      </c>
      <c r="AB297">
        <v>1</v>
      </c>
      <c r="AC297">
        <v>0</v>
      </c>
      <c r="AD297">
        <v>0</v>
      </c>
      <c r="AE297">
        <v>0</v>
      </c>
      <c r="AF297" s="100">
        <f>AVERAGEIFS($C$2:C297, $B$2:B297, B297)</f>
        <v>14</v>
      </c>
      <c r="AG297" s="100">
        <f>AVERAGEIFS($I$2:I297, $B$2:B297, B297)</f>
        <v>0.35833333333333334</v>
      </c>
      <c r="AH297" s="100">
        <f>AVERAGEIFS($I$2:J297, $B$2:C297, C297)</f>
        <v>0.49437500000000006</v>
      </c>
      <c r="AI297" s="100">
        <f>AVERAGEIFS($D$2:D297, $B$2:B297, B297)</f>
        <v>0.16666666666666666</v>
      </c>
    </row>
    <row r="298" spans="1:35" x14ac:dyDescent="0.25">
      <c r="A298" s="106">
        <v>46083</v>
      </c>
      <c r="B298" t="s">
        <v>40</v>
      </c>
      <c r="C298">
        <v>15</v>
      </c>
      <c r="D298">
        <v>0</v>
      </c>
      <c r="E298">
        <v>5</v>
      </c>
      <c r="F298">
        <v>2</v>
      </c>
      <c r="G298">
        <v>20</v>
      </c>
      <c r="H298">
        <v>8</v>
      </c>
      <c r="I298">
        <v>0.4</v>
      </c>
      <c r="J298">
        <v>0.4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0</v>
      </c>
      <c r="T298">
        <v>0</v>
      </c>
      <c r="U298">
        <v>0</v>
      </c>
      <c r="V298">
        <v>0</v>
      </c>
      <c r="W298">
        <v>0</v>
      </c>
      <c r="X298">
        <v>0</v>
      </c>
      <c r="Y298">
        <v>1</v>
      </c>
      <c r="Z298">
        <v>0</v>
      </c>
      <c r="AA298">
        <v>0</v>
      </c>
      <c r="AB298">
        <v>1</v>
      </c>
      <c r="AC298">
        <v>0</v>
      </c>
      <c r="AD298">
        <v>0</v>
      </c>
      <c r="AE298">
        <v>0</v>
      </c>
      <c r="AF298" s="100">
        <f>AVERAGEIFS($C$2:C298, $B$2:B298, B298)</f>
        <v>17.666666666666668</v>
      </c>
      <c r="AG298" s="100">
        <f>AVERAGEIFS($I$2:I298, $B$2:B298, B298)</f>
        <v>0.44333333333333341</v>
      </c>
      <c r="AH298" s="100">
        <f>AVERAGEIFS($I$2:J298, $B$2:C298, C298)</f>
        <v>0.4933333333333334</v>
      </c>
      <c r="AI298" s="100">
        <f>AVERAGEIFS($D$2:D298, $B$2:B298, B298)</f>
        <v>0.4</v>
      </c>
    </row>
    <row r="299" spans="1:35" x14ac:dyDescent="0.25">
      <c r="A299" s="106">
        <v>46083</v>
      </c>
      <c r="B299" t="s">
        <v>35</v>
      </c>
      <c r="C299">
        <v>8</v>
      </c>
      <c r="D299">
        <v>0</v>
      </c>
      <c r="E299">
        <v>5</v>
      </c>
      <c r="F299">
        <v>2</v>
      </c>
      <c r="G299">
        <v>20</v>
      </c>
      <c r="H299">
        <v>8</v>
      </c>
      <c r="I299">
        <v>0.4</v>
      </c>
      <c r="J299">
        <v>0.4</v>
      </c>
      <c r="K299">
        <v>0</v>
      </c>
      <c r="L299">
        <v>0</v>
      </c>
      <c r="M299">
        <v>0</v>
      </c>
      <c r="N299">
        <v>0</v>
      </c>
      <c r="O299">
        <v>0</v>
      </c>
      <c r="P299">
        <v>0</v>
      </c>
      <c r="Q299">
        <v>0</v>
      </c>
      <c r="R299">
        <v>0</v>
      </c>
      <c r="S299">
        <v>0</v>
      </c>
      <c r="T299">
        <v>0</v>
      </c>
      <c r="U299">
        <v>0</v>
      </c>
      <c r="V299">
        <v>0</v>
      </c>
      <c r="W299">
        <v>0</v>
      </c>
      <c r="X299">
        <v>0</v>
      </c>
      <c r="Y299">
        <v>1</v>
      </c>
      <c r="Z299">
        <v>0</v>
      </c>
      <c r="AA299">
        <v>0</v>
      </c>
      <c r="AB299">
        <v>1</v>
      </c>
      <c r="AC299">
        <v>0</v>
      </c>
      <c r="AD299">
        <v>0</v>
      </c>
      <c r="AE299">
        <v>0</v>
      </c>
      <c r="AF299" s="100">
        <f>AVERAGEIFS($C$2:C299, $B$2:B299, B299)</f>
        <v>11.842105263157896</v>
      </c>
      <c r="AG299" s="100">
        <f>AVERAGEIFS($I$2:I299, $B$2:B299, B299)</f>
        <v>0.44894736842105271</v>
      </c>
      <c r="AH299" s="100">
        <f>AVERAGEIFS($I$2:J299, $B$2:C299, C299)</f>
        <v>0.48874999999999996</v>
      </c>
      <c r="AI299" s="100">
        <f>AVERAGEIFS($D$2:D299, $B$2:B299, B299)</f>
        <v>0.36842105263157893</v>
      </c>
    </row>
    <row r="300" spans="1:35" x14ac:dyDescent="0.25">
      <c r="A300" s="106">
        <v>46084</v>
      </c>
      <c r="B300" t="s">
        <v>50</v>
      </c>
      <c r="C300">
        <v>10</v>
      </c>
      <c r="D300">
        <v>0</v>
      </c>
      <c r="E300">
        <v>4</v>
      </c>
      <c r="F300">
        <v>1</v>
      </c>
      <c r="G300">
        <v>14</v>
      </c>
      <c r="H300">
        <v>4</v>
      </c>
      <c r="I300">
        <v>0.25</v>
      </c>
      <c r="J300">
        <v>0.28999999999999998</v>
      </c>
      <c r="K300">
        <v>0</v>
      </c>
      <c r="L300">
        <v>0</v>
      </c>
      <c r="M300">
        <v>0</v>
      </c>
      <c r="N300">
        <v>0</v>
      </c>
      <c r="O300">
        <v>0</v>
      </c>
      <c r="P300">
        <v>0</v>
      </c>
      <c r="Q300">
        <v>0</v>
      </c>
      <c r="R300">
        <v>0</v>
      </c>
      <c r="S300">
        <v>0</v>
      </c>
      <c r="T300">
        <v>0</v>
      </c>
      <c r="U300">
        <v>0</v>
      </c>
      <c r="V300">
        <v>0</v>
      </c>
      <c r="W300">
        <v>0</v>
      </c>
      <c r="X300">
        <v>0</v>
      </c>
      <c r="Y300">
        <v>0</v>
      </c>
      <c r="Z300">
        <v>0</v>
      </c>
      <c r="AA300">
        <v>1</v>
      </c>
      <c r="AB300">
        <v>0</v>
      </c>
      <c r="AC300">
        <v>0</v>
      </c>
      <c r="AD300">
        <v>0</v>
      </c>
      <c r="AE300">
        <v>0</v>
      </c>
      <c r="AF300" s="100">
        <f>AVERAGEIFS($C$2:C300, $B$2:B300, B300)</f>
        <v>20.149999999999999</v>
      </c>
      <c r="AG300" s="100">
        <f>AVERAGEIFS($I$2:I300, $B$2:B300, B300)</f>
        <v>0.50150000000000006</v>
      </c>
      <c r="AH300" s="100">
        <f>AVERAGEIFS($I$2:J300, $B$2:C300, C300)</f>
        <v>0.52444444444444438</v>
      </c>
      <c r="AI300" s="100">
        <f>AVERAGEIFS($D$2:D300, $B$2:B300, B300)</f>
        <v>0.5</v>
      </c>
    </row>
    <row r="301" spans="1:35" x14ac:dyDescent="0.25">
      <c r="A301" s="106">
        <v>46084</v>
      </c>
      <c r="B301" t="s">
        <v>2</v>
      </c>
      <c r="C301">
        <v>18</v>
      </c>
      <c r="D301">
        <v>0</v>
      </c>
      <c r="E301">
        <v>4</v>
      </c>
      <c r="F301">
        <v>1</v>
      </c>
      <c r="G301">
        <v>14</v>
      </c>
      <c r="H301">
        <v>4</v>
      </c>
      <c r="I301">
        <v>0.25</v>
      </c>
      <c r="J301">
        <v>0.28999999999999998</v>
      </c>
      <c r="K301">
        <v>0</v>
      </c>
      <c r="L301">
        <v>0</v>
      </c>
      <c r="M301">
        <v>0</v>
      </c>
      <c r="N301">
        <v>0</v>
      </c>
      <c r="O301">
        <v>0</v>
      </c>
      <c r="P301">
        <v>0</v>
      </c>
      <c r="Q301">
        <v>0</v>
      </c>
      <c r="R301">
        <v>0</v>
      </c>
      <c r="S301">
        <v>0</v>
      </c>
      <c r="T301">
        <v>0</v>
      </c>
      <c r="U301">
        <v>0</v>
      </c>
      <c r="V301">
        <v>0</v>
      </c>
      <c r="W301">
        <v>0</v>
      </c>
      <c r="X301">
        <v>0</v>
      </c>
      <c r="Y301">
        <v>0</v>
      </c>
      <c r="Z301">
        <v>0</v>
      </c>
      <c r="AA301">
        <v>1</v>
      </c>
      <c r="AB301">
        <v>0</v>
      </c>
      <c r="AC301">
        <v>0</v>
      </c>
      <c r="AD301">
        <v>0</v>
      </c>
      <c r="AE301">
        <v>0</v>
      </c>
      <c r="AF301" s="100">
        <f>AVERAGEIFS($C$2:C301, $B$2:B301, B301)</f>
        <v>24.176470588235293</v>
      </c>
      <c r="AG301" s="100">
        <f>AVERAGEIFS($I$2:I301, $B$2:B301, B301)</f>
        <v>0.49882352941176472</v>
      </c>
      <c r="AH301" s="100">
        <f>AVERAGEIFS($I$2:J301, $B$2:C301, C301)</f>
        <v>0.46533333333333338</v>
      </c>
      <c r="AI301" s="100">
        <f>AVERAGEIFS($D$2:D301, $B$2:B301, B301)</f>
        <v>0.47058823529411764</v>
      </c>
    </row>
    <row r="302" spans="1:35" x14ac:dyDescent="0.25">
      <c r="A302" s="106">
        <v>46084</v>
      </c>
      <c r="B302" t="s">
        <v>1</v>
      </c>
      <c r="C302">
        <v>23</v>
      </c>
      <c r="D302">
        <v>0</v>
      </c>
      <c r="E302">
        <v>4</v>
      </c>
      <c r="F302">
        <v>1</v>
      </c>
      <c r="G302">
        <v>14</v>
      </c>
      <c r="H302">
        <v>4</v>
      </c>
      <c r="I302">
        <v>0.25</v>
      </c>
      <c r="J302">
        <v>0.28999999999999998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0</v>
      </c>
      <c r="T302">
        <v>0</v>
      </c>
      <c r="U302">
        <v>0</v>
      </c>
      <c r="V302">
        <v>0</v>
      </c>
      <c r="W302">
        <v>0</v>
      </c>
      <c r="X302">
        <v>0</v>
      </c>
      <c r="Y302">
        <v>0</v>
      </c>
      <c r="Z302">
        <v>0</v>
      </c>
      <c r="AA302">
        <v>1</v>
      </c>
      <c r="AB302">
        <v>0</v>
      </c>
      <c r="AC302">
        <v>0</v>
      </c>
      <c r="AD302">
        <v>0</v>
      </c>
      <c r="AE302">
        <v>0</v>
      </c>
      <c r="AF302" s="100">
        <f>AVERAGEIFS($C$2:C302, $B$2:B302, B302)</f>
        <v>29.111111111111111</v>
      </c>
      <c r="AG302" s="100">
        <f>AVERAGEIFS($I$2:I302, $B$2:B302, B302)</f>
        <v>0.38333333333333336</v>
      </c>
      <c r="AH302" s="100">
        <f>AVERAGEIFS($I$2:J302, $B$2:C302, C302)</f>
        <v>0.55599999999999983</v>
      </c>
      <c r="AI302" s="100">
        <f>AVERAGEIFS($D$2:D302, $B$2:B302, B302)</f>
        <v>0.44444444444444442</v>
      </c>
    </row>
    <row r="303" spans="1:35" x14ac:dyDescent="0.25">
      <c r="A303" s="106">
        <v>46084</v>
      </c>
      <c r="B303" t="s">
        <v>53</v>
      </c>
      <c r="C303">
        <v>17</v>
      </c>
      <c r="D303">
        <v>0</v>
      </c>
      <c r="E303">
        <v>4</v>
      </c>
      <c r="F303">
        <v>1</v>
      </c>
      <c r="G303">
        <v>14</v>
      </c>
      <c r="H303">
        <v>4</v>
      </c>
      <c r="I303">
        <v>0.25</v>
      </c>
      <c r="J303">
        <v>0.28999999999999998</v>
      </c>
      <c r="K303">
        <v>0</v>
      </c>
      <c r="L303">
        <v>0</v>
      </c>
      <c r="M303">
        <v>0</v>
      </c>
      <c r="N303">
        <v>0</v>
      </c>
      <c r="O303">
        <v>0</v>
      </c>
      <c r="P303">
        <v>0</v>
      </c>
      <c r="Q303">
        <v>0</v>
      </c>
      <c r="R303">
        <v>0</v>
      </c>
      <c r="S303">
        <v>0</v>
      </c>
      <c r="T303">
        <v>0</v>
      </c>
      <c r="U303">
        <v>0</v>
      </c>
      <c r="V303">
        <v>0</v>
      </c>
      <c r="W303">
        <v>0</v>
      </c>
      <c r="X303">
        <v>0</v>
      </c>
      <c r="Y303">
        <v>0</v>
      </c>
      <c r="Z303">
        <v>0</v>
      </c>
      <c r="AA303">
        <v>1</v>
      </c>
      <c r="AB303">
        <v>0</v>
      </c>
      <c r="AC303">
        <v>0</v>
      </c>
      <c r="AD303">
        <v>0</v>
      </c>
      <c r="AE303">
        <v>0</v>
      </c>
      <c r="AF303" s="100">
        <f>AVERAGEIFS($C$2:C303, $B$2:B303, B303)</f>
        <v>18.875</v>
      </c>
      <c r="AG303" s="100">
        <f>AVERAGEIFS($I$2:I303, $B$2:B303, B303)</f>
        <v>0.48749999999999999</v>
      </c>
      <c r="AH303" s="100">
        <f>AVERAGEIFS($I$2:J303, $B$2:C303, C303)</f>
        <v>0.43733333333333341</v>
      </c>
      <c r="AI303" s="100">
        <f>AVERAGEIFS($D$2:D303, $B$2:B303, B303)</f>
        <v>0.375</v>
      </c>
    </row>
    <row r="304" spans="1:35" x14ac:dyDescent="0.25">
      <c r="A304" s="106">
        <v>46084</v>
      </c>
      <c r="B304" t="s">
        <v>44</v>
      </c>
      <c r="C304">
        <v>11</v>
      </c>
      <c r="D304">
        <v>0</v>
      </c>
      <c r="E304">
        <v>4</v>
      </c>
      <c r="F304">
        <v>1</v>
      </c>
      <c r="G304">
        <v>14</v>
      </c>
      <c r="H304">
        <v>4</v>
      </c>
      <c r="I304">
        <v>0.25</v>
      </c>
      <c r="J304">
        <v>0.28999999999999998</v>
      </c>
      <c r="K304">
        <v>0</v>
      </c>
      <c r="L304">
        <v>0</v>
      </c>
      <c r="M304">
        <v>0</v>
      </c>
      <c r="N304">
        <v>0</v>
      </c>
      <c r="O304">
        <v>0</v>
      </c>
      <c r="P304">
        <v>0</v>
      </c>
      <c r="Q304">
        <v>0</v>
      </c>
      <c r="R304">
        <v>0</v>
      </c>
      <c r="S304">
        <v>0</v>
      </c>
      <c r="T304">
        <v>0</v>
      </c>
      <c r="U304">
        <v>0</v>
      </c>
      <c r="V304">
        <v>0</v>
      </c>
      <c r="W304">
        <v>0</v>
      </c>
      <c r="X304">
        <v>0</v>
      </c>
      <c r="Y304">
        <v>0</v>
      </c>
      <c r="Z304">
        <v>0</v>
      </c>
      <c r="AA304">
        <v>1</v>
      </c>
      <c r="AB304">
        <v>0</v>
      </c>
      <c r="AC304">
        <v>0</v>
      </c>
      <c r="AD304">
        <v>0</v>
      </c>
      <c r="AE304">
        <v>0</v>
      </c>
      <c r="AF304" s="100">
        <f>AVERAGEIFS($C$2:C304, $B$2:B304, B304)</f>
        <v>17.428571428571427</v>
      </c>
      <c r="AG304" s="100">
        <f>AVERAGEIFS($I$2:I304, $B$2:B304, B304)</f>
        <v>0.47857142857142859</v>
      </c>
      <c r="AH304" s="100">
        <f>AVERAGEIFS($I$2:J304, $B$2:C304, C304)</f>
        <v>0.49249999999999999</v>
      </c>
      <c r="AI304" s="100">
        <f>AVERAGEIFS($D$2:D304, $B$2:B304, B304)</f>
        <v>0.5714285714285714</v>
      </c>
    </row>
    <row r="305" spans="1:35" x14ac:dyDescent="0.25">
      <c r="A305" s="106">
        <v>46084</v>
      </c>
      <c r="B305" t="s">
        <v>27</v>
      </c>
      <c r="C305">
        <v>10</v>
      </c>
      <c r="D305">
        <v>0</v>
      </c>
      <c r="E305">
        <v>4</v>
      </c>
      <c r="F305">
        <v>1</v>
      </c>
      <c r="G305">
        <v>14</v>
      </c>
      <c r="H305">
        <v>4</v>
      </c>
      <c r="I305">
        <v>0.25</v>
      </c>
      <c r="J305">
        <v>0.28999999999999998</v>
      </c>
      <c r="K305">
        <v>0</v>
      </c>
      <c r="L305">
        <v>0</v>
      </c>
      <c r="M305">
        <v>0</v>
      </c>
      <c r="N305">
        <v>0</v>
      </c>
      <c r="O305">
        <v>0</v>
      </c>
      <c r="P305">
        <v>0</v>
      </c>
      <c r="Q305">
        <v>0</v>
      </c>
      <c r="R305">
        <v>0</v>
      </c>
      <c r="S305">
        <v>0</v>
      </c>
      <c r="T305">
        <v>0</v>
      </c>
      <c r="U305">
        <v>0</v>
      </c>
      <c r="V305">
        <v>0</v>
      </c>
      <c r="W305">
        <v>0</v>
      </c>
      <c r="X305">
        <v>0</v>
      </c>
      <c r="Y305">
        <v>0</v>
      </c>
      <c r="Z305">
        <v>0</v>
      </c>
      <c r="AA305">
        <v>1</v>
      </c>
      <c r="AB305">
        <v>0</v>
      </c>
      <c r="AC305">
        <v>0</v>
      </c>
      <c r="AD305">
        <v>0</v>
      </c>
      <c r="AE305">
        <v>0</v>
      </c>
      <c r="AF305" s="100">
        <f>AVERAGEIFS($C$2:C305, $B$2:B305, B305)</f>
        <v>14.2</v>
      </c>
      <c r="AG305" s="100">
        <f>AVERAGEIFS($I$2:I305, $B$2:B305, B305)</f>
        <v>0.48</v>
      </c>
      <c r="AH305" s="100">
        <f>AVERAGEIFS($I$2:J305, $B$2:C305, C305)</f>
        <v>0.501</v>
      </c>
      <c r="AI305" s="100">
        <f>AVERAGEIFS($D$2:D305, $B$2:B305, B305)</f>
        <v>0.4</v>
      </c>
    </row>
    <row r="306" spans="1:35" x14ac:dyDescent="0.25">
      <c r="A306" s="106">
        <v>46084</v>
      </c>
      <c r="B306" t="s">
        <v>6</v>
      </c>
      <c r="C306">
        <v>16</v>
      </c>
      <c r="D306">
        <v>1</v>
      </c>
      <c r="E306">
        <v>4</v>
      </c>
      <c r="F306">
        <v>3</v>
      </c>
      <c r="G306">
        <v>14</v>
      </c>
      <c r="H306">
        <v>10</v>
      </c>
      <c r="I306">
        <v>0.75</v>
      </c>
      <c r="J306">
        <v>0.71</v>
      </c>
      <c r="K306">
        <v>0</v>
      </c>
      <c r="L306">
        <v>1</v>
      </c>
      <c r="M306">
        <v>0</v>
      </c>
      <c r="N306">
        <v>1</v>
      </c>
      <c r="O306">
        <v>0</v>
      </c>
      <c r="P306">
        <v>0</v>
      </c>
      <c r="Q306">
        <v>0</v>
      </c>
      <c r="R306">
        <v>0</v>
      </c>
      <c r="S306">
        <v>0</v>
      </c>
      <c r="T306">
        <v>0</v>
      </c>
      <c r="U306">
        <v>0</v>
      </c>
      <c r="V306">
        <v>0</v>
      </c>
      <c r="W306">
        <v>0</v>
      </c>
      <c r="X306">
        <v>0</v>
      </c>
      <c r="Y306">
        <v>0</v>
      </c>
      <c r="Z306">
        <v>0</v>
      </c>
      <c r="AA306">
        <v>0</v>
      </c>
      <c r="AB306">
        <v>0</v>
      </c>
      <c r="AC306">
        <v>1</v>
      </c>
      <c r="AD306">
        <v>0</v>
      </c>
      <c r="AE306">
        <v>0</v>
      </c>
      <c r="AF306" s="100">
        <f>AVERAGEIFS($C$2:C306, $B$2:B306, B306)</f>
        <v>23.3</v>
      </c>
      <c r="AG306" s="100">
        <f>AVERAGEIFS($I$2:I306, $B$2:B306, B306)</f>
        <v>0.64399999999999991</v>
      </c>
      <c r="AH306" s="100">
        <f>AVERAGEIFS($I$2:J306, $B$2:C306, C306)</f>
        <v>0.50705882352941178</v>
      </c>
      <c r="AI306" s="100">
        <f>AVERAGEIFS($D$2:D306, $B$2:B306, B306)</f>
        <v>0.75</v>
      </c>
    </row>
    <row r="307" spans="1:35" x14ac:dyDescent="0.25">
      <c r="A307" s="106">
        <v>46084</v>
      </c>
      <c r="B307" t="s">
        <v>4</v>
      </c>
      <c r="C307">
        <v>18</v>
      </c>
      <c r="D307">
        <v>1</v>
      </c>
      <c r="E307">
        <v>4</v>
      </c>
      <c r="F307">
        <v>3</v>
      </c>
      <c r="G307">
        <v>14</v>
      </c>
      <c r="H307">
        <v>10</v>
      </c>
      <c r="I307">
        <v>0.75</v>
      </c>
      <c r="J307">
        <v>0.71</v>
      </c>
      <c r="K307">
        <v>0</v>
      </c>
      <c r="L307">
        <v>1</v>
      </c>
      <c r="M307">
        <v>0</v>
      </c>
      <c r="N307">
        <v>1</v>
      </c>
      <c r="O307">
        <v>0</v>
      </c>
      <c r="P307">
        <v>0</v>
      </c>
      <c r="Q307">
        <v>0</v>
      </c>
      <c r="R307">
        <v>0</v>
      </c>
      <c r="S307">
        <v>0</v>
      </c>
      <c r="T307">
        <v>0</v>
      </c>
      <c r="U307">
        <v>0</v>
      </c>
      <c r="V307">
        <v>0</v>
      </c>
      <c r="W307">
        <v>0</v>
      </c>
      <c r="X307">
        <v>0</v>
      </c>
      <c r="Y307">
        <v>0</v>
      </c>
      <c r="Z307">
        <v>0</v>
      </c>
      <c r="AA307">
        <v>0</v>
      </c>
      <c r="AB307">
        <v>0</v>
      </c>
      <c r="AC307">
        <v>1</v>
      </c>
      <c r="AD307">
        <v>0</v>
      </c>
      <c r="AE307">
        <v>0</v>
      </c>
      <c r="AF307" s="100">
        <f>AVERAGEIFS($C$2:C307, $B$2:B307, B307)</f>
        <v>25.6</v>
      </c>
      <c r="AG307" s="100">
        <f>AVERAGEIFS($I$2:I307, $B$2:B307, B307)</f>
        <v>0.42000000000000004</v>
      </c>
      <c r="AH307" s="100">
        <f>AVERAGEIFS($I$2:J307, $B$2:C307, C307)</f>
        <v>0.48062500000000002</v>
      </c>
      <c r="AI307" s="100">
        <f>AVERAGEIFS($D$2:D307, $B$2:B307, B307)</f>
        <v>0.3</v>
      </c>
    </row>
    <row r="308" spans="1:35" x14ac:dyDescent="0.25">
      <c r="A308" s="106">
        <v>46084</v>
      </c>
      <c r="B308" t="s">
        <v>52</v>
      </c>
      <c r="C308">
        <v>13</v>
      </c>
      <c r="D308">
        <v>1</v>
      </c>
      <c r="E308">
        <v>4</v>
      </c>
      <c r="F308">
        <v>3</v>
      </c>
      <c r="G308">
        <v>14</v>
      </c>
      <c r="H308">
        <v>10</v>
      </c>
      <c r="I308">
        <v>0.75</v>
      </c>
      <c r="J308">
        <v>0.71</v>
      </c>
      <c r="K308">
        <v>0</v>
      </c>
      <c r="L308">
        <v>1</v>
      </c>
      <c r="M308">
        <v>0</v>
      </c>
      <c r="N308">
        <v>1</v>
      </c>
      <c r="O308">
        <v>0</v>
      </c>
      <c r="P308">
        <v>0</v>
      </c>
      <c r="Q308">
        <v>0</v>
      </c>
      <c r="R308">
        <v>0</v>
      </c>
      <c r="S308">
        <v>0</v>
      </c>
      <c r="T308">
        <v>0</v>
      </c>
      <c r="U308">
        <v>0</v>
      </c>
      <c r="V308">
        <v>0</v>
      </c>
      <c r="W308">
        <v>0</v>
      </c>
      <c r="X308">
        <v>0</v>
      </c>
      <c r="Y308">
        <v>0</v>
      </c>
      <c r="Z308">
        <v>0</v>
      </c>
      <c r="AA308">
        <v>0</v>
      </c>
      <c r="AB308">
        <v>0</v>
      </c>
      <c r="AC308">
        <v>1</v>
      </c>
      <c r="AD308">
        <v>0</v>
      </c>
      <c r="AE308">
        <v>0</v>
      </c>
      <c r="AF308" s="100">
        <f>AVERAGEIFS($C$2:C308, $B$2:B308, B308)</f>
        <v>13.857142857142858</v>
      </c>
      <c r="AG308" s="100">
        <f>AVERAGEIFS($I$2:I308, $B$2:B308, B308)</f>
        <v>0.41428571428571426</v>
      </c>
      <c r="AH308" s="100">
        <f>AVERAGEIFS($I$2:J308, $B$2:C308, C308)</f>
        <v>0.52533333333333332</v>
      </c>
      <c r="AI308" s="100">
        <f>AVERAGEIFS($D$2:D308, $B$2:B308, B308)</f>
        <v>0.2857142857142857</v>
      </c>
    </row>
    <row r="309" spans="1:35" x14ac:dyDescent="0.25">
      <c r="A309" s="106">
        <v>46084</v>
      </c>
      <c r="B309" t="s">
        <v>40</v>
      </c>
      <c r="C309">
        <v>18</v>
      </c>
      <c r="D309">
        <v>1</v>
      </c>
      <c r="E309">
        <v>4</v>
      </c>
      <c r="F309">
        <v>3</v>
      </c>
      <c r="G309">
        <v>14</v>
      </c>
      <c r="H309">
        <v>10</v>
      </c>
      <c r="I309">
        <v>0.75</v>
      </c>
      <c r="J309">
        <v>0.71</v>
      </c>
      <c r="K309">
        <v>0</v>
      </c>
      <c r="L309">
        <v>1</v>
      </c>
      <c r="M309">
        <v>0</v>
      </c>
      <c r="N309">
        <v>1</v>
      </c>
      <c r="O309">
        <v>0</v>
      </c>
      <c r="P309">
        <v>0</v>
      </c>
      <c r="Q309">
        <v>0</v>
      </c>
      <c r="R309">
        <v>0</v>
      </c>
      <c r="S309">
        <v>0</v>
      </c>
      <c r="T309">
        <v>0</v>
      </c>
      <c r="U309">
        <v>0</v>
      </c>
      <c r="V309">
        <v>0</v>
      </c>
      <c r="W309">
        <v>0</v>
      </c>
      <c r="X309">
        <v>0</v>
      </c>
      <c r="Y309">
        <v>0</v>
      </c>
      <c r="Z309">
        <v>0</v>
      </c>
      <c r="AA309">
        <v>0</v>
      </c>
      <c r="AB309">
        <v>0</v>
      </c>
      <c r="AC309">
        <v>1</v>
      </c>
      <c r="AD309">
        <v>0</v>
      </c>
      <c r="AE309">
        <v>0</v>
      </c>
      <c r="AF309" s="100">
        <f>AVERAGEIFS($C$2:C309, $B$2:B309, B309)</f>
        <v>17.6875</v>
      </c>
      <c r="AG309" s="100">
        <f>AVERAGEIFS($I$2:I309, $B$2:B309, B309)</f>
        <v>0.46250000000000008</v>
      </c>
      <c r="AH309" s="100">
        <f>AVERAGEIFS($I$2:J309, $B$2:C309, C309)</f>
        <v>0.49411764705882355</v>
      </c>
      <c r="AI309" s="100">
        <f>AVERAGEIFS($D$2:D309, $B$2:B309, B309)</f>
        <v>0.4375</v>
      </c>
    </row>
    <row r="310" spans="1:35" x14ac:dyDescent="0.25">
      <c r="A310" s="106">
        <v>46084</v>
      </c>
      <c r="B310" t="s">
        <v>42</v>
      </c>
      <c r="C310">
        <v>28</v>
      </c>
      <c r="D310">
        <v>1</v>
      </c>
      <c r="E310">
        <v>4</v>
      </c>
      <c r="F310">
        <v>3</v>
      </c>
      <c r="G310">
        <v>14</v>
      </c>
      <c r="H310">
        <v>10</v>
      </c>
      <c r="I310">
        <v>0.75</v>
      </c>
      <c r="J310">
        <v>0.71</v>
      </c>
      <c r="K310">
        <v>0</v>
      </c>
      <c r="L310">
        <v>1</v>
      </c>
      <c r="M310">
        <v>0</v>
      </c>
      <c r="N310">
        <v>1</v>
      </c>
      <c r="O310">
        <v>0</v>
      </c>
      <c r="P310">
        <v>0</v>
      </c>
      <c r="Q310">
        <v>0</v>
      </c>
      <c r="R310">
        <v>0</v>
      </c>
      <c r="S310">
        <v>0</v>
      </c>
      <c r="T310">
        <v>0</v>
      </c>
      <c r="U310">
        <v>0</v>
      </c>
      <c r="V310">
        <v>0</v>
      </c>
      <c r="W310">
        <v>0</v>
      </c>
      <c r="X310">
        <v>0</v>
      </c>
      <c r="Y310">
        <v>0</v>
      </c>
      <c r="Z310">
        <v>0</v>
      </c>
      <c r="AA310">
        <v>0</v>
      </c>
      <c r="AB310">
        <v>0</v>
      </c>
      <c r="AC310">
        <v>1</v>
      </c>
      <c r="AD310">
        <v>0</v>
      </c>
      <c r="AE310">
        <v>0</v>
      </c>
      <c r="AF310" s="100">
        <f>AVERAGEIFS($C$2:C310, $B$2:B310, B310)</f>
        <v>17.100000000000001</v>
      </c>
      <c r="AG310" s="100">
        <f>AVERAGEIFS($I$2:I310, $B$2:B310, B310)</f>
        <v>0.495</v>
      </c>
      <c r="AH310" s="100">
        <f>AVERAGEIFS($I$2:J310, $B$2:C310, C310)</f>
        <v>0.4916666666666667</v>
      </c>
      <c r="AI310" s="100">
        <f>AVERAGEIFS($D$2:D310, $B$2:B310, B310)</f>
        <v>0.6</v>
      </c>
    </row>
    <row r="311" spans="1:35" x14ac:dyDescent="0.25">
      <c r="A311" s="106">
        <v>46084</v>
      </c>
      <c r="B311" t="s">
        <v>28</v>
      </c>
      <c r="C311">
        <v>21</v>
      </c>
      <c r="D311">
        <v>1</v>
      </c>
      <c r="E311">
        <v>4</v>
      </c>
      <c r="F311">
        <v>3</v>
      </c>
      <c r="G311">
        <v>14</v>
      </c>
      <c r="H311">
        <v>10</v>
      </c>
      <c r="I311">
        <v>0.75</v>
      </c>
      <c r="J311">
        <v>0.71</v>
      </c>
      <c r="K311">
        <v>0</v>
      </c>
      <c r="L311">
        <v>1</v>
      </c>
      <c r="M311">
        <v>0</v>
      </c>
      <c r="N311">
        <v>1</v>
      </c>
      <c r="O311">
        <v>0</v>
      </c>
      <c r="P311">
        <v>0</v>
      </c>
      <c r="Q311">
        <v>0</v>
      </c>
      <c r="R311">
        <v>0</v>
      </c>
      <c r="S311">
        <v>0</v>
      </c>
      <c r="T311">
        <v>0</v>
      </c>
      <c r="U311">
        <v>0</v>
      </c>
      <c r="V311">
        <v>0</v>
      </c>
      <c r="W311">
        <v>0</v>
      </c>
      <c r="X311">
        <v>0</v>
      </c>
      <c r="Y311">
        <v>0</v>
      </c>
      <c r="Z311">
        <v>0</v>
      </c>
      <c r="AA311">
        <v>0</v>
      </c>
      <c r="AB311">
        <v>0</v>
      </c>
      <c r="AC311">
        <v>1</v>
      </c>
      <c r="AD311">
        <v>0</v>
      </c>
      <c r="AE311">
        <v>0</v>
      </c>
      <c r="AF311" s="100">
        <f>AVERAGEIFS($C$2:C311, $B$2:B311, B311)</f>
        <v>17</v>
      </c>
      <c r="AG311" s="100">
        <f>AVERAGEIFS($I$2:I311, $B$2:B311, B311)</f>
        <v>0.4936363636363636</v>
      </c>
      <c r="AH311" s="100">
        <f>AVERAGEIFS($I$2:J311, $B$2:C311, C311)</f>
        <v>0.55099999999999993</v>
      </c>
      <c r="AI311" s="100">
        <f>AVERAGEIFS($D$2:D311, $B$2:B311, B311)</f>
        <v>0.45454545454545453</v>
      </c>
    </row>
    <row r="312" spans="1:35" x14ac:dyDescent="0.25">
      <c r="A312" s="106">
        <v>46085</v>
      </c>
      <c r="B312" t="s">
        <v>44</v>
      </c>
      <c r="C312">
        <v>21</v>
      </c>
      <c r="D312">
        <v>1</v>
      </c>
      <c r="E312">
        <v>3</v>
      </c>
      <c r="F312">
        <v>3</v>
      </c>
      <c r="G312">
        <v>10</v>
      </c>
      <c r="H312">
        <v>9</v>
      </c>
      <c r="I312">
        <v>1</v>
      </c>
      <c r="J312">
        <v>0.9</v>
      </c>
      <c r="K312">
        <v>1</v>
      </c>
      <c r="L312">
        <v>0</v>
      </c>
      <c r="M312">
        <v>0</v>
      </c>
      <c r="N312">
        <v>0</v>
      </c>
      <c r="O312">
        <v>0</v>
      </c>
      <c r="P312">
        <v>0</v>
      </c>
      <c r="Q312">
        <v>1</v>
      </c>
      <c r="R312">
        <v>0</v>
      </c>
      <c r="S312">
        <v>0</v>
      </c>
      <c r="T312">
        <v>0</v>
      </c>
      <c r="U312">
        <v>0</v>
      </c>
      <c r="V312">
        <v>0</v>
      </c>
      <c r="W312">
        <v>0</v>
      </c>
      <c r="X312">
        <v>0</v>
      </c>
      <c r="Y312">
        <v>1</v>
      </c>
      <c r="Z312">
        <v>0</v>
      </c>
      <c r="AA312">
        <v>0</v>
      </c>
      <c r="AB312">
        <v>0</v>
      </c>
      <c r="AC312">
        <v>0</v>
      </c>
      <c r="AD312">
        <v>0</v>
      </c>
      <c r="AE312">
        <v>0</v>
      </c>
      <c r="AF312" s="100">
        <f>AVERAGEIFS($C$2:C312, $B$2:B312, B312)</f>
        <v>17.875</v>
      </c>
      <c r="AG312" s="100">
        <f>AVERAGEIFS($I$2:I312, $B$2:B312, B312)</f>
        <v>0.54374999999999996</v>
      </c>
      <c r="AH312" s="100">
        <f>AVERAGEIFS($I$2:J312, $B$2:C312, C312)</f>
        <v>0.58272727272727276</v>
      </c>
      <c r="AI312" s="100">
        <f>AVERAGEIFS($D$2:D312, $B$2:B312, B312)</f>
        <v>0.625</v>
      </c>
    </row>
    <row r="313" spans="1:35" x14ac:dyDescent="0.25">
      <c r="A313" s="106">
        <v>46085</v>
      </c>
      <c r="B313" t="s">
        <v>6</v>
      </c>
      <c r="C313">
        <v>19</v>
      </c>
      <c r="D313">
        <v>1</v>
      </c>
      <c r="E313">
        <v>3</v>
      </c>
      <c r="F313">
        <v>3</v>
      </c>
      <c r="G313">
        <v>10</v>
      </c>
      <c r="H313">
        <v>9</v>
      </c>
      <c r="I313">
        <v>1</v>
      </c>
      <c r="J313">
        <v>0.9</v>
      </c>
      <c r="K313">
        <v>1</v>
      </c>
      <c r="L313">
        <v>0</v>
      </c>
      <c r="M313">
        <v>0</v>
      </c>
      <c r="N313">
        <v>0</v>
      </c>
      <c r="O313">
        <v>0</v>
      </c>
      <c r="P313">
        <v>0</v>
      </c>
      <c r="Q313">
        <v>1</v>
      </c>
      <c r="R313">
        <v>0</v>
      </c>
      <c r="S313">
        <v>0</v>
      </c>
      <c r="T313">
        <v>0</v>
      </c>
      <c r="U313">
        <v>0</v>
      </c>
      <c r="V313">
        <v>0</v>
      </c>
      <c r="W313">
        <v>0</v>
      </c>
      <c r="X313">
        <v>0</v>
      </c>
      <c r="Y313">
        <v>1</v>
      </c>
      <c r="Z313">
        <v>0</v>
      </c>
      <c r="AA313">
        <v>0</v>
      </c>
      <c r="AB313">
        <v>0</v>
      </c>
      <c r="AC313">
        <v>0</v>
      </c>
      <c r="AD313">
        <v>0</v>
      </c>
      <c r="AE313">
        <v>0</v>
      </c>
      <c r="AF313" s="100">
        <f>AVERAGEIFS($C$2:C313, $B$2:B313, B313)</f>
        <v>23.095238095238095</v>
      </c>
      <c r="AG313" s="100">
        <f>AVERAGEIFS($I$2:I313, $B$2:B313, B313)</f>
        <v>0.66095238095238096</v>
      </c>
      <c r="AH313" s="100">
        <f>AVERAGEIFS($I$2:J313, $B$2:C313, C313)</f>
        <v>0.52181818181818185</v>
      </c>
      <c r="AI313" s="100">
        <f>AVERAGEIFS($D$2:D313, $B$2:B313, B313)</f>
        <v>0.76190476190476186</v>
      </c>
    </row>
    <row r="314" spans="1:35" x14ac:dyDescent="0.25">
      <c r="A314" s="106">
        <v>46085</v>
      </c>
      <c r="B314" t="s">
        <v>14</v>
      </c>
      <c r="C314">
        <v>11</v>
      </c>
      <c r="D314">
        <v>1</v>
      </c>
      <c r="E314">
        <v>3</v>
      </c>
      <c r="F314">
        <v>3</v>
      </c>
      <c r="G314">
        <v>10</v>
      </c>
      <c r="H314">
        <v>9</v>
      </c>
      <c r="I314">
        <v>1</v>
      </c>
      <c r="J314">
        <v>0.9</v>
      </c>
      <c r="K314">
        <v>1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1</v>
      </c>
      <c r="R314">
        <v>0</v>
      </c>
      <c r="S314">
        <v>0</v>
      </c>
      <c r="T314">
        <v>0</v>
      </c>
      <c r="U314">
        <v>0</v>
      </c>
      <c r="V314">
        <v>0</v>
      </c>
      <c r="W314">
        <v>0</v>
      </c>
      <c r="X314">
        <v>0</v>
      </c>
      <c r="Y314">
        <v>1</v>
      </c>
      <c r="Z314">
        <v>0</v>
      </c>
      <c r="AA314">
        <v>0</v>
      </c>
      <c r="AB314">
        <v>0</v>
      </c>
      <c r="AC314">
        <v>0</v>
      </c>
      <c r="AD314">
        <v>0</v>
      </c>
      <c r="AE314">
        <v>0</v>
      </c>
      <c r="AF314" s="100">
        <f>AVERAGEIFS($C$2:C314, $B$2:B314, B314)</f>
        <v>16.90909090909091</v>
      </c>
      <c r="AG314" s="100">
        <f>AVERAGEIFS($I$2:I314, $B$2:B314, B314)</f>
        <v>0.48818181818181822</v>
      </c>
      <c r="AH314" s="100">
        <f>AVERAGEIFS($I$2:J314, $B$2:C314, C314)</f>
        <v>0.52384615384615385</v>
      </c>
      <c r="AI314" s="100">
        <f>AVERAGEIFS($D$2:D314, $B$2:B314, B314)</f>
        <v>0.54545454545454541</v>
      </c>
    </row>
    <row r="315" spans="1:35" x14ac:dyDescent="0.25">
      <c r="A315" s="106">
        <v>46085</v>
      </c>
      <c r="B315" t="s">
        <v>25</v>
      </c>
      <c r="C315">
        <v>10</v>
      </c>
      <c r="D315">
        <v>1</v>
      </c>
      <c r="E315">
        <v>3</v>
      </c>
      <c r="F315">
        <v>3</v>
      </c>
      <c r="G315">
        <v>10</v>
      </c>
      <c r="H315">
        <v>9</v>
      </c>
      <c r="I315">
        <v>1</v>
      </c>
      <c r="J315">
        <v>0.9</v>
      </c>
      <c r="K315">
        <v>1</v>
      </c>
      <c r="L315">
        <v>0</v>
      </c>
      <c r="M315">
        <v>0</v>
      </c>
      <c r="N315">
        <v>0</v>
      </c>
      <c r="O315">
        <v>0</v>
      </c>
      <c r="P315">
        <v>0</v>
      </c>
      <c r="Q315">
        <v>1</v>
      </c>
      <c r="R315">
        <v>0</v>
      </c>
      <c r="S315">
        <v>0</v>
      </c>
      <c r="T315">
        <v>0</v>
      </c>
      <c r="U315">
        <v>0</v>
      </c>
      <c r="V315">
        <v>0</v>
      </c>
      <c r="W315">
        <v>0</v>
      </c>
      <c r="X315">
        <v>0</v>
      </c>
      <c r="Y315">
        <v>1</v>
      </c>
      <c r="Z315">
        <v>0</v>
      </c>
      <c r="AA315">
        <v>0</v>
      </c>
      <c r="AB315">
        <v>0</v>
      </c>
      <c r="AC315">
        <v>0</v>
      </c>
      <c r="AD315">
        <v>0</v>
      </c>
      <c r="AE315">
        <v>0</v>
      </c>
      <c r="AF315" s="100">
        <f>AVERAGEIFS($C$2:C315, $B$2:B315, B315)</f>
        <v>8.5</v>
      </c>
      <c r="AG315" s="100">
        <f>AVERAGEIFS($I$2:I315, $B$2:B315, B315)</f>
        <v>0.6875</v>
      </c>
      <c r="AH315" s="100">
        <f>AVERAGEIFS($I$2:J315, $B$2:C315, C315)</f>
        <v>0.53727272727272724</v>
      </c>
      <c r="AI315" s="100">
        <f>AVERAGEIFS($D$2:D315, $B$2:B315, B315)</f>
        <v>0.75</v>
      </c>
    </row>
    <row r="316" spans="1:35" x14ac:dyDescent="0.25">
      <c r="A316" s="106">
        <v>46085</v>
      </c>
      <c r="B316" t="s">
        <v>50</v>
      </c>
      <c r="C316">
        <v>10</v>
      </c>
      <c r="D316">
        <v>1</v>
      </c>
      <c r="E316">
        <v>3</v>
      </c>
      <c r="F316">
        <v>3</v>
      </c>
      <c r="G316">
        <v>10</v>
      </c>
      <c r="H316">
        <v>9</v>
      </c>
      <c r="I316">
        <v>1</v>
      </c>
      <c r="J316">
        <v>0.9</v>
      </c>
      <c r="K316">
        <v>1</v>
      </c>
      <c r="L316">
        <v>0</v>
      </c>
      <c r="M316">
        <v>0</v>
      </c>
      <c r="N316">
        <v>0</v>
      </c>
      <c r="O316">
        <v>0</v>
      </c>
      <c r="P316">
        <v>0</v>
      </c>
      <c r="Q316">
        <v>1</v>
      </c>
      <c r="R316">
        <v>0</v>
      </c>
      <c r="S316">
        <v>0</v>
      </c>
      <c r="T316">
        <v>0</v>
      </c>
      <c r="U316">
        <v>0</v>
      </c>
      <c r="V316">
        <v>0</v>
      </c>
      <c r="W316">
        <v>0</v>
      </c>
      <c r="X316">
        <v>0</v>
      </c>
      <c r="Y316">
        <v>1</v>
      </c>
      <c r="Z316">
        <v>0</v>
      </c>
      <c r="AA316">
        <v>0</v>
      </c>
      <c r="AB316">
        <v>0</v>
      </c>
      <c r="AC316">
        <v>0</v>
      </c>
      <c r="AD316">
        <v>0</v>
      </c>
      <c r="AE316">
        <v>0</v>
      </c>
      <c r="AF316" s="100">
        <f>AVERAGEIFS($C$2:C316, $B$2:B316, B316)</f>
        <v>19.666666666666668</v>
      </c>
      <c r="AG316" s="100">
        <f>AVERAGEIFS($I$2:I316, $B$2:B316, B316)</f>
        <v>0.52523809523809528</v>
      </c>
      <c r="AH316" s="100">
        <f>AVERAGEIFS($I$2:J316, $B$2:C316, C316)</f>
        <v>0.5675</v>
      </c>
      <c r="AI316" s="100">
        <f>AVERAGEIFS($D$2:D316, $B$2:B316, B316)</f>
        <v>0.52380952380952384</v>
      </c>
    </row>
    <row r="317" spans="1:35" x14ac:dyDescent="0.25">
      <c r="A317" s="106">
        <v>46085</v>
      </c>
      <c r="B317" t="s">
        <v>53</v>
      </c>
      <c r="C317">
        <v>10</v>
      </c>
      <c r="D317">
        <v>1</v>
      </c>
      <c r="E317">
        <v>3</v>
      </c>
      <c r="F317">
        <v>3</v>
      </c>
      <c r="G317">
        <v>10</v>
      </c>
      <c r="H317">
        <v>9</v>
      </c>
      <c r="I317">
        <v>1</v>
      </c>
      <c r="J317">
        <v>0.9</v>
      </c>
      <c r="K317">
        <v>1</v>
      </c>
      <c r="L317">
        <v>0</v>
      </c>
      <c r="M317">
        <v>0</v>
      </c>
      <c r="N317">
        <v>0</v>
      </c>
      <c r="O317">
        <v>0</v>
      </c>
      <c r="P317">
        <v>0</v>
      </c>
      <c r="Q317">
        <v>1</v>
      </c>
      <c r="R317">
        <v>0</v>
      </c>
      <c r="S317">
        <v>0</v>
      </c>
      <c r="T317">
        <v>0</v>
      </c>
      <c r="U317">
        <v>0</v>
      </c>
      <c r="V317">
        <v>0</v>
      </c>
      <c r="W317">
        <v>0</v>
      </c>
      <c r="X317">
        <v>0</v>
      </c>
      <c r="Y317">
        <v>1</v>
      </c>
      <c r="Z317">
        <v>0</v>
      </c>
      <c r="AA317">
        <v>0</v>
      </c>
      <c r="AB317">
        <v>0</v>
      </c>
      <c r="AC317">
        <v>0</v>
      </c>
      <c r="AD317">
        <v>0</v>
      </c>
      <c r="AE317">
        <v>0</v>
      </c>
      <c r="AF317" s="100">
        <f>AVERAGEIFS($C$2:C317, $B$2:B317, B317)</f>
        <v>17.888888888888889</v>
      </c>
      <c r="AG317" s="100">
        <f>AVERAGEIFS($I$2:I317, $B$2:B317, B317)</f>
        <v>0.54444444444444451</v>
      </c>
      <c r="AH317" s="100">
        <f>AVERAGEIFS($I$2:J317, $B$2:C317, C317)</f>
        <v>0.59307692307692317</v>
      </c>
      <c r="AI317" s="100">
        <f>AVERAGEIFS($D$2:D317, $B$2:B317, B317)</f>
        <v>0.44444444444444442</v>
      </c>
    </row>
    <row r="318" spans="1:35" x14ac:dyDescent="0.25">
      <c r="A318" s="106">
        <v>46085</v>
      </c>
      <c r="B318" t="s">
        <v>13</v>
      </c>
      <c r="C318">
        <v>6</v>
      </c>
      <c r="D318">
        <v>1</v>
      </c>
      <c r="E318">
        <v>3</v>
      </c>
      <c r="F318">
        <v>3</v>
      </c>
      <c r="G318">
        <v>10</v>
      </c>
      <c r="H318">
        <v>9</v>
      </c>
      <c r="I318">
        <v>1</v>
      </c>
      <c r="J318">
        <v>0.9</v>
      </c>
      <c r="K318">
        <v>1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1</v>
      </c>
      <c r="R318">
        <v>0</v>
      </c>
      <c r="S318">
        <v>0</v>
      </c>
      <c r="T318">
        <v>0</v>
      </c>
      <c r="U318">
        <v>0</v>
      </c>
      <c r="V318">
        <v>0</v>
      </c>
      <c r="W318">
        <v>0</v>
      </c>
      <c r="X318">
        <v>0</v>
      </c>
      <c r="Y318">
        <v>1</v>
      </c>
      <c r="Z318">
        <v>0</v>
      </c>
      <c r="AA318">
        <v>0</v>
      </c>
      <c r="AB318">
        <v>0</v>
      </c>
      <c r="AC318">
        <v>0</v>
      </c>
      <c r="AD318">
        <v>0</v>
      </c>
      <c r="AE318">
        <v>0</v>
      </c>
      <c r="AF318" s="100">
        <f>AVERAGEIFS($C$2:C318, $B$2:B318, B318)</f>
        <v>8.5</v>
      </c>
      <c r="AG318" s="100">
        <f>AVERAGEIFS($I$2:I318, $B$2:B318, B318)</f>
        <v>0.6</v>
      </c>
      <c r="AH318" s="100">
        <f>AVERAGEIFS($I$2:J318, $B$2:C318, C318)</f>
        <v>0.56499999999999995</v>
      </c>
      <c r="AI318" s="100">
        <f>AVERAGEIFS($D$2:D318, $B$2:B318, B318)</f>
        <v>0.5</v>
      </c>
    </row>
    <row r="319" spans="1:35" x14ac:dyDescent="0.25">
      <c r="A319" s="106">
        <v>46085</v>
      </c>
      <c r="B319" t="s">
        <v>17</v>
      </c>
      <c r="C319">
        <v>15</v>
      </c>
      <c r="D319">
        <v>0</v>
      </c>
      <c r="E319">
        <v>3</v>
      </c>
      <c r="F319">
        <v>0</v>
      </c>
      <c r="G319">
        <v>10</v>
      </c>
      <c r="H319">
        <v>1</v>
      </c>
      <c r="I319">
        <v>0</v>
      </c>
      <c r="J319">
        <v>0.1</v>
      </c>
      <c r="K319">
        <v>0</v>
      </c>
      <c r="L319">
        <v>0</v>
      </c>
      <c r="M319">
        <v>0</v>
      </c>
      <c r="N319">
        <v>0</v>
      </c>
      <c r="O319">
        <v>0</v>
      </c>
      <c r="P319">
        <v>0</v>
      </c>
      <c r="Q319">
        <v>0</v>
      </c>
      <c r="R319">
        <v>0</v>
      </c>
      <c r="S319">
        <v>0</v>
      </c>
      <c r="T319">
        <v>0</v>
      </c>
      <c r="U319">
        <v>0</v>
      </c>
      <c r="V319">
        <v>0</v>
      </c>
      <c r="W319">
        <v>0</v>
      </c>
      <c r="X319">
        <v>0</v>
      </c>
      <c r="Y319">
        <v>0</v>
      </c>
      <c r="Z319">
        <v>0</v>
      </c>
      <c r="AA319">
        <v>0</v>
      </c>
      <c r="AB319">
        <v>0</v>
      </c>
      <c r="AC319">
        <v>0</v>
      </c>
      <c r="AD319">
        <v>0</v>
      </c>
      <c r="AE319">
        <v>0</v>
      </c>
      <c r="AF319" s="100">
        <f>AVERAGEIFS($C$2:C319, $B$2:B319, B319)</f>
        <v>21.055555555555557</v>
      </c>
      <c r="AG319" s="100">
        <f>AVERAGEIFS($I$2:I319, $B$2:B319, B319)</f>
        <v>0.45944444444444443</v>
      </c>
      <c r="AH319" s="100">
        <f>AVERAGEIFS($I$2:J319, $B$2:C319, C319)</f>
        <v>0.45400000000000001</v>
      </c>
      <c r="AI319" s="100">
        <f>AVERAGEIFS($D$2:D319, $B$2:B319, B319)</f>
        <v>0.3888888888888889</v>
      </c>
    </row>
    <row r="320" spans="1:35" x14ac:dyDescent="0.25">
      <c r="A320" s="106">
        <v>46085</v>
      </c>
      <c r="B320" t="s">
        <v>1</v>
      </c>
      <c r="C320">
        <v>13</v>
      </c>
      <c r="D320">
        <v>0</v>
      </c>
      <c r="E320">
        <v>3</v>
      </c>
      <c r="F320">
        <v>0</v>
      </c>
      <c r="G320">
        <v>10</v>
      </c>
      <c r="H320">
        <v>1</v>
      </c>
      <c r="I320">
        <v>0</v>
      </c>
      <c r="J320">
        <v>0.1</v>
      </c>
      <c r="K320">
        <v>0</v>
      </c>
      <c r="L320">
        <v>0</v>
      </c>
      <c r="M320">
        <v>0</v>
      </c>
      <c r="N320">
        <v>0</v>
      </c>
      <c r="O320">
        <v>0</v>
      </c>
      <c r="P320">
        <v>0</v>
      </c>
      <c r="Q320">
        <v>0</v>
      </c>
      <c r="R320">
        <v>0</v>
      </c>
      <c r="S320">
        <v>0</v>
      </c>
      <c r="T320">
        <v>0</v>
      </c>
      <c r="U320">
        <v>0</v>
      </c>
      <c r="V320">
        <v>0</v>
      </c>
      <c r="W320">
        <v>0</v>
      </c>
      <c r="X320">
        <v>0</v>
      </c>
      <c r="Y320">
        <v>0</v>
      </c>
      <c r="Z320">
        <v>0</v>
      </c>
      <c r="AA320">
        <v>0</v>
      </c>
      <c r="AB320">
        <v>0</v>
      </c>
      <c r="AC320">
        <v>0</v>
      </c>
      <c r="AD320">
        <v>0</v>
      </c>
      <c r="AE320">
        <v>0</v>
      </c>
      <c r="AF320" s="100">
        <f>AVERAGEIFS($C$2:C320, $B$2:B320, B320)</f>
        <v>27.5</v>
      </c>
      <c r="AG320" s="100">
        <f>AVERAGEIFS($I$2:I320, $B$2:B320, B320)</f>
        <v>0.34500000000000003</v>
      </c>
      <c r="AH320" s="100">
        <f>AVERAGEIFS($I$2:J320, $B$2:C320, C320)</f>
        <v>0.49874999999999992</v>
      </c>
      <c r="AI320" s="100">
        <f>AVERAGEIFS($D$2:D320, $B$2:B320, B320)</f>
        <v>0.4</v>
      </c>
    </row>
    <row r="321" spans="1:35" x14ac:dyDescent="0.25">
      <c r="A321" s="106">
        <v>46085</v>
      </c>
      <c r="B321" t="s">
        <v>28</v>
      </c>
      <c r="C321">
        <v>10</v>
      </c>
      <c r="D321">
        <v>0</v>
      </c>
      <c r="E321">
        <v>3</v>
      </c>
      <c r="F321">
        <v>0</v>
      </c>
      <c r="G321">
        <v>10</v>
      </c>
      <c r="H321">
        <v>1</v>
      </c>
      <c r="I321">
        <v>0</v>
      </c>
      <c r="J321">
        <v>0.1</v>
      </c>
      <c r="K321">
        <v>0</v>
      </c>
      <c r="L321">
        <v>0</v>
      </c>
      <c r="M321">
        <v>0</v>
      </c>
      <c r="N321">
        <v>0</v>
      </c>
      <c r="O321">
        <v>0</v>
      </c>
      <c r="P321">
        <v>0</v>
      </c>
      <c r="Q321">
        <v>0</v>
      </c>
      <c r="R321">
        <v>0</v>
      </c>
      <c r="S321">
        <v>0</v>
      </c>
      <c r="T321">
        <v>0</v>
      </c>
      <c r="U321">
        <v>0</v>
      </c>
      <c r="V321">
        <v>0</v>
      </c>
      <c r="W321">
        <v>0</v>
      </c>
      <c r="X321">
        <v>0</v>
      </c>
      <c r="Y321">
        <v>0</v>
      </c>
      <c r="Z321">
        <v>0</v>
      </c>
      <c r="AA321">
        <v>0</v>
      </c>
      <c r="AB321">
        <v>0</v>
      </c>
      <c r="AC321">
        <v>0</v>
      </c>
      <c r="AD321">
        <v>0</v>
      </c>
      <c r="AE321">
        <v>0</v>
      </c>
      <c r="AF321" s="100">
        <f>AVERAGEIFS($C$2:C321, $B$2:B321, B321)</f>
        <v>16.416666666666668</v>
      </c>
      <c r="AG321" s="100">
        <f>AVERAGEIFS($I$2:I321, $B$2:B321, B321)</f>
        <v>0.45249999999999996</v>
      </c>
      <c r="AH321" s="100">
        <f>AVERAGEIFS($I$2:J321, $B$2:C321, C321)</f>
        <v>0.55785714285714294</v>
      </c>
      <c r="AI321" s="100">
        <f>AVERAGEIFS($D$2:D321, $B$2:B321, B321)</f>
        <v>0.41666666666666669</v>
      </c>
    </row>
    <row r="322" spans="1:35" x14ac:dyDescent="0.25">
      <c r="A322" s="106">
        <v>46085</v>
      </c>
      <c r="B322" t="s">
        <v>40</v>
      </c>
      <c r="C322">
        <v>9</v>
      </c>
      <c r="D322">
        <v>0</v>
      </c>
      <c r="E322">
        <v>3</v>
      </c>
      <c r="F322">
        <v>0</v>
      </c>
      <c r="G322">
        <v>10</v>
      </c>
      <c r="H322">
        <v>1</v>
      </c>
      <c r="I322">
        <v>0</v>
      </c>
      <c r="J322">
        <v>0.1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0</v>
      </c>
      <c r="T322">
        <v>0</v>
      </c>
      <c r="U322">
        <v>0</v>
      </c>
      <c r="V322">
        <v>0</v>
      </c>
      <c r="W322">
        <v>0</v>
      </c>
      <c r="X322">
        <v>0</v>
      </c>
      <c r="Y322">
        <v>0</v>
      </c>
      <c r="Z322">
        <v>0</v>
      </c>
      <c r="AA322">
        <v>0</v>
      </c>
      <c r="AB322">
        <v>0</v>
      </c>
      <c r="AC322">
        <v>0</v>
      </c>
      <c r="AD322">
        <v>0</v>
      </c>
      <c r="AE322">
        <v>0</v>
      </c>
      <c r="AF322" s="100">
        <f>AVERAGEIFS($C$2:C322, $B$2:B322, B322)</f>
        <v>17.176470588235293</v>
      </c>
      <c r="AG322" s="100">
        <f>AVERAGEIFS($I$2:I322, $B$2:B322, B322)</f>
        <v>0.43529411764705889</v>
      </c>
      <c r="AH322" s="100">
        <f>AVERAGEIFS($I$2:J322, $B$2:C322, C322)</f>
        <v>0.40199999999999997</v>
      </c>
      <c r="AI322" s="100">
        <f>AVERAGEIFS($D$2:D322, $B$2:B322, B322)</f>
        <v>0.41176470588235292</v>
      </c>
    </row>
    <row r="323" spans="1:35" x14ac:dyDescent="0.25">
      <c r="A323" s="106">
        <v>46085</v>
      </c>
      <c r="B323" t="s">
        <v>35</v>
      </c>
      <c r="C323">
        <v>8</v>
      </c>
      <c r="D323">
        <v>0</v>
      </c>
      <c r="E323">
        <v>3</v>
      </c>
      <c r="F323">
        <v>0</v>
      </c>
      <c r="G323">
        <v>10</v>
      </c>
      <c r="H323">
        <v>1</v>
      </c>
      <c r="I323">
        <v>0</v>
      </c>
      <c r="J323">
        <v>0.1</v>
      </c>
      <c r="K323">
        <v>0</v>
      </c>
      <c r="L323">
        <v>0</v>
      </c>
      <c r="M323">
        <v>0</v>
      </c>
      <c r="N323">
        <v>0</v>
      </c>
      <c r="O323">
        <v>0</v>
      </c>
      <c r="P323">
        <v>0</v>
      </c>
      <c r="Q323">
        <v>0</v>
      </c>
      <c r="R323">
        <v>0</v>
      </c>
      <c r="S323">
        <v>0</v>
      </c>
      <c r="T323">
        <v>0</v>
      </c>
      <c r="U323">
        <v>0</v>
      </c>
      <c r="V323">
        <v>0</v>
      </c>
      <c r="W323">
        <v>0</v>
      </c>
      <c r="X323">
        <v>0</v>
      </c>
      <c r="Y323">
        <v>0</v>
      </c>
      <c r="Z323">
        <v>0</v>
      </c>
      <c r="AA323">
        <v>0</v>
      </c>
      <c r="AB323">
        <v>0</v>
      </c>
      <c r="AC323">
        <v>0</v>
      </c>
      <c r="AD323">
        <v>0</v>
      </c>
      <c r="AE323">
        <v>0</v>
      </c>
      <c r="AF323" s="100">
        <f>AVERAGEIFS($C$2:C323, $B$2:B323, B323)</f>
        <v>11.65</v>
      </c>
      <c r="AG323" s="100">
        <f>AVERAGEIFS($I$2:I323, $B$2:B323, B323)</f>
        <v>0.42650000000000005</v>
      </c>
      <c r="AH323" s="100">
        <f>AVERAGEIFS($I$2:J323, $B$2:C323, C323)</f>
        <v>0.44555555555555554</v>
      </c>
      <c r="AI323" s="100">
        <f>AVERAGEIFS($D$2:D323, $B$2:B323, B323)</f>
        <v>0.35</v>
      </c>
    </row>
    <row r="324" spans="1:35" x14ac:dyDescent="0.25">
      <c r="A324" s="106">
        <v>46085</v>
      </c>
      <c r="B324" t="s">
        <v>42</v>
      </c>
      <c r="C324">
        <v>6</v>
      </c>
      <c r="D324">
        <v>0</v>
      </c>
      <c r="E324">
        <v>3</v>
      </c>
      <c r="F324">
        <v>0</v>
      </c>
      <c r="G324">
        <v>10</v>
      </c>
      <c r="H324">
        <v>1</v>
      </c>
      <c r="I324">
        <v>0</v>
      </c>
      <c r="J324">
        <v>0.1</v>
      </c>
      <c r="K324">
        <v>0</v>
      </c>
      <c r="L324">
        <v>0</v>
      </c>
      <c r="M324">
        <v>0</v>
      </c>
      <c r="N324">
        <v>0</v>
      </c>
      <c r="O324">
        <v>0</v>
      </c>
      <c r="P324">
        <v>0</v>
      </c>
      <c r="Q324">
        <v>0</v>
      </c>
      <c r="R324">
        <v>0</v>
      </c>
      <c r="S324">
        <v>0</v>
      </c>
      <c r="T324">
        <v>0</v>
      </c>
      <c r="U324">
        <v>0</v>
      </c>
      <c r="V324">
        <v>0</v>
      </c>
      <c r="W324">
        <v>0</v>
      </c>
      <c r="X324">
        <v>0</v>
      </c>
      <c r="Y324">
        <v>0</v>
      </c>
      <c r="Z324">
        <v>0</v>
      </c>
      <c r="AA324">
        <v>0</v>
      </c>
      <c r="AB324">
        <v>0</v>
      </c>
      <c r="AC324">
        <v>0</v>
      </c>
      <c r="AD324">
        <v>0</v>
      </c>
      <c r="AE324">
        <v>0</v>
      </c>
      <c r="AF324" s="100">
        <f>AVERAGEIFS($C$2:C324, $B$2:B324, B324)</f>
        <v>16.09090909090909</v>
      </c>
      <c r="AG324" s="100">
        <f>AVERAGEIFS($I$2:I324, $B$2:B324, B324)</f>
        <v>0.45</v>
      </c>
      <c r="AH324" s="100">
        <f>AVERAGEIFS($I$2:J324, $B$2:C324, C324)</f>
        <v>0.5133333333333332</v>
      </c>
      <c r="AI324" s="100">
        <f>AVERAGEIFS($D$2:D324, $B$2:B324, B324)</f>
        <v>0.54545454545454541</v>
      </c>
    </row>
    <row r="325" spans="1:35" x14ac:dyDescent="0.25">
      <c r="A325" s="106">
        <v>46085</v>
      </c>
      <c r="B325" t="s">
        <v>15</v>
      </c>
      <c r="C325">
        <v>4</v>
      </c>
      <c r="D325">
        <v>0</v>
      </c>
      <c r="E325">
        <v>3</v>
      </c>
      <c r="F325">
        <v>0</v>
      </c>
      <c r="G325">
        <v>10</v>
      </c>
      <c r="H325">
        <v>1</v>
      </c>
      <c r="I325">
        <v>0</v>
      </c>
      <c r="J325">
        <v>0.1</v>
      </c>
      <c r="K325">
        <v>0</v>
      </c>
      <c r="L325">
        <v>0</v>
      </c>
      <c r="M325">
        <v>0</v>
      </c>
      <c r="N325">
        <v>0</v>
      </c>
      <c r="O325">
        <v>0</v>
      </c>
      <c r="P325">
        <v>0</v>
      </c>
      <c r="Q325">
        <v>0</v>
      </c>
      <c r="R325">
        <v>0</v>
      </c>
      <c r="S325">
        <v>0</v>
      </c>
      <c r="T325">
        <v>0</v>
      </c>
      <c r="U325">
        <v>0</v>
      </c>
      <c r="V325">
        <v>0</v>
      </c>
      <c r="W325">
        <v>0</v>
      </c>
      <c r="X325">
        <v>0</v>
      </c>
      <c r="Y325">
        <v>0</v>
      </c>
      <c r="Z325">
        <v>0</v>
      </c>
      <c r="AA325">
        <v>0</v>
      </c>
      <c r="AB325">
        <v>0</v>
      </c>
      <c r="AC325">
        <v>0</v>
      </c>
      <c r="AD325">
        <v>0</v>
      </c>
      <c r="AE325">
        <v>0</v>
      </c>
      <c r="AF325" s="100">
        <f>AVERAGEIFS($C$2:C325, $B$2:B325, B325)</f>
        <v>4</v>
      </c>
      <c r="AG325" s="100">
        <f>AVERAGEIFS($I$2:I325, $B$2:B325, B325)</f>
        <v>0</v>
      </c>
      <c r="AH325" s="100">
        <f>AVERAGEIFS($I$2:J325, $B$2:C325, C325)</f>
        <v>0.31</v>
      </c>
      <c r="AI325" s="100">
        <f>AVERAGEIFS($D$2:D325, $B$2:B325, B325)</f>
        <v>0</v>
      </c>
    </row>
    <row r="326" spans="1:35" x14ac:dyDescent="0.25">
      <c r="A326" s="106">
        <v>46086</v>
      </c>
      <c r="B326" t="s">
        <v>6</v>
      </c>
      <c r="C326">
        <v>21</v>
      </c>
      <c r="D326">
        <v>1</v>
      </c>
      <c r="E326">
        <v>4</v>
      </c>
      <c r="F326">
        <v>3</v>
      </c>
      <c r="G326">
        <v>15</v>
      </c>
      <c r="H326">
        <v>9</v>
      </c>
      <c r="I326">
        <v>0.75</v>
      </c>
      <c r="J326">
        <v>0.6</v>
      </c>
      <c r="K326">
        <v>0</v>
      </c>
      <c r="L326">
        <v>0</v>
      </c>
      <c r="M326">
        <v>0</v>
      </c>
      <c r="N326">
        <v>1</v>
      </c>
      <c r="O326">
        <v>0</v>
      </c>
      <c r="P326">
        <v>0</v>
      </c>
      <c r="Q326">
        <v>0</v>
      </c>
      <c r="R326">
        <v>0</v>
      </c>
      <c r="S326">
        <v>0</v>
      </c>
      <c r="T326">
        <v>0</v>
      </c>
      <c r="U326">
        <v>1</v>
      </c>
      <c r="V326">
        <v>0</v>
      </c>
      <c r="W326">
        <v>0</v>
      </c>
      <c r="X326">
        <v>0</v>
      </c>
      <c r="Y326">
        <v>0</v>
      </c>
      <c r="Z326">
        <v>0</v>
      </c>
      <c r="AA326">
        <v>0</v>
      </c>
      <c r="AB326">
        <v>0</v>
      </c>
      <c r="AC326">
        <v>1</v>
      </c>
      <c r="AD326">
        <v>0</v>
      </c>
      <c r="AE326">
        <v>0</v>
      </c>
      <c r="AF326" s="100">
        <f>AVERAGEIFS($C$2:C326, $B$2:B326, B326)</f>
        <v>23</v>
      </c>
      <c r="AG326" s="100">
        <f>AVERAGEIFS($I$2:I326, $B$2:B326, B326)</f>
        <v>0.66499999999999992</v>
      </c>
      <c r="AH326" s="100">
        <f>AVERAGEIFS($I$2:J326, $B$2:C326, C326)</f>
        <v>0.58416666666666661</v>
      </c>
      <c r="AI326" s="100">
        <f>AVERAGEIFS($D$2:D326, $B$2:B326, B326)</f>
        <v>0.77272727272727271</v>
      </c>
    </row>
    <row r="327" spans="1:35" x14ac:dyDescent="0.25">
      <c r="A327" s="106">
        <v>46086</v>
      </c>
      <c r="B327" t="s">
        <v>50</v>
      </c>
      <c r="C327">
        <v>20</v>
      </c>
      <c r="D327">
        <v>1</v>
      </c>
      <c r="E327">
        <v>4</v>
      </c>
      <c r="F327">
        <v>3</v>
      </c>
      <c r="G327">
        <v>15</v>
      </c>
      <c r="H327">
        <v>9</v>
      </c>
      <c r="I327">
        <v>0.75</v>
      </c>
      <c r="J327">
        <v>0.6</v>
      </c>
      <c r="K327">
        <v>0</v>
      </c>
      <c r="L327">
        <v>0</v>
      </c>
      <c r="M327">
        <v>0</v>
      </c>
      <c r="N327">
        <v>1</v>
      </c>
      <c r="O327">
        <v>0</v>
      </c>
      <c r="P327">
        <v>0</v>
      </c>
      <c r="Q327">
        <v>0</v>
      </c>
      <c r="R327">
        <v>0</v>
      </c>
      <c r="S327">
        <v>0</v>
      </c>
      <c r="T327">
        <v>0</v>
      </c>
      <c r="U327">
        <v>1</v>
      </c>
      <c r="V327">
        <v>0</v>
      </c>
      <c r="W327">
        <v>0</v>
      </c>
      <c r="X327">
        <v>0</v>
      </c>
      <c r="Y327">
        <v>0</v>
      </c>
      <c r="Z327">
        <v>0</v>
      </c>
      <c r="AA327">
        <v>0</v>
      </c>
      <c r="AB327">
        <v>0</v>
      </c>
      <c r="AC327">
        <v>1</v>
      </c>
      <c r="AD327">
        <v>0</v>
      </c>
      <c r="AE327">
        <v>0</v>
      </c>
      <c r="AF327" s="100">
        <f>AVERAGEIFS($C$2:C327, $B$2:B327, B327)</f>
        <v>19.681818181818183</v>
      </c>
      <c r="AG327" s="100">
        <f>AVERAGEIFS($I$2:I327, $B$2:B327, B327)</f>
        <v>0.53545454545454552</v>
      </c>
      <c r="AH327" s="100">
        <f>AVERAGEIFS($I$2:J327, $B$2:C327, C327)</f>
        <v>0.48166666666666652</v>
      </c>
      <c r="AI327" s="100">
        <f>AVERAGEIFS($D$2:D327, $B$2:B327, B327)</f>
        <v>0.54545454545454541</v>
      </c>
    </row>
    <row r="328" spans="1:35" x14ac:dyDescent="0.25">
      <c r="A328" s="106">
        <v>46086</v>
      </c>
      <c r="B328" t="s">
        <v>40</v>
      </c>
      <c r="C328">
        <v>19</v>
      </c>
      <c r="D328">
        <v>1</v>
      </c>
      <c r="E328">
        <v>4</v>
      </c>
      <c r="F328">
        <v>3</v>
      </c>
      <c r="G328">
        <v>15</v>
      </c>
      <c r="H328">
        <v>9</v>
      </c>
      <c r="I328">
        <v>0.75</v>
      </c>
      <c r="J328">
        <v>0.6</v>
      </c>
      <c r="K328">
        <v>0</v>
      </c>
      <c r="L328">
        <v>0</v>
      </c>
      <c r="M328">
        <v>0</v>
      </c>
      <c r="N328">
        <v>1</v>
      </c>
      <c r="O328">
        <v>0</v>
      </c>
      <c r="P328">
        <v>0</v>
      </c>
      <c r="Q328">
        <v>0</v>
      </c>
      <c r="R328">
        <v>0</v>
      </c>
      <c r="S328">
        <v>0</v>
      </c>
      <c r="T328">
        <v>0</v>
      </c>
      <c r="U328">
        <v>1</v>
      </c>
      <c r="V328">
        <v>0</v>
      </c>
      <c r="W328">
        <v>0</v>
      </c>
      <c r="X328">
        <v>0</v>
      </c>
      <c r="Y328">
        <v>0</v>
      </c>
      <c r="Z328">
        <v>0</v>
      </c>
      <c r="AA328">
        <v>0</v>
      </c>
      <c r="AB328">
        <v>0</v>
      </c>
      <c r="AC328">
        <v>1</v>
      </c>
      <c r="AD328">
        <v>0</v>
      </c>
      <c r="AE328">
        <v>0</v>
      </c>
      <c r="AF328" s="100">
        <f>AVERAGEIFS($C$2:C328, $B$2:B328, B328)</f>
        <v>17.277777777777779</v>
      </c>
      <c r="AG328" s="100">
        <f>AVERAGEIFS($I$2:I328, $B$2:B328, B328)</f>
        <v>0.45277777777777789</v>
      </c>
      <c r="AH328" s="100">
        <f>AVERAGEIFS($I$2:J328, $B$2:C328, C328)</f>
        <v>0.52833333333333332</v>
      </c>
      <c r="AI328" s="100">
        <f>AVERAGEIFS($D$2:D328, $B$2:B328, B328)</f>
        <v>0.44444444444444442</v>
      </c>
    </row>
    <row r="329" spans="1:35" x14ac:dyDescent="0.25">
      <c r="A329" s="106">
        <v>46086</v>
      </c>
      <c r="B329" t="s">
        <v>70</v>
      </c>
      <c r="C329">
        <v>19</v>
      </c>
      <c r="D329">
        <v>1</v>
      </c>
      <c r="E329">
        <v>4</v>
      </c>
      <c r="F329">
        <v>3</v>
      </c>
      <c r="G329">
        <v>15</v>
      </c>
      <c r="H329">
        <v>9</v>
      </c>
      <c r="I329">
        <v>0.75</v>
      </c>
      <c r="J329">
        <v>0.6</v>
      </c>
      <c r="K329">
        <v>0</v>
      </c>
      <c r="L329">
        <v>0</v>
      </c>
      <c r="M329">
        <v>0</v>
      </c>
      <c r="N329">
        <v>1</v>
      </c>
      <c r="O329">
        <v>0</v>
      </c>
      <c r="P329">
        <v>0</v>
      </c>
      <c r="Q329">
        <v>0</v>
      </c>
      <c r="R329">
        <v>0</v>
      </c>
      <c r="S329">
        <v>0</v>
      </c>
      <c r="T329">
        <v>0</v>
      </c>
      <c r="U329">
        <v>1</v>
      </c>
      <c r="V329">
        <v>0</v>
      </c>
      <c r="W329">
        <v>0</v>
      </c>
      <c r="X329">
        <v>0</v>
      </c>
      <c r="Y329">
        <v>0</v>
      </c>
      <c r="Z329">
        <v>0</v>
      </c>
      <c r="AA329">
        <v>0</v>
      </c>
      <c r="AB329">
        <v>0</v>
      </c>
      <c r="AC329">
        <v>1</v>
      </c>
      <c r="AD329">
        <v>0</v>
      </c>
      <c r="AE329">
        <v>0</v>
      </c>
      <c r="AF329" s="100">
        <f>AVERAGEIFS($C$2:C329, $B$2:B329, B329)</f>
        <v>12.6</v>
      </c>
      <c r="AG329" s="100">
        <f>AVERAGEIFS($I$2:I329, $B$2:B329, B329)</f>
        <v>0.71000000000000008</v>
      </c>
      <c r="AH329" s="100">
        <f>AVERAGEIFS($I$2:J329, $B$2:C329, C329)</f>
        <v>0.53384615384615386</v>
      </c>
      <c r="AI329" s="100">
        <f>AVERAGEIFS($D$2:D329, $B$2:B329, B329)</f>
        <v>1</v>
      </c>
    </row>
    <row r="330" spans="1:35" x14ac:dyDescent="0.25">
      <c r="A330" s="106">
        <v>46086</v>
      </c>
      <c r="B330" t="s">
        <v>107</v>
      </c>
      <c r="C330">
        <v>18</v>
      </c>
      <c r="D330">
        <v>1</v>
      </c>
      <c r="E330">
        <v>4</v>
      </c>
      <c r="F330">
        <v>3</v>
      </c>
      <c r="G330">
        <v>15</v>
      </c>
      <c r="H330">
        <v>9</v>
      </c>
      <c r="I330">
        <v>0.75</v>
      </c>
      <c r="J330">
        <v>0.6</v>
      </c>
      <c r="K330">
        <v>0</v>
      </c>
      <c r="L330">
        <v>0</v>
      </c>
      <c r="M330">
        <v>0</v>
      </c>
      <c r="N330">
        <v>1</v>
      </c>
      <c r="O330">
        <v>0</v>
      </c>
      <c r="P330">
        <v>0</v>
      </c>
      <c r="Q330">
        <v>0</v>
      </c>
      <c r="R330">
        <v>0</v>
      </c>
      <c r="S330">
        <v>0</v>
      </c>
      <c r="T330">
        <v>0</v>
      </c>
      <c r="U330">
        <v>1</v>
      </c>
      <c r="V330">
        <v>0</v>
      </c>
      <c r="W330">
        <v>0</v>
      </c>
      <c r="X330">
        <v>0</v>
      </c>
      <c r="Y330">
        <v>0</v>
      </c>
      <c r="Z330">
        <v>0</v>
      </c>
      <c r="AA330">
        <v>0</v>
      </c>
      <c r="AB330">
        <v>0</v>
      </c>
      <c r="AC330">
        <v>1</v>
      </c>
      <c r="AD330">
        <v>0</v>
      </c>
      <c r="AE330">
        <v>0</v>
      </c>
      <c r="AF330" s="100">
        <f>AVERAGEIFS($C$2:C330, $B$2:B330, B330)</f>
        <v>16.142857142857142</v>
      </c>
      <c r="AG330" s="100">
        <f>AVERAGEIFS($I$2:I330, $B$2:B330, B330)</f>
        <v>0.57857142857142851</v>
      </c>
      <c r="AH330" s="100">
        <f>AVERAGEIFS($I$2:J330, $B$2:C330, C330)</f>
        <v>0.5</v>
      </c>
      <c r="AI330" s="100">
        <f>AVERAGEIFS($D$2:D330, $B$2:B330, B330)</f>
        <v>0.5714285714285714</v>
      </c>
    </row>
    <row r="331" spans="1:35" x14ac:dyDescent="0.25">
      <c r="A331" s="106">
        <v>46086</v>
      </c>
      <c r="B331" t="s">
        <v>53</v>
      </c>
      <c r="C331">
        <v>17</v>
      </c>
      <c r="D331">
        <v>1</v>
      </c>
      <c r="E331">
        <v>4</v>
      </c>
      <c r="F331">
        <v>3</v>
      </c>
      <c r="G331">
        <v>15</v>
      </c>
      <c r="H331">
        <v>9</v>
      </c>
      <c r="I331">
        <v>0.75</v>
      </c>
      <c r="J331">
        <v>0.6</v>
      </c>
      <c r="K331">
        <v>0</v>
      </c>
      <c r="L331">
        <v>0</v>
      </c>
      <c r="M331">
        <v>0</v>
      </c>
      <c r="N331">
        <v>1</v>
      </c>
      <c r="O331">
        <v>0</v>
      </c>
      <c r="P331">
        <v>0</v>
      </c>
      <c r="Q331">
        <v>0</v>
      </c>
      <c r="R331">
        <v>0</v>
      </c>
      <c r="S331">
        <v>0</v>
      </c>
      <c r="T331">
        <v>0</v>
      </c>
      <c r="U331">
        <v>1</v>
      </c>
      <c r="V331">
        <v>0</v>
      </c>
      <c r="W331">
        <v>0</v>
      </c>
      <c r="X331">
        <v>0</v>
      </c>
      <c r="Y331">
        <v>0</v>
      </c>
      <c r="Z331">
        <v>0</v>
      </c>
      <c r="AA331">
        <v>0</v>
      </c>
      <c r="AB331">
        <v>0</v>
      </c>
      <c r="AC331">
        <v>1</v>
      </c>
      <c r="AD331">
        <v>0</v>
      </c>
      <c r="AE331">
        <v>0</v>
      </c>
      <c r="AF331" s="100">
        <f>AVERAGEIFS($C$2:C331, $B$2:B331, B331)</f>
        <v>17.8</v>
      </c>
      <c r="AG331" s="100">
        <f>AVERAGEIFS($I$2:I331, $B$2:B331, B331)</f>
        <v>0.56500000000000006</v>
      </c>
      <c r="AH331" s="100">
        <f>AVERAGEIFS($I$2:J331, $B$2:C331, C331)</f>
        <v>0.44750000000000006</v>
      </c>
      <c r="AI331" s="100">
        <f>AVERAGEIFS($D$2:D331, $B$2:B331, B331)</f>
        <v>0.5</v>
      </c>
    </row>
    <row r="332" spans="1:35" x14ac:dyDescent="0.25">
      <c r="A332" s="106">
        <v>46086</v>
      </c>
      <c r="B332" t="s">
        <v>4</v>
      </c>
      <c r="C332">
        <v>27</v>
      </c>
      <c r="D332">
        <v>0</v>
      </c>
      <c r="E332">
        <v>4</v>
      </c>
      <c r="F332">
        <v>1</v>
      </c>
      <c r="G332">
        <v>15</v>
      </c>
      <c r="H332">
        <v>6</v>
      </c>
      <c r="I332">
        <v>0.25</v>
      </c>
      <c r="J332">
        <v>0.4</v>
      </c>
      <c r="K332">
        <v>0</v>
      </c>
      <c r="L332">
        <v>1</v>
      </c>
      <c r="M332">
        <v>0</v>
      </c>
      <c r="N332">
        <v>0</v>
      </c>
      <c r="O332">
        <v>0</v>
      </c>
      <c r="P332">
        <v>0</v>
      </c>
      <c r="Q332">
        <v>0</v>
      </c>
      <c r="R332">
        <v>0</v>
      </c>
      <c r="S332">
        <v>0</v>
      </c>
      <c r="T332">
        <v>0</v>
      </c>
      <c r="U332">
        <v>0</v>
      </c>
      <c r="V332">
        <v>0</v>
      </c>
      <c r="W332">
        <v>0</v>
      </c>
      <c r="X332">
        <v>0</v>
      </c>
      <c r="Y332">
        <v>0</v>
      </c>
      <c r="Z332">
        <v>0</v>
      </c>
      <c r="AA332">
        <v>0</v>
      </c>
      <c r="AB332">
        <v>0</v>
      </c>
      <c r="AC332">
        <v>0</v>
      </c>
      <c r="AD332">
        <v>0</v>
      </c>
      <c r="AE332">
        <v>0</v>
      </c>
      <c r="AF332" s="100">
        <f>AVERAGEIFS($C$2:C332, $B$2:B332, B332)</f>
        <v>25.727272727272727</v>
      </c>
      <c r="AG332" s="100">
        <f>AVERAGEIFS($I$2:I332, $B$2:B332, B332)</f>
        <v>0.40454545454545454</v>
      </c>
      <c r="AH332" s="100">
        <f>AVERAGEIFS($I$2:J332, $B$2:C332, C332)</f>
        <v>0.46875</v>
      </c>
      <c r="AI332" s="100">
        <f>AVERAGEIFS($D$2:D332, $B$2:B332, B332)</f>
        <v>0.27272727272727271</v>
      </c>
    </row>
    <row r="333" spans="1:35" x14ac:dyDescent="0.25">
      <c r="A333" s="106">
        <v>46086</v>
      </c>
      <c r="B333" t="s">
        <v>18</v>
      </c>
      <c r="C333">
        <v>17</v>
      </c>
      <c r="D333">
        <v>0</v>
      </c>
      <c r="E333">
        <v>4</v>
      </c>
      <c r="F333">
        <v>1</v>
      </c>
      <c r="G333">
        <v>15</v>
      </c>
      <c r="H333">
        <v>6</v>
      </c>
      <c r="I333">
        <v>0.25</v>
      </c>
      <c r="J333">
        <v>0.4</v>
      </c>
      <c r="K333">
        <v>0</v>
      </c>
      <c r="L333">
        <v>1</v>
      </c>
      <c r="M333">
        <v>0</v>
      </c>
      <c r="N333">
        <v>0</v>
      </c>
      <c r="O333">
        <v>0</v>
      </c>
      <c r="P333">
        <v>0</v>
      </c>
      <c r="Q333">
        <v>0</v>
      </c>
      <c r="R333">
        <v>0</v>
      </c>
      <c r="S333">
        <v>0</v>
      </c>
      <c r="T333">
        <v>0</v>
      </c>
      <c r="U333">
        <v>0</v>
      </c>
      <c r="V333">
        <v>0</v>
      </c>
      <c r="W333">
        <v>0</v>
      </c>
      <c r="X333">
        <v>0</v>
      </c>
      <c r="Y333">
        <v>0</v>
      </c>
      <c r="Z333">
        <v>0</v>
      </c>
      <c r="AA333">
        <v>0</v>
      </c>
      <c r="AB333">
        <v>0</v>
      </c>
      <c r="AC333">
        <v>0</v>
      </c>
      <c r="AD333">
        <v>0</v>
      </c>
      <c r="AE333">
        <v>0</v>
      </c>
      <c r="AF333" s="100">
        <f>AVERAGEIFS($C$2:C333, $B$2:B333, B333)</f>
        <v>18.333333333333332</v>
      </c>
      <c r="AG333" s="100">
        <f>AVERAGEIFS($I$2:I333, $B$2:B333, B333)</f>
        <v>0.6166666666666667</v>
      </c>
      <c r="AH333" s="100">
        <f>AVERAGEIFS($I$2:J333, $B$2:C333, C333)</f>
        <v>0.44470588235294128</v>
      </c>
      <c r="AI333" s="100">
        <f>AVERAGEIFS($D$2:D333, $B$2:B333, B333)</f>
        <v>0.66666666666666663</v>
      </c>
    </row>
    <row r="334" spans="1:35" x14ac:dyDescent="0.25">
      <c r="A334" s="106">
        <v>46086</v>
      </c>
      <c r="B334" t="s">
        <v>28</v>
      </c>
      <c r="C334">
        <v>17</v>
      </c>
      <c r="D334">
        <v>0</v>
      </c>
      <c r="E334">
        <v>4</v>
      </c>
      <c r="F334">
        <v>1</v>
      </c>
      <c r="G334">
        <v>15</v>
      </c>
      <c r="H334">
        <v>6</v>
      </c>
      <c r="I334">
        <v>0.25</v>
      </c>
      <c r="J334">
        <v>0.4</v>
      </c>
      <c r="K334">
        <v>0</v>
      </c>
      <c r="L334">
        <v>1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0</v>
      </c>
      <c r="T334">
        <v>0</v>
      </c>
      <c r="U334">
        <v>0</v>
      </c>
      <c r="V334">
        <v>0</v>
      </c>
      <c r="W334">
        <v>0</v>
      </c>
      <c r="X334">
        <v>0</v>
      </c>
      <c r="Y334">
        <v>0</v>
      </c>
      <c r="Z334">
        <v>0</v>
      </c>
      <c r="AA334">
        <v>0</v>
      </c>
      <c r="AB334">
        <v>0</v>
      </c>
      <c r="AC334">
        <v>0</v>
      </c>
      <c r="AD334">
        <v>0</v>
      </c>
      <c r="AE334">
        <v>0</v>
      </c>
      <c r="AF334" s="100">
        <f>AVERAGEIFS($C$2:C334, $B$2:B334, B334)</f>
        <v>16.46153846153846</v>
      </c>
      <c r="AG334" s="100">
        <f>AVERAGEIFS($I$2:I334, $B$2:B334, B334)</f>
        <v>0.43692307692307691</v>
      </c>
      <c r="AH334" s="100">
        <f>AVERAGEIFS($I$2:J334, $B$2:C334, C334)</f>
        <v>0.44222222222222229</v>
      </c>
      <c r="AI334" s="100">
        <f>AVERAGEIFS($D$2:D334, $B$2:B334, B334)</f>
        <v>0.38461538461538464</v>
      </c>
    </row>
    <row r="335" spans="1:35" x14ac:dyDescent="0.25">
      <c r="A335" s="106">
        <v>46086</v>
      </c>
      <c r="B335" t="s">
        <v>42</v>
      </c>
      <c r="C335">
        <v>16</v>
      </c>
      <c r="D335">
        <v>0</v>
      </c>
      <c r="E335">
        <v>4</v>
      </c>
      <c r="F335">
        <v>1</v>
      </c>
      <c r="G335">
        <v>15</v>
      </c>
      <c r="H335">
        <v>6</v>
      </c>
      <c r="I335">
        <v>0.25</v>
      </c>
      <c r="J335">
        <v>0.4</v>
      </c>
      <c r="K335">
        <v>0</v>
      </c>
      <c r="L335">
        <v>1</v>
      </c>
      <c r="M335">
        <v>0</v>
      </c>
      <c r="N335">
        <v>0</v>
      </c>
      <c r="O335">
        <v>0</v>
      </c>
      <c r="P335">
        <v>0</v>
      </c>
      <c r="Q335">
        <v>0</v>
      </c>
      <c r="R335">
        <v>0</v>
      </c>
      <c r="S335">
        <v>0</v>
      </c>
      <c r="T335">
        <v>0</v>
      </c>
      <c r="U335">
        <v>0</v>
      </c>
      <c r="V335">
        <v>0</v>
      </c>
      <c r="W335">
        <v>0</v>
      </c>
      <c r="X335">
        <v>0</v>
      </c>
      <c r="Y335">
        <v>0</v>
      </c>
      <c r="Z335">
        <v>0</v>
      </c>
      <c r="AA335">
        <v>0</v>
      </c>
      <c r="AB335">
        <v>0</v>
      </c>
      <c r="AC335">
        <v>0</v>
      </c>
      <c r="AD335">
        <v>0</v>
      </c>
      <c r="AE335">
        <v>0</v>
      </c>
      <c r="AF335" s="100">
        <f>AVERAGEIFS($C$2:C335, $B$2:B335, B335)</f>
        <v>16.083333333333332</v>
      </c>
      <c r="AG335" s="100">
        <f>AVERAGEIFS($I$2:I335, $B$2:B335, B335)</f>
        <v>0.43333333333333335</v>
      </c>
      <c r="AH335" s="100">
        <f>AVERAGEIFS($I$2:J335, $B$2:C335, C335)</f>
        <v>0.50111111111111117</v>
      </c>
      <c r="AI335" s="100">
        <f>AVERAGEIFS($D$2:D335, $B$2:B335, B335)</f>
        <v>0.5</v>
      </c>
    </row>
    <row r="336" spans="1:35" x14ac:dyDescent="0.25">
      <c r="A336" s="106">
        <v>46086</v>
      </c>
      <c r="B336" t="s">
        <v>14</v>
      </c>
      <c r="C336">
        <v>14</v>
      </c>
      <c r="D336">
        <v>0</v>
      </c>
      <c r="E336">
        <v>4</v>
      </c>
      <c r="F336">
        <v>1</v>
      </c>
      <c r="G336">
        <v>15</v>
      </c>
      <c r="H336">
        <v>6</v>
      </c>
      <c r="I336">
        <v>0.25</v>
      </c>
      <c r="J336">
        <v>0.4</v>
      </c>
      <c r="K336">
        <v>0</v>
      </c>
      <c r="L336">
        <v>1</v>
      </c>
      <c r="M336">
        <v>0</v>
      </c>
      <c r="N336">
        <v>0</v>
      </c>
      <c r="O336">
        <v>0</v>
      </c>
      <c r="P336">
        <v>0</v>
      </c>
      <c r="Q336">
        <v>0</v>
      </c>
      <c r="R336">
        <v>0</v>
      </c>
      <c r="S336">
        <v>0</v>
      </c>
      <c r="T336">
        <v>0</v>
      </c>
      <c r="U336">
        <v>0</v>
      </c>
      <c r="V336">
        <v>0</v>
      </c>
      <c r="W336">
        <v>0</v>
      </c>
      <c r="X336">
        <v>0</v>
      </c>
      <c r="Y336">
        <v>0</v>
      </c>
      <c r="Z336">
        <v>0</v>
      </c>
      <c r="AA336">
        <v>0</v>
      </c>
      <c r="AB336">
        <v>0</v>
      </c>
      <c r="AC336">
        <v>0</v>
      </c>
      <c r="AD336">
        <v>0</v>
      </c>
      <c r="AE336">
        <v>0</v>
      </c>
      <c r="AF336" s="100">
        <f>AVERAGEIFS($C$2:C336, $B$2:B336, B336)</f>
        <v>16.666666666666668</v>
      </c>
      <c r="AG336" s="100">
        <f>AVERAGEIFS($I$2:I336, $B$2:B336, B336)</f>
        <v>0.46833333333333332</v>
      </c>
      <c r="AH336" s="100">
        <f>AVERAGEIFS($I$2:J336, $B$2:C336, C336)</f>
        <v>0.48000000000000004</v>
      </c>
      <c r="AI336" s="100">
        <f>AVERAGEIFS($D$2:D336, $B$2:B336, B336)</f>
        <v>0.5</v>
      </c>
    </row>
    <row r="337" spans="1:35" x14ac:dyDescent="0.25">
      <c r="A337" s="106">
        <v>46086</v>
      </c>
      <c r="B337" t="s">
        <v>115</v>
      </c>
      <c r="C337">
        <v>11</v>
      </c>
      <c r="D337">
        <v>0</v>
      </c>
      <c r="E337">
        <v>4</v>
      </c>
      <c r="F337">
        <v>1</v>
      </c>
      <c r="G337">
        <v>15</v>
      </c>
      <c r="H337">
        <v>6</v>
      </c>
      <c r="I337">
        <v>0.25</v>
      </c>
      <c r="J337">
        <v>0.4</v>
      </c>
      <c r="K337">
        <v>0</v>
      </c>
      <c r="L337">
        <v>1</v>
      </c>
      <c r="M337">
        <v>0</v>
      </c>
      <c r="N337">
        <v>0</v>
      </c>
      <c r="O337">
        <v>0</v>
      </c>
      <c r="P337">
        <v>0</v>
      </c>
      <c r="Q337">
        <v>0</v>
      </c>
      <c r="R337">
        <v>0</v>
      </c>
      <c r="S337">
        <v>0</v>
      </c>
      <c r="T337">
        <v>0</v>
      </c>
      <c r="U337">
        <v>0</v>
      </c>
      <c r="V337">
        <v>0</v>
      </c>
      <c r="W337">
        <v>0</v>
      </c>
      <c r="X337">
        <v>0</v>
      </c>
      <c r="Y337">
        <v>0</v>
      </c>
      <c r="Z337">
        <v>0</v>
      </c>
      <c r="AA337">
        <v>0</v>
      </c>
      <c r="AB337">
        <v>0</v>
      </c>
      <c r="AC337">
        <v>0</v>
      </c>
      <c r="AD337">
        <v>0</v>
      </c>
      <c r="AE337">
        <v>0</v>
      </c>
      <c r="AF337" s="100">
        <f>AVERAGEIFS($C$2:C337, $B$2:B337, B337)</f>
        <v>13</v>
      </c>
      <c r="AG337" s="100">
        <f>AVERAGEIFS($I$2:I337, $B$2:B337, B337)</f>
        <v>0.35833333333333334</v>
      </c>
      <c r="AH337" s="100">
        <f>AVERAGEIFS($I$2:J337, $B$2:C337, C337)</f>
        <v>0.51500000000000001</v>
      </c>
      <c r="AI337" s="100">
        <f>AVERAGEIFS($D$2:D337, $B$2:B337, B337)</f>
        <v>0.16666666666666666</v>
      </c>
    </row>
    <row r="338" spans="1:35" x14ac:dyDescent="0.25">
      <c r="A338" s="106">
        <v>46087</v>
      </c>
      <c r="B338" t="s">
        <v>1</v>
      </c>
      <c r="C338">
        <v>50</v>
      </c>
      <c r="D338">
        <v>1</v>
      </c>
      <c r="E338">
        <v>4</v>
      </c>
      <c r="F338">
        <v>3</v>
      </c>
      <c r="G338">
        <v>19</v>
      </c>
      <c r="H338">
        <v>11</v>
      </c>
      <c r="I338">
        <v>0.75</v>
      </c>
      <c r="J338">
        <v>0.57999999999999996</v>
      </c>
      <c r="K338">
        <v>0</v>
      </c>
      <c r="L338">
        <v>1</v>
      </c>
      <c r="M338">
        <v>0</v>
      </c>
      <c r="N338">
        <v>0</v>
      </c>
      <c r="O338">
        <v>0</v>
      </c>
      <c r="P338">
        <v>0</v>
      </c>
      <c r="Q338">
        <v>0</v>
      </c>
      <c r="R338">
        <v>0</v>
      </c>
      <c r="S338">
        <v>0</v>
      </c>
      <c r="T338">
        <v>0</v>
      </c>
      <c r="U338">
        <v>0</v>
      </c>
      <c r="V338">
        <v>0</v>
      </c>
      <c r="W338">
        <v>0</v>
      </c>
      <c r="X338">
        <v>0</v>
      </c>
      <c r="Y338">
        <v>0</v>
      </c>
      <c r="Z338">
        <v>0</v>
      </c>
      <c r="AA338">
        <v>0</v>
      </c>
      <c r="AB338">
        <v>0</v>
      </c>
      <c r="AC338">
        <v>1</v>
      </c>
      <c r="AD338">
        <v>1</v>
      </c>
      <c r="AE338">
        <v>0</v>
      </c>
      <c r="AF338" s="100">
        <f>AVERAGEIFS($C$2:C338, $B$2:B338, B338)</f>
        <v>29.545454545454547</v>
      </c>
      <c r="AG338" s="100">
        <f>AVERAGEIFS($I$2:I338, $B$2:B338, B338)</f>
        <v>0.38181818181818183</v>
      </c>
      <c r="AH338" s="100">
        <f>AVERAGEIFS($I$2:J338, $B$2:C338, C338)</f>
        <v>0.57999999999999996</v>
      </c>
      <c r="AI338" s="100">
        <f>AVERAGEIFS($D$2:D338, $B$2:B338, B338)</f>
        <v>0.45454545454545453</v>
      </c>
    </row>
    <row r="339" spans="1:35" x14ac:dyDescent="0.25">
      <c r="A339" s="106">
        <v>46087</v>
      </c>
      <c r="B339" t="s">
        <v>54</v>
      </c>
      <c r="C339">
        <v>23</v>
      </c>
      <c r="D339">
        <v>1</v>
      </c>
      <c r="E339">
        <v>4</v>
      </c>
      <c r="F339">
        <v>3</v>
      </c>
      <c r="G339">
        <v>19</v>
      </c>
      <c r="H339">
        <v>11</v>
      </c>
      <c r="I339">
        <v>0.75</v>
      </c>
      <c r="J339">
        <v>0.57999999999999996</v>
      </c>
      <c r="K339">
        <v>0</v>
      </c>
      <c r="L339">
        <v>1</v>
      </c>
      <c r="M339">
        <v>0</v>
      </c>
      <c r="N339">
        <v>0</v>
      </c>
      <c r="O339">
        <v>0</v>
      </c>
      <c r="P339">
        <v>0</v>
      </c>
      <c r="Q339">
        <v>0</v>
      </c>
      <c r="R339">
        <v>0</v>
      </c>
      <c r="S339">
        <v>0</v>
      </c>
      <c r="T339">
        <v>0</v>
      </c>
      <c r="U339">
        <v>0</v>
      </c>
      <c r="V339">
        <v>0</v>
      </c>
      <c r="W339">
        <v>0</v>
      </c>
      <c r="X339">
        <v>0</v>
      </c>
      <c r="Y339">
        <v>0</v>
      </c>
      <c r="Z339">
        <v>0</v>
      </c>
      <c r="AA339">
        <v>0</v>
      </c>
      <c r="AB339">
        <v>0</v>
      </c>
      <c r="AC339">
        <v>1</v>
      </c>
      <c r="AD339">
        <v>1</v>
      </c>
      <c r="AE339">
        <v>0</v>
      </c>
      <c r="AF339" s="100">
        <f>AVERAGEIFS($C$2:C339, $B$2:B339, B339)</f>
        <v>24.869565217391305</v>
      </c>
      <c r="AG339" s="100">
        <f>AVERAGEIFS($I$2:I339, $B$2:B339, B339)</f>
        <v>0.4986956521739131</v>
      </c>
      <c r="AH339" s="100">
        <f>AVERAGEIFS($I$2:J339, $B$2:C339, C339)</f>
        <v>0.55749999999999988</v>
      </c>
      <c r="AI339" s="100">
        <f>AVERAGEIFS($D$2:D339, $B$2:B339, B339)</f>
        <v>0.47826086956521741</v>
      </c>
    </row>
    <row r="340" spans="1:35" x14ac:dyDescent="0.25">
      <c r="A340" s="106">
        <v>46087</v>
      </c>
      <c r="B340" t="s">
        <v>71</v>
      </c>
      <c r="C340">
        <v>18</v>
      </c>
      <c r="D340">
        <v>1</v>
      </c>
      <c r="E340">
        <v>4</v>
      </c>
      <c r="F340">
        <v>3</v>
      </c>
      <c r="G340">
        <v>19</v>
      </c>
      <c r="H340">
        <v>11</v>
      </c>
      <c r="I340">
        <v>0.75</v>
      </c>
      <c r="J340">
        <v>0.57999999999999996</v>
      </c>
      <c r="K340">
        <v>0</v>
      </c>
      <c r="L340">
        <v>1</v>
      </c>
      <c r="M340">
        <v>0</v>
      </c>
      <c r="N340">
        <v>0</v>
      </c>
      <c r="O340">
        <v>0</v>
      </c>
      <c r="P340">
        <v>0</v>
      </c>
      <c r="Q340">
        <v>0</v>
      </c>
      <c r="R340">
        <v>0</v>
      </c>
      <c r="S340">
        <v>0</v>
      </c>
      <c r="T340">
        <v>0</v>
      </c>
      <c r="U340">
        <v>0</v>
      </c>
      <c r="V340">
        <v>0</v>
      </c>
      <c r="W340">
        <v>0</v>
      </c>
      <c r="X340">
        <v>0</v>
      </c>
      <c r="Y340">
        <v>0</v>
      </c>
      <c r="Z340">
        <v>0</v>
      </c>
      <c r="AA340">
        <v>0</v>
      </c>
      <c r="AB340">
        <v>0</v>
      </c>
      <c r="AC340">
        <v>1</v>
      </c>
      <c r="AD340">
        <v>1</v>
      </c>
      <c r="AE340">
        <v>0</v>
      </c>
      <c r="AF340" s="100">
        <f>AVERAGEIFS($C$2:C340, $B$2:B340, B340)</f>
        <v>12.333333333333334</v>
      </c>
      <c r="AG340" s="100">
        <f>AVERAGEIFS($I$2:I340, $B$2:B340, B340)</f>
        <v>0.53333333333333333</v>
      </c>
      <c r="AH340" s="100">
        <f>AVERAGEIFS($I$2:J340, $B$2:C340, C340)</f>
        <v>0.50421052631578944</v>
      </c>
      <c r="AI340" s="100">
        <f>AVERAGEIFS($D$2:D340, $B$2:B340, B340)</f>
        <v>0.66666666666666663</v>
      </c>
    </row>
    <row r="341" spans="1:35" x14ac:dyDescent="0.25">
      <c r="A341" s="106">
        <v>46087</v>
      </c>
      <c r="B341" t="s">
        <v>46</v>
      </c>
      <c r="C341">
        <v>18</v>
      </c>
      <c r="D341">
        <v>1</v>
      </c>
      <c r="E341">
        <v>4</v>
      </c>
      <c r="F341">
        <v>3</v>
      </c>
      <c r="G341">
        <v>19</v>
      </c>
      <c r="H341">
        <v>11</v>
      </c>
      <c r="I341">
        <v>0.75</v>
      </c>
      <c r="J341">
        <v>0.57999999999999996</v>
      </c>
      <c r="K341">
        <v>0</v>
      </c>
      <c r="L341">
        <v>1</v>
      </c>
      <c r="M341">
        <v>0</v>
      </c>
      <c r="N341">
        <v>0</v>
      </c>
      <c r="O341">
        <v>0</v>
      </c>
      <c r="P341">
        <v>0</v>
      </c>
      <c r="Q341">
        <v>0</v>
      </c>
      <c r="R341">
        <v>0</v>
      </c>
      <c r="S341">
        <v>0</v>
      </c>
      <c r="T341">
        <v>0</v>
      </c>
      <c r="U341">
        <v>0</v>
      </c>
      <c r="V341">
        <v>0</v>
      </c>
      <c r="W341">
        <v>0</v>
      </c>
      <c r="X341">
        <v>0</v>
      </c>
      <c r="Y341">
        <v>0</v>
      </c>
      <c r="Z341">
        <v>0</v>
      </c>
      <c r="AA341">
        <v>0</v>
      </c>
      <c r="AB341">
        <v>0</v>
      </c>
      <c r="AC341">
        <v>1</v>
      </c>
      <c r="AD341">
        <v>1</v>
      </c>
      <c r="AE341">
        <v>0</v>
      </c>
      <c r="AF341" s="100">
        <f>AVERAGEIFS($C$2:C341, $B$2:B341, B341)</f>
        <v>19.857142857142858</v>
      </c>
      <c r="AG341" s="100">
        <f>AVERAGEIFS($I$2:I341, $B$2:B341, B341)</f>
        <v>0.49285714285714283</v>
      </c>
      <c r="AH341" s="100">
        <f>AVERAGEIFS($I$2:J341, $B$2:C341, C341)</f>
        <v>0.50800000000000001</v>
      </c>
      <c r="AI341" s="100">
        <f>AVERAGEIFS($D$2:D341, $B$2:B341, B341)</f>
        <v>0.42857142857142855</v>
      </c>
    </row>
    <row r="342" spans="1:35" x14ac:dyDescent="0.25">
      <c r="A342" s="106">
        <v>46087</v>
      </c>
      <c r="B342" t="s">
        <v>50</v>
      </c>
      <c r="C342">
        <v>18</v>
      </c>
      <c r="D342">
        <v>1</v>
      </c>
      <c r="E342">
        <v>4</v>
      </c>
      <c r="F342">
        <v>3</v>
      </c>
      <c r="G342">
        <v>19</v>
      </c>
      <c r="H342">
        <v>11</v>
      </c>
      <c r="I342">
        <v>0.75</v>
      </c>
      <c r="J342">
        <v>0.57999999999999996</v>
      </c>
      <c r="K342">
        <v>0</v>
      </c>
      <c r="L342">
        <v>1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0</v>
      </c>
      <c r="T342">
        <v>0</v>
      </c>
      <c r="U342">
        <v>0</v>
      </c>
      <c r="V342">
        <v>0</v>
      </c>
      <c r="W342">
        <v>0</v>
      </c>
      <c r="X342">
        <v>0</v>
      </c>
      <c r="Y342">
        <v>0</v>
      </c>
      <c r="Z342">
        <v>0</v>
      </c>
      <c r="AA342">
        <v>0</v>
      </c>
      <c r="AB342">
        <v>0</v>
      </c>
      <c r="AC342">
        <v>1</v>
      </c>
      <c r="AD342">
        <v>1</v>
      </c>
      <c r="AE342">
        <v>0</v>
      </c>
      <c r="AF342" s="100">
        <f>AVERAGEIFS($C$2:C342, $B$2:B342, B342)</f>
        <v>19.608695652173914</v>
      </c>
      <c r="AG342" s="100">
        <f>AVERAGEIFS($I$2:I342, $B$2:B342, B342)</f>
        <v>0.5447826086956522</v>
      </c>
      <c r="AH342" s="100">
        <f>AVERAGEIFS($I$2:J342, $B$2:C342, C342)</f>
        <v>0.51142857142857145</v>
      </c>
      <c r="AI342" s="100">
        <f>AVERAGEIFS($D$2:D342, $B$2:B342, B342)</f>
        <v>0.56521739130434778</v>
      </c>
    </row>
    <row r="343" spans="1:35" x14ac:dyDescent="0.25">
      <c r="A343" s="106">
        <v>46087</v>
      </c>
      <c r="B343" t="s">
        <v>44</v>
      </c>
      <c r="C343">
        <v>15</v>
      </c>
      <c r="D343">
        <v>1</v>
      </c>
      <c r="E343">
        <v>4</v>
      </c>
      <c r="F343">
        <v>3</v>
      </c>
      <c r="G343">
        <v>19</v>
      </c>
      <c r="H343">
        <v>11</v>
      </c>
      <c r="I343">
        <v>0.75</v>
      </c>
      <c r="J343">
        <v>0.57999999999999996</v>
      </c>
      <c r="K343">
        <v>0</v>
      </c>
      <c r="L343">
        <v>1</v>
      </c>
      <c r="M343">
        <v>0</v>
      </c>
      <c r="N343">
        <v>0</v>
      </c>
      <c r="O343">
        <v>0</v>
      </c>
      <c r="P343">
        <v>0</v>
      </c>
      <c r="Q343">
        <v>0</v>
      </c>
      <c r="R343">
        <v>0</v>
      </c>
      <c r="S343">
        <v>0</v>
      </c>
      <c r="T343">
        <v>0</v>
      </c>
      <c r="U343">
        <v>0</v>
      </c>
      <c r="V343">
        <v>0</v>
      </c>
      <c r="W343">
        <v>0</v>
      </c>
      <c r="X343">
        <v>0</v>
      </c>
      <c r="Y343">
        <v>0</v>
      </c>
      <c r="Z343">
        <v>0</v>
      </c>
      <c r="AA343">
        <v>0</v>
      </c>
      <c r="AB343">
        <v>0</v>
      </c>
      <c r="AC343">
        <v>1</v>
      </c>
      <c r="AD343">
        <v>1</v>
      </c>
      <c r="AE343">
        <v>0</v>
      </c>
      <c r="AF343" s="100">
        <f>AVERAGEIFS($C$2:C343, $B$2:B343, B343)</f>
        <v>17.555555555555557</v>
      </c>
      <c r="AG343" s="100">
        <f>AVERAGEIFS($I$2:I343, $B$2:B343, B343)</f>
        <v>0.56666666666666665</v>
      </c>
      <c r="AH343" s="100">
        <f>AVERAGEIFS($I$2:J343, $B$2:C343, C343)</f>
        <v>0.46545454545454545</v>
      </c>
      <c r="AI343" s="100">
        <f>AVERAGEIFS($D$2:D343, $B$2:B343, B343)</f>
        <v>0.66666666666666663</v>
      </c>
    </row>
    <row r="344" spans="1:35" x14ac:dyDescent="0.25">
      <c r="A344" s="106">
        <v>46087</v>
      </c>
      <c r="B344" t="s">
        <v>2</v>
      </c>
      <c r="C344">
        <v>28</v>
      </c>
      <c r="D344">
        <v>0</v>
      </c>
      <c r="E344">
        <v>4</v>
      </c>
      <c r="F344">
        <v>1</v>
      </c>
      <c r="G344">
        <v>19</v>
      </c>
      <c r="H344">
        <v>8</v>
      </c>
      <c r="I344">
        <v>0.25</v>
      </c>
      <c r="J344">
        <v>0.42</v>
      </c>
      <c r="K344">
        <v>0</v>
      </c>
      <c r="L344">
        <v>0</v>
      </c>
      <c r="M344">
        <v>0</v>
      </c>
      <c r="N344">
        <v>0</v>
      </c>
      <c r="O344">
        <v>0</v>
      </c>
      <c r="P344">
        <v>0</v>
      </c>
      <c r="Q344">
        <v>0</v>
      </c>
      <c r="R344">
        <v>0</v>
      </c>
      <c r="S344">
        <v>0</v>
      </c>
      <c r="T344">
        <v>1</v>
      </c>
      <c r="U344">
        <v>0</v>
      </c>
      <c r="V344">
        <v>0</v>
      </c>
      <c r="W344">
        <v>0</v>
      </c>
      <c r="X344">
        <v>0</v>
      </c>
      <c r="Y344">
        <v>0</v>
      </c>
      <c r="Z344">
        <v>0</v>
      </c>
      <c r="AA344">
        <v>0</v>
      </c>
      <c r="AB344">
        <v>0</v>
      </c>
      <c r="AC344">
        <v>0</v>
      </c>
      <c r="AD344">
        <v>0</v>
      </c>
      <c r="AE344">
        <v>0</v>
      </c>
      <c r="AF344" s="100">
        <f>AVERAGEIFS($C$2:C344, $B$2:B344, B344)</f>
        <v>24.388888888888889</v>
      </c>
      <c r="AG344" s="100">
        <f>AVERAGEIFS($I$2:I344, $B$2:B344, B344)</f>
        <v>0.48500000000000004</v>
      </c>
      <c r="AH344" s="100">
        <f>AVERAGEIFS($I$2:J344, $B$2:C344, C344)</f>
        <v>0.48142857142857143</v>
      </c>
      <c r="AI344" s="100">
        <f>AVERAGEIFS($D$2:D344, $B$2:B344, B344)</f>
        <v>0.44444444444444442</v>
      </c>
    </row>
    <row r="345" spans="1:35" x14ac:dyDescent="0.25">
      <c r="A345" s="106">
        <v>46087</v>
      </c>
      <c r="B345" t="s">
        <v>40</v>
      </c>
      <c r="C345">
        <v>25</v>
      </c>
      <c r="D345">
        <v>0</v>
      </c>
      <c r="E345">
        <v>4</v>
      </c>
      <c r="F345">
        <v>1</v>
      </c>
      <c r="G345">
        <v>19</v>
      </c>
      <c r="H345">
        <v>8</v>
      </c>
      <c r="I345">
        <v>0.25</v>
      </c>
      <c r="J345">
        <v>0.42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0</v>
      </c>
      <c r="T345">
        <v>1</v>
      </c>
      <c r="U345">
        <v>0</v>
      </c>
      <c r="V345">
        <v>0</v>
      </c>
      <c r="W345">
        <v>0</v>
      </c>
      <c r="X345">
        <v>0</v>
      </c>
      <c r="Y345">
        <v>0</v>
      </c>
      <c r="Z345">
        <v>0</v>
      </c>
      <c r="AA345">
        <v>0</v>
      </c>
      <c r="AB345">
        <v>0</v>
      </c>
      <c r="AC345">
        <v>0</v>
      </c>
      <c r="AD345">
        <v>0</v>
      </c>
      <c r="AE345">
        <v>0</v>
      </c>
      <c r="AF345" s="100">
        <f>AVERAGEIFS($C$2:C345, $B$2:B345, B345)</f>
        <v>17.684210526315791</v>
      </c>
      <c r="AG345" s="100">
        <f>AVERAGEIFS($I$2:I345, $B$2:B345, B345)</f>
        <v>0.44210526315789483</v>
      </c>
      <c r="AH345" s="100">
        <f>AVERAGEIFS($I$2:J345, $B$2:C345, C345)</f>
        <v>0.48466666666666663</v>
      </c>
      <c r="AI345" s="100">
        <f>AVERAGEIFS($D$2:D345, $B$2:B345, B345)</f>
        <v>0.42105263157894735</v>
      </c>
    </row>
    <row r="346" spans="1:35" x14ac:dyDescent="0.25">
      <c r="A346" s="106">
        <v>46087</v>
      </c>
      <c r="B346" t="s">
        <v>6</v>
      </c>
      <c r="C346">
        <v>22</v>
      </c>
      <c r="D346">
        <v>0</v>
      </c>
      <c r="E346">
        <v>4</v>
      </c>
      <c r="F346">
        <v>1</v>
      </c>
      <c r="G346">
        <v>19</v>
      </c>
      <c r="H346">
        <v>8</v>
      </c>
      <c r="I346">
        <v>0.25</v>
      </c>
      <c r="J346">
        <v>0.42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0</v>
      </c>
      <c r="T346">
        <v>1</v>
      </c>
      <c r="U346">
        <v>0</v>
      </c>
      <c r="V346">
        <v>0</v>
      </c>
      <c r="W346">
        <v>0</v>
      </c>
      <c r="X346">
        <v>0</v>
      </c>
      <c r="Y346">
        <v>0</v>
      </c>
      <c r="Z346">
        <v>0</v>
      </c>
      <c r="AA346">
        <v>0</v>
      </c>
      <c r="AB346">
        <v>0</v>
      </c>
      <c r="AC346">
        <v>0</v>
      </c>
      <c r="AD346">
        <v>0</v>
      </c>
      <c r="AE346">
        <v>0</v>
      </c>
      <c r="AF346" s="100">
        <f>AVERAGEIFS($C$2:C346, $B$2:B346, B346)</f>
        <v>22.956521739130434</v>
      </c>
      <c r="AG346" s="100">
        <f>AVERAGEIFS($I$2:I346, $B$2:B346, B346)</f>
        <v>0.64695652173913043</v>
      </c>
      <c r="AH346" s="100">
        <f>AVERAGEIFS($I$2:J346, $B$2:C346, C346)</f>
        <v>0.52214285714285713</v>
      </c>
      <c r="AI346" s="100">
        <f>AVERAGEIFS($D$2:D346, $B$2:B346, B346)</f>
        <v>0.73913043478260865</v>
      </c>
    </row>
    <row r="347" spans="1:35" x14ac:dyDescent="0.25">
      <c r="A347" s="106">
        <v>46087</v>
      </c>
      <c r="B347" t="s">
        <v>42</v>
      </c>
      <c r="C347">
        <v>21</v>
      </c>
      <c r="D347">
        <v>0</v>
      </c>
      <c r="E347">
        <v>4</v>
      </c>
      <c r="F347">
        <v>1</v>
      </c>
      <c r="G347">
        <v>19</v>
      </c>
      <c r="H347">
        <v>8</v>
      </c>
      <c r="I347">
        <v>0.25</v>
      </c>
      <c r="J347">
        <v>0.42</v>
      </c>
      <c r="K347">
        <v>0</v>
      </c>
      <c r="L347">
        <v>0</v>
      </c>
      <c r="M347">
        <v>0</v>
      </c>
      <c r="N347">
        <v>0</v>
      </c>
      <c r="O347">
        <v>0</v>
      </c>
      <c r="P347">
        <v>0</v>
      </c>
      <c r="Q347">
        <v>0</v>
      </c>
      <c r="R347">
        <v>0</v>
      </c>
      <c r="S347">
        <v>0</v>
      </c>
      <c r="T347">
        <v>1</v>
      </c>
      <c r="U347">
        <v>0</v>
      </c>
      <c r="V347">
        <v>0</v>
      </c>
      <c r="W347">
        <v>0</v>
      </c>
      <c r="X347">
        <v>0</v>
      </c>
      <c r="Y347">
        <v>0</v>
      </c>
      <c r="Z347">
        <v>0</v>
      </c>
      <c r="AA347">
        <v>0</v>
      </c>
      <c r="AB347">
        <v>0</v>
      </c>
      <c r="AC347">
        <v>0</v>
      </c>
      <c r="AD347">
        <v>0</v>
      </c>
      <c r="AE347">
        <v>0</v>
      </c>
      <c r="AF347" s="100">
        <f>AVERAGEIFS($C$2:C347, $B$2:B347, B347)</f>
        <v>16.46153846153846</v>
      </c>
      <c r="AG347" s="100">
        <f>AVERAGEIFS($I$2:I347, $B$2:B347, B347)</f>
        <v>0.41923076923076924</v>
      </c>
      <c r="AH347" s="100">
        <f>AVERAGEIFS($I$2:J347, $B$2:C347, C347)</f>
        <v>0.57153846153846155</v>
      </c>
      <c r="AI347" s="100">
        <f>AVERAGEIFS($D$2:D347, $B$2:B347, B347)</f>
        <v>0.46153846153846156</v>
      </c>
    </row>
    <row r="348" spans="1:35" x14ac:dyDescent="0.25">
      <c r="A348" s="106">
        <v>46087</v>
      </c>
      <c r="B348" t="s">
        <v>28</v>
      </c>
      <c r="C348">
        <v>16</v>
      </c>
      <c r="D348">
        <v>0</v>
      </c>
      <c r="E348">
        <v>4</v>
      </c>
      <c r="F348">
        <v>1</v>
      </c>
      <c r="G348">
        <v>19</v>
      </c>
      <c r="H348">
        <v>8</v>
      </c>
      <c r="I348">
        <v>0.25</v>
      </c>
      <c r="J348">
        <v>0.42</v>
      </c>
      <c r="K348">
        <v>0</v>
      </c>
      <c r="L348">
        <v>0</v>
      </c>
      <c r="M348">
        <v>0</v>
      </c>
      <c r="N348">
        <v>0</v>
      </c>
      <c r="O348">
        <v>0</v>
      </c>
      <c r="P348">
        <v>0</v>
      </c>
      <c r="Q348">
        <v>0</v>
      </c>
      <c r="R348">
        <v>0</v>
      </c>
      <c r="S348">
        <v>0</v>
      </c>
      <c r="T348">
        <v>1</v>
      </c>
      <c r="U348">
        <v>0</v>
      </c>
      <c r="V348">
        <v>0</v>
      </c>
      <c r="W348">
        <v>0</v>
      </c>
      <c r="X348">
        <v>0</v>
      </c>
      <c r="Y348">
        <v>0</v>
      </c>
      <c r="Z348">
        <v>0</v>
      </c>
      <c r="AA348">
        <v>0</v>
      </c>
      <c r="AB348">
        <v>0</v>
      </c>
      <c r="AC348">
        <v>0</v>
      </c>
      <c r="AD348">
        <v>0</v>
      </c>
      <c r="AE348">
        <v>0</v>
      </c>
      <c r="AF348" s="100">
        <f>AVERAGEIFS($C$2:C348, $B$2:B348, B348)</f>
        <v>16.428571428571427</v>
      </c>
      <c r="AG348" s="100">
        <f>AVERAGEIFS($I$2:I348, $B$2:B348, B348)</f>
        <v>0.42357142857142854</v>
      </c>
      <c r="AH348" s="100">
        <f>AVERAGEIFS($I$2:J348, $B$2:C348, C348)</f>
        <v>0.49684210526315797</v>
      </c>
      <c r="AI348" s="100">
        <f>AVERAGEIFS($D$2:D348, $B$2:B348, B348)</f>
        <v>0.35714285714285715</v>
      </c>
    </row>
    <row r="349" spans="1:35" x14ac:dyDescent="0.25">
      <c r="A349" s="106">
        <v>46087</v>
      </c>
      <c r="B349" t="s">
        <v>52</v>
      </c>
      <c r="C349">
        <v>11</v>
      </c>
      <c r="D349">
        <v>0</v>
      </c>
      <c r="E349">
        <v>4</v>
      </c>
      <c r="F349">
        <v>1</v>
      </c>
      <c r="G349">
        <v>19</v>
      </c>
      <c r="H349">
        <v>8</v>
      </c>
      <c r="I349">
        <v>0.25</v>
      </c>
      <c r="J349">
        <v>0.42</v>
      </c>
      <c r="K349">
        <v>0</v>
      </c>
      <c r="L349">
        <v>0</v>
      </c>
      <c r="M349">
        <v>0</v>
      </c>
      <c r="N349">
        <v>0</v>
      </c>
      <c r="O349">
        <v>0</v>
      </c>
      <c r="P349">
        <v>0</v>
      </c>
      <c r="Q349">
        <v>0</v>
      </c>
      <c r="R349">
        <v>0</v>
      </c>
      <c r="S349">
        <v>0</v>
      </c>
      <c r="T349">
        <v>1</v>
      </c>
      <c r="U349">
        <v>0</v>
      </c>
      <c r="V349">
        <v>0</v>
      </c>
      <c r="W349">
        <v>0</v>
      </c>
      <c r="X349">
        <v>0</v>
      </c>
      <c r="Y349">
        <v>0</v>
      </c>
      <c r="Z349">
        <v>0</v>
      </c>
      <c r="AA349">
        <v>0</v>
      </c>
      <c r="AB349">
        <v>0</v>
      </c>
      <c r="AC349">
        <v>0</v>
      </c>
      <c r="AD349">
        <v>0</v>
      </c>
      <c r="AE349">
        <v>0</v>
      </c>
      <c r="AF349" s="100">
        <f>AVERAGEIFS($C$2:C349, $B$2:B349, B349)</f>
        <v>13.5</v>
      </c>
      <c r="AG349" s="100">
        <f>AVERAGEIFS($I$2:I349, $B$2:B349, B349)</f>
        <v>0.39374999999999999</v>
      </c>
      <c r="AH349" s="100">
        <f>AVERAGEIFS($I$2:J349, $B$2:C349, C349)</f>
        <v>0.50866666666666671</v>
      </c>
      <c r="AI349" s="100">
        <f>AVERAGEIFS($D$2:D349, $B$2:B349, B349)</f>
        <v>0.25</v>
      </c>
    </row>
    <row r="350" spans="1:35" x14ac:dyDescent="0.25">
      <c r="A350" s="106">
        <v>46088</v>
      </c>
      <c r="B350" t="s">
        <v>6</v>
      </c>
      <c r="C350">
        <v>26</v>
      </c>
      <c r="D350">
        <v>1</v>
      </c>
      <c r="E350">
        <v>4</v>
      </c>
      <c r="F350">
        <v>3</v>
      </c>
      <c r="G350">
        <v>15</v>
      </c>
      <c r="H350">
        <v>11</v>
      </c>
      <c r="I350">
        <v>0.75</v>
      </c>
      <c r="J350">
        <v>0.73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0</v>
      </c>
      <c r="T350">
        <v>0</v>
      </c>
      <c r="U350">
        <v>0</v>
      </c>
      <c r="V350">
        <v>1</v>
      </c>
      <c r="W350">
        <v>1</v>
      </c>
      <c r="X350">
        <v>0</v>
      </c>
      <c r="Y350">
        <v>0</v>
      </c>
      <c r="Z350">
        <v>0</v>
      </c>
      <c r="AA350">
        <v>0</v>
      </c>
      <c r="AB350">
        <v>0</v>
      </c>
      <c r="AC350">
        <v>0</v>
      </c>
      <c r="AD350">
        <v>0</v>
      </c>
      <c r="AE350">
        <v>1</v>
      </c>
      <c r="AF350" s="100">
        <f>AVERAGEIFS($C$2:C350, $B$2:B350, B350)</f>
        <v>23.083333333333332</v>
      </c>
      <c r="AG350" s="100">
        <f>AVERAGEIFS($I$2:I350, $B$2:B350, B350)</f>
        <v>0.65125</v>
      </c>
      <c r="AH350" s="100">
        <f>AVERAGEIFS($I$2:J350, $B$2:C350, C350)</f>
        <v>0.59250000000000003</v>
      </c>
      <c r="AI350" s="100">
        <f>AVERAGEIFS($D$2:D350, $B$2:B350, B350)</f>
        <v>0.75</v>
      </c>
    </row>
    <row r="351" spans="1:35" x14ac:dyDescent="0.25">
      <c r="A351" s="106">
        <v>46088</v>
      </c>
      <c r="B351" t="s">
        <v>40</v>
      </c>
      <c r="C351">
        <v>21</v>
      </c>
      <c r="D351">
        <v>1</v>
      </c>
      <c r="E351">
        <v>4</v>
      </c>
      <c r="F351">
        <v>3</v>
      </c>
      <c r="G351">
        <v>15</v>
      </c>
      <c r="H351">
        <v>11</v>
      </c>
      <c r="I351">
        <v>0.75</v>
      </c>
      <c r="J351">
        <v>0.73</v>
      </c>
      <c r="K351">
        <v>0</v>
      </c>
      <c r="L351">
        <v>0</v>
      </c>
      <c r="M351">
        <v>0</v>
      </c>
      <c r="N351">
        <v>0</v>
      </c>
      <c r="O351">
        <v>0</v>
      </c>
      <c r="P351">
        <v>0</v>
      </c>
      <c r="Q351">
        <v>0</v>
      </c>
      <c r="R351">
        <v>0</v>
      </c>
      <c r="S351">
        <v>0</v>
      </c>
      <c r="T351">
        <v>0</v>
      </c>
      <c r="U351">
        <v>0</v>
      </c>
      <c r="V351">
        <v>1</v>
      </c>
      <c r="W351">
        <v>1</v>
      </c>
      <c r="X351">
        <v>0</v>
      </c>
      <c r="Y351">
        <v>0</v>
      </c>
      <c r="Z351">
        <v>0</v>
      </c>
      <c r="AA351">
        <v>0</v>
      </c>
      <c r="AB351">
        <v>0</v>
      </c>
      <c r="AC351">
        <v>0</v>
      </c>
      <c r="AD351">
        <v>0</v>
      </c>
      <c r="AE351">
        <v>1</v>
      </c>
      <c r="AF351" s="100">
        <f>AVERAGEIFS($C$2:C351, $B$2:B351, B351)</f>
        <v>17.850000000000001</v>
      </c>
      <c r="AG351" s="100">
        <f>AVERAGEIFS($I$2:I351, $B$2:B351, B351)</f>
        <v>0.45750000000000013</v>
      </c>
      <c r="AH351" s="100">
        <f>AVERAGEIFS($I$2:J351, $B$2:C351, C351)</f>
        <v>0.58285714285714285</v>
      </c>
      <c r="AI351" s="100">
        <f>AVERAGEIFS($D$2:D351, $B$2:B351, B351)</f>
        <v>0.45</v>
      </c>
    </row>
    <row r="352" spans="1:35" x14ac:dyDescent="0.25">
      <c r="A352" s="106">
        <v>46088</v>
      </c>
      <c r="B352" t="s">
        <v>5</v>
      </c>
      <c r="C352">
        <v>17</v>
      </c>
      <c r="D352">
        <v>1</v>
      </c>
      <c r="E352">
        <v>4</v>
      </c>
      <c r="F352">
        <v>3</v>
      </c>
      <c r="G352">
        <v>15</v>
      </c>
      <c r="H352">
        <v>11</v>
      </c>
      <c r="I352">
        <v>0.75</v>
      </c>
      <c r="J352">
        <v>0.73</v>
      </c>
      <c r="K352">
        <v>0</v>
      </c>
      <c r="L352">
        <v>0</v>
      </c>
      <c r="M352">
        <v>0</v>
      </c>
      <c r="N352">
        <v>0</v>
      </c>
      <c r="O352">
        <v>0</v>
      </c>
      <c r="P352">
        <v>0</v>
      </c>
      <c r="Q352">
        <v>0</v>
      </c>
      <c r="R352">
        <v>0</v>
      </c>
      <c r="S352">
        <v>0</v>
      </c>
      <c r="T352">
        <v>0</v>
      </c>
      <c r="U352">
        <v>0</v>
      </c>
      <c r="V352">
        <v>1</v>
      </c>
      <c r="W352">
        <v>1</v>
      </c>
      <c r="X352">
        <v>0</v>
      </c>
      <c r="Y352">
        <v>0</v>
      </c>
      <c r="Z352">
        <v>0</v>
      </c>
      <c r="AA352">
        <v>0</v>
      </c>
      <c r="AB352">
        <v>0</v>
      </c>
      <c r="AC352">
        <v>0</v>
      </c>
      <c r="AD352">
        <v>0</v>
      </c>
      <c r="AE352">
        <v>1</v>
      </c>
      <c r="AF352" s="100">
        <f>AVERAGEIFS($C$2:C352, $B$2:B352, B352)</f>
        <v>20.625</v>
      </c>
      <c r="AG352" s="100">
        <f>AVERAGEIFS($I$2:I352, $B$2:B352, B352)</f>
        <v>0.59624999999999995</v>
      </c>
      <c r="AH352" s="100">
        <f>AVERAGEIFS($I$2:J352, $B$2:C352, C352)</f>
        <v>0.45736842105263165</v>
      </c>
      <c r="AI352" s="100">
        <f>AVERAGEIFS($D$2:D352, $B$2:B352, B352)</f>
        <v>0.75</v>
      </c>
    </row>
    <row r="353" spans="1:35" x14ac:dyDescent="0.25">
      <c r="A353" s="106">
        <v>46088</v>
      </c>
      <c r="B353" t="s">
        <v>44</v>
      </c>
      <c r="C353">
        <v>17</v>
      </c>
      <c r="D353">
        <v>1</v>
      </c>
      <c r="E353">
        <v>4</v>
      </c>
      <c r="F353">
        <v>3</v>
      </c>
      <c r="G353">
        <v>15</v>
      </c>
      <c r="H353">
        <v>11</v>
      </c>
      <c r="I353">
        <v>0.75</v>
      </c>
      <c r="J353">
        <v>0.73</v>
      </c>
      <c r="K353">
        <v>0</v>
      </c>
      <c r="L353">
        <v>0</v>
      </c>
      <c r="M353">
        <v>0</v>
      </c>
      <c r="N353">
        <v>0</v>
      </c>
      <c r="O353">
        <v>0</v>
      </c>
      <c r="P353">
        <v>0</v>
      </c>
      <c r="Q353">
        <v>0</v>
      </c>
      <c r="R353">
        <v>0</v>
      </c>
      <c r="S353">
        <v>0</v>
      </c>
      <c r="T353">
        <v>0</v>
      </c>
      <c r="U353">
        <v>0</v>
      </c>
      <c r="V353">
        <v>1</v>
      </c>
      <c r="W353">
        <v>1</v>
      </c>
      <c r="X353">
        <v>0</v>
      </c>
      <c r="Y353">
        <v>0</v>
      </c>
      <c r="Z353">
        <v>0</v>
      </c>
      <c r="AA353">
        <v>0</v>
      </c>
      <c r="AB353">
        <v>0</v>
      </c>
      <c r="AC353">
        <v>0</v>
      </c>
      <c r="AD353">
        <v>0</v>
      </c>
      <c r="AE353">
        <v>1</v>
      </c>
      <c r="AF353" s="100">
        <f>AVERAGEIFS($C$2:C353, $B$2:B353, B353)</f>
        <v>17.5</v>
      </c>
      <c r="AG353" s="100">
        <f>AVERAGEIFS($I$2:I353, $B$2:B353, B353)</f>
        <v>0.58499999999999996</v>
      </c>
      <c r="AH353" s="100">
        <f>AVERAGEIFS($I$2:J353, $B$2:C353, C353)</f>
        <v>0.47100000000000009</v>
      </c>
      <c r="AI353" s="100">
        <f>AVERAGEIFS($D$2:D353, $B$2:B353, B353)</f>
        <v>0.7</v>
      </c>
    </row>
    <row r="354" spans="1:35" x14ac:dyDescent="0.25">
      <c r="A354" s="106">
        <v>46088</v>
      </c>
      <c r="B354" t="s">
        <v>115</v>
      </c>
      <c r="C354">
        <v>10</v>
      </c>
      <c r="D354">
        <v>1</v>
      </c>
      <c r="E354">
        <v>4</v>
      </c>
      <c r="F354">
        <v>3</v>
      </c>
      <c r="G354">
        <v>15</v>
      </c>
      <c r="H354">
        <v>11</v>
      </c>
      <c r="I354">
        <v>0.75</v>
      </c>
      <c r="J354">
        <v>0.73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0</v>
      </c>
      <c r="T354">
        <v>0</v>
      </c>
      <c r="U354">
        <v>0</v>
      </c>
      <c r="V354">
        <v>1</v>
      </c>
      <c r="W354">
        <v>1</v>
      </c>
      <c r="X354">
        <v>0</v>
      </c>
      <c r="Y354">
        <v>0</v>
      </c>
      <c r="Z354">
        <v>0</v>
      </c>
      <c r="AA354">
        <v>0</v>
      </c>
      <c r="AB354">
        <v>0</v>
      </c>
      <c r="AC354">
        <v>0</v>
      </c>
      <c r="AD354">
        <v>0</v>
      </c>
      <c r="AE354">
        <v>1</v>
      </c>
      <c r="AF354" s="100">
        <f>AVERAGEIFS($C$2:C354, $B$2:B354, B354)</f>
        <v>12.571428571428571</v>
      </c>
      <c r="AG354" s="100">
        <f>AVERAGEIFS($I$2:I354, $B$2:B354, B354)</f>
        <v>0.41428571428571426</v>
      </c>
      <c r="AH354" s="100">
        <f>AVERAGEIFS($I$2:J354, $B$2:C354, C354)</f>
        <v>0.56933333333333336</v>
      </c>
      <c r="AI354" s="100">
        <f>AVERAGEIFS($D$2:D354, $B$2:B354, B354)</f>
        <v>0.2857142857142857</v>
      </c>
    </row>
    <row r="355" spans="1:35" x14ac:dyDescent="0.25">
      <c r="A355" s="106">
        <v>46088</v>
      </c>
      <c r="B355" t="s">
        <v>42</v>
      </c>
      <c r="C355">
        <v>19</v>
      </c>
      <c r="D355">
        <v>0</v>
      </c>
      <c r="E355">
        <v>4</v>
      </c>
      <c r="F355">
        <v>1</v>
      </c>
      <c r="G355">
        <v>15</v>
      </c>
      <c r="H355">
        <v>4</v>
      </c>
      <c r="I355">
        <v>0.25</v>
      </c>
      <c r="J355">
        <v>0.27</v>
      </c>
      <c r="K355">
        <v>0</v>
      </c>
      <c r="L355">
        <v>0</v>
      </c>
      <c r="M355">
        <v>0</v>
      </c>
      <c r="N355">
        <v>0</v>
      </c>
      <c r="O355">
        <v>0</v>
      </c>
      <c r="P355">
        <v>0</v>
      </c>
      <c r="Q355">
        <v>0</v>
      </c>
      <c r="R355">
        <v>0</v>
      </c>
      <c r="S355">
        <v>0</v>
      </c>
      <c r="T355">
        <v>0</v>
      </c>
      <c r="U355">
        <v>0</v>
      </c>
      <c r="V355">
        <v>0</v>
      </c>
      <c r="W355">
        <v>0</v>
      </c>
      <c r="X355">
        <v>0</v>
      </c>
      <c r="Y355">
        <v>1</v>
      </c>
      <c r="Z355">
        <v>0</v>
      </c>
      <c r="AA355">
        <v>0</v>
      </c>
      <c r="AB355">
        <v>0</v>
      </c>
      <c r="AC355">
        <v>0</v>
      </c>
      <c r="AD355">
        <v>0</v>
      </c>
      <c r="AE355">
        <v>0</v>
      </c>
      <c r="AF355" s="100">
        <f>AVERAGEIFS($C$2:C355, $B$2:B355, B355)</f>
        <v>16.642857142857142</v>
      </c>
      <c r="AG355" s="100">
        <f>AVERAGEIFS($I$2:I355, $B$2:B355, B355)</f>
        <v>0.40714285714285714</v>
      </c>
      <c r="AH355" s="100">
        <f>AVERAGEIFS($I$2:J355, $B$2:C355, C355)</f>
        <v>0.5149999999999999</v>
      </c>
      <c r="AI355" s="100">
        <f>AVERAGEIFS($D$2:D355, $B$2:B355, B355)</f>
        <v>0.42857142857142855</v>
      </c>
    </row>
    <row r="356" spans="1:35" x14ac:dyDescent="0.25">
      <c r="A356" s="106">
        <v>46088</v>
      </c>
      <c r="B356" t="s">
        <v>46</v>
      </c>
      <c r="C356">
        <v>19</v>
      </c>
      <c r="D356">
        <v>0</v>
      </c>
      <c r="E356">
        <v>4</v>
      </c>
      <c r="F356">
        <v>1</v>
      </c>
      <c r="G356">
        <v>15</v>
      </c>
      <c r="H356">
        <v>4</v>
      </c>
      <c r="I356">
        <v>0.25</v>
      </c>
      <c r="J356">
        <v>0.27</v>
      </c>
      <c r="K356">
        <v>0</v>
      </c>
      <c r="L356">
        <v>0</v>
      </c>
      <c r="M356">
        <v>0</v>
      </c>
      <c r="N356">
        <v>0</v>
      </c>
      <c r="O356">
        <v>0</v>
      </c>
      <c r="P356">
        <v>0</v>
      </c>
      <c r="Q356">
        <v>0</v>
      </c>
      <c r="R356">
        <v>0</v>
      </c>
      <c r="S356">
        <v>0</v>
      </c>
      <c r="T356">
        <v>0</v>
      </c>
      <c r="U356">
        <v>0</v>
      </c>
      <c r="V356">
        <v>0</v>
      </c>
      <c r="W356">
        <v>0</v>
      </c>
      <c r="X356">
        <v>0</v>
      </c>
      <c r="Y356">
        <v>1</v>
      </c>
      <c r="Z356">
        <v>0</v>
      </c>
      <c r="AA356">
        <v>0</v>
      </c>
      <c r="AB356">
        <v>0</v>
      </c>
      <c r="AC356">
        <v>0</v>
      </c>
      <c r="AD356">
        <v>0</v>
      </c>
      <c r="AE356">
        <v>0</v>
      </c>
      <c r="AF356" s="100">
        <f>AVERAGEIFS($C$2:C356, $B$2:B356, B356)</f>
        <v>19.8</v>
      </c>
      <c r="AG356" s="100">
        <f>AVERAGEIFS($I$2:I356, $B$2:B356, B356)</f>
        <v>0.47666666666666663</v>
      </c>
      <c r="AH356" s="100">
        <f>AVERAGEIFS($I$2:J356, $B$2:C356, C356)</f>
        <v>0.49866666666666659</v>
      </c>
      <c r="AI356" s="100">
        <f>AVERAGEIFS($D$2:D356, $B$2:B356, B356)</f>
        <v>0.4</v>
      </c>
    </row>
    <row r="357" spans="1:35" x14ac:dyDescent="0.25">
      <c r="A357" s="106">
        <v>46088</v>
      </c>
      <c r="B357" t="s">
        <v>54</v>
      </c>
      <c r="C357">
        <v>14</v>
      </c>
      <c r="D357">
        <v>0</v>
      </c>
      <c r="E357">
        <v>4</v>
      </c>
      <c r="F357">
        <v>1</v>
      </c>
      <c r="G357">
        <v>15</v>
      </c>
      <c r="H357">
        <v>4</v>
      </c>
      <c r="I357">
        <v>0.25</v>
      </c>
      <c r="J357">
        <v>0.27</v>
      </c>
      <c r="K357">
        <v>0</v>
      </c>
      <c r="L357">
        <v>0</v>
      </c>
      <c r="M357">
        <v>0</v>
      </c>
      <c r="N357">
        <v>0</v>
      </c>
      <c r="O357">
        <v>0</v>
      </c>
      <c r="P357">
        <v>0</v>
      </c>
      <c r="Q357">
        <v>0</v>
      </c>
      <c r="R357">
        <v>0</v>
      </c>
      <c r="S357">
        <v>0</v>
      </c>
      <c r="T357">
        <v>0</v>
      </c>
      <c r="U357">
        <v>0</v>
      </c>
      <c r="V357">
        <v>0</v>
      </c>
      <c r="W357">
        <v>0</v>
      </c>
      <c r="X357">
        <v>0</v>
      </c>
      <c r="Y357">
        <v>1</v>
      </c>
      <c r="Z357">
        <v>0</v>
      </c>
      <c r="AA357">
        <v>0</v>
      </c>
      <c r="AB357">
        <v>0</v>
      </c>
      <c r="AC357">
        <v>0</v>
      </c>
      <c r="AD357">
        <v>0</v>
      </c>
      <c r="AE357">
        <v>0</v>
      </c>
      <c r="AF357" s="100">
        <f>AVERAGEIFS($C$2:C357, $B$2:B357, B357)</f>
        <v>24.416666666666668</v>
      </c>
      <c r="AG357" s="100">
        <f>AVERAGEIFS($I$2:I357, $B$2:B357, B357)</f>
        <v>0.48833333333333334</v>
      </c>
      <c r="AH357" s="100">
        <f>AVERAGEIFS($I$2:J357, $B$2:C357, C357)</f>
        <v>0.46384615384615391</v>
      </c>
      <c r="AI357" s="100">
        <f>AVERAGEIFS($D$2:D357, $B$2:B357, B357)</f>
        <v>0.45833333333333331</v>
      </c>
    </row>
    <row r="358" spans="1:35" x14ac:dyDescent="0.25">
      <c r="A358" s="106">
        <v>46088</v>
      </c>
      <c r="B358" t="s">
        <v>35</v>
      </c>
      <c r="C358">
        <v>10</v>
      </c>
      <c r="D358">
        <v>0</v>
      </c>
      <c r="E358">
        <v>4</v>
      </c>
      <c r="F358">
        <v>1</v>
      </c>
      <c r="G358">
        <v>15</v>
      </c>
      <c r="H358">
        <v>4</v>
      </c>
      <c r="I358">
        <v>0.25</v>
      </c>
      <c r="J358">
        <v>0.27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0</v>
      </c>
      <c r="T358">
        <v>0</v>
      </c>
      <c r="U358">
        <v>0</v>
      </c>
      <c r="V358">
        <v>0</v>
      </c>
      <c r="W358">
        <v>0</v>
      </c>
      <c r="X358">
        <v>0</v>
      </c>
      <c r="Y358">
        <v>1</v>
      </c>
      <c r="Z358">
        <v>0</v>
      </c>
      <c r="AA358">
        <v>0</v>
      </c>
      <c r="AB358">
        <v>0</v>
      </c>
      <c r="AC358">
        <v>0</v>
      </c>
      <c r="AD358">
        <v>0</v>
      </c>
      <c r="AE358">
        <v>0</v>
      </c>
      <c r="AF358" s="100">
        <f>AVERAGEIFS($C$2:C358, $B$2:B358, B358)</f>
        <v>11.571428571428571</v>
      </c>
      <c r="AG358" s="100">
        <f>AVERAGEIFS($I$2:I358, $B$2:B358, B358)</f>
        <v>0.41809523809523813</v>
      </c>
      <c r="AH358" s="100">
        <f>AVERAGEIFS($I$2:J358, $B$2:C358, C358)</f>
        <v>0.55062500000000003</v>
      </c>
      <c r="AI358" s="100">
        <f>AVERAGEIFS($D$2:D358, $B$2:B358, B358)</f>
        <v>0.33333333333333331</v>
      </c>
    </row>
    <row r="359" spans="1:35" x14ac:dyDescent="0.25">
      <c r="A359" s="106">
        <v>46088</v>
      </c>
      <c r="B359" t="s">
        <v>103</v>
      </c>
      <c r="C359">
        <v>8</v>
      </c>
      <c r="D359">
        <v>0</v>
      </c>
      <c r="E359">
        <v>4</v>
      </c>
      <c r="F359">
        <v>1</v>
      </c>
      <c r="G359">
        <v>15</v>
      </c>
      <c r="H359">
        <v>4</v>
      </c>
      <c r="I359">
        <v>0.25</v>
      </c>
      <c r="J359">
        <v>0.27</v>
      </c>
      <c r="K359">
        <v>0</v>
      </c>
      <c r="L359">
        <v>0</v>
      </c>
      <c r="M359">
        <v>0</v>
      </c>
      <c r="N359">
        <v>0</v>
      </c>
      <c r="O359">
        <v>0</v>
      </c>
      <c r="P359">
        <v>0</v>
      </c>
      <c r="Q359">
        <v>0</v>
      </c>
      <c r="R359">
        <v>0</v>
      </c>
      <c r="S359">
        <v>0</v>
      </c>
      <c r="T359">
        <v>0</v>
      </c>
      <c r="U359">
        <v>0</v>
      </c>
      <c r="V359">
        <v>0</v>
      </c>
      <c r="W359">
        <v>0</v>
      </c>
      <c r="X359">
        <v>0</v>
      </c>
      <c r="Y359">
        <v>1</v>
      </c>
      <c r="Z359">
        <v>0</v>
      </c>
      <c r="AA359">
        <v>0</v>
      </c>
      <c r="AB359">
        <v>0</v>
      </c>
      <c r="AC359">
        <v>0</v>
      </c>
      <c r="AD359">
        <v>0</v>
      </c>
      <c r="AE359">
        <v>0</v>
      </c>
      <c r="AF359" s="100">
        <f>AVERAGEIFS($C$2:C359, $B$2:B359, B359)</f>
        <v>8.5</v>
      </c>
      <c r="AG359" s="100">
        <f>AVERAGEIFS($I$2:I359, $B$2:B359, B359)</f>
        <v>0.32500000000000001</v>
      </c>
      <c r="AH359" s="100">
        <f>AVERAGEIFS($I$2:J359, $B$2:C359, C359)</f>
        <v>0.42799999999999994</v>
      </c>
      <c r="AI359" s="100">
        <f>AVERAGEIFS($D$2:D359, $B$2:B359, B359)</f>
        <v>0</v>
      </c>
    </row>
    <row r="360" spans="1:35" x14ac:dyDescent="0.25">
      <c r="A360" s="106">
        <v>46089</v>
      </c>
      <c r="B360" t="s">
        <v>54</v>
      </c>
      <c r="C360">
        <v>35</v>
      </c>
      <c r="D360">
        <v>1</v>
      </c>
      <c r="E360">
        <v>4</v>
      </c>
      <c r="F360">
        <v>3</v>
      </c>
      <c r="G360">
        <v>17</v>
      </c>
      <c r="H360">
        <v>10</v>
      </c>
      <c r="I360">
        <v>0.75</v>
      </c>
      <c r="J360">
        <v>0.59</v>
      </c>
      <c r="K360">
        <v>1</v>
      </c>
      <c r="L360">
        <v>0</v>
      </c>
      <c r="M360">
        <v>0</v>
      </c>
      <c r="N360">
        <v>0</v>
      </c>
      <c r="O360">
        <v>0</v>
      </c>
      <c r="P360">
        <v>0</v>
      </c>
      <c r="Q360">
        <v>0</v>
      </c>
      <c r="R360">
        <v>0</v>
      </c>
      <c r="S360">
        <v>0</v>
      </c>
      <c r="T360">
        <v>0</v>
      </c>
      <c r="U360">
        <v>1</v>
      </c>
      <c r="V360">
        <v>0</v>
      </c>
      <c r="W360">
        <v>0</v>
      </c>
      <c r="X360">
        <v>0</v>
      </c>
      <c r="Y360">
        <v>0</v>
      </c>
      <c r="Z360">
        <v>0</v>
      </c>
      <c r="AA360">
        <v>0</v>
      </c>
      <c r="AB360">
        <v>0</v>
      </c>
      <c r="AC360">
        <v>1</v>
      </c>
      <c r="AD360">
        <v>0</v>
      </c>
      <c r="AE360">
        <v>0</v>
      </c>
      <c r="AF360" s="100">
        <f>AVERAGEIFS($C$2:C360, $B$2:B360, B360)</f>
        <v>24.84</v>
      </c>
      <c r="AG360" s="100">
        <f>AVERAGEIFS($I$2:I360, $B$2:B360, B360)</f>
        <v>0.49880000000000002</v>
      </c>
      <c r="AH360" s="100">
        <f>AVERAGEIFS($I$2:J360, $B$2:C360, C360)</f>
        <v>0.55333333333333334</v>
      </c>
      <c r="AI360" s="100">
        <f>AVERAGEIFS($D$2:D360, $B$2:B360, B360)</f>
        <v>0.48</v>
      </c>
    </row>
    <row r="361" spans="1:35" x14ac:dyDescent="0.25">
      <c r="A361" s="106">
        <v>46089</v>
      </c>
      <c r="B361" t="s">
        <v>44</v>
      </c>
      <c r="C361">
        <v>27</v>
      </c>
      <c r="D361">
        <v>1</v>
      </c>
      <c r="E361">
        <v>4</v>
      </c>
      <c r="F361">
        <v>3</v>
      </c>
      <c r="G361">
        <v>17</v>
      </c>
      <c r="H361">
        <v>10</v>
      </c>
      <c r="I361">
        <v>0.75</v>
      </c>
      <c r="J361">
        <v>0.59</v>
      </c>
      <c r="K361">
        <v>1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0</v>
      </c>
      <c r="T361">
        <v>0</v>
      </c>
      <c r="U361">
        <v>1</v>
      </c>
      <c r="V361">
        <v>0</v>
      </c>
      <c r="W361">
        <v>0</v>
      </c>
      <c r="X361">
        <v>0</v>
      </c>
      <c r="Y361">
        <v>0</v>
      </c>
      <c r="Z361">
        <v>0</v>
      </c>
      <c r="AA361">
        <v>0</v>
      </c>
      <c r="AB361">
        <v>0</v>
      </c>
      <c r="AC361">
        <v>1</v>
      </c>
      <c r="AD361">
        <v>0</v>
      </c>
      <c r="AE361">
        <v>0</v>
      </c>
      <c r="AF361" s="100">
        <f>AVERAGEIFS($C$2:C361, $B$2:B361, B361)</f>
        <v>18.363636363636363</v>
      </c>
      <c r="AG361" s="100">
        <f>AVERAGEIFS($I$2:I361, $B$2:B361, B361)</f>
        <v>0.6</v>
      </c>
      <c r="AH361" s="100">
        <f>AVERAGEIFS($I$2:J361, $B$2:C361, C361)</f>
        <v>0.48222222222222222</v>
      </c>
      <c r="AI361" s="100">
        <f>AVERAGEIFS($D$2:D361, $B$2:B361, B361)</f>
        <v>0.72727272727272729</v>
      </c>
    </row>
    <row r="362" spans="1:35" x14ac:dyDescent="0.25">
      <c r="A362" s="106">
        <v>46089</v>
      </c>
      <c r="B362" t="s">
        <v>6</v>
      </c>
      <c r="C362">
        <v>26</v>
      </c>
      <c r="D362">
        <v>1</v>
      </c>
      <c r="E362">
        <v>4</v>
      </c>
      <c r="F362">
        <v>3</v>
      </c>
      <c r="G362">
        <v>17</v>
      </c>
      <c r="H362">
        <v>10</v>
      </c>
      <c r="I362">
        <v>0.75</v>
      </c>
      <c r="J362">
        <v>0.59</v>
      </c>
      <c r="K362">
        <v>1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0</v>
      </c>
      <c r="T362">
        <v>0</v>
      </c>
      <c r="U362">
        <v>1</v>
      </c>
      <c r="V362">
        <v>0</v>
      </c>
      <c r="W362">
        <v>0</v>
      </c>
      <c r="X362">
        <v>0</v>
      </c>
      <c r="Y362">
        <v>0</v>
      </c>
      <c r="Z362">
        <v>0</v>
      </c>
      <c r="AA362">
        <v>0</v>
      </c>
      <c r="AB362">
        <v>0</v>
      </c>
      <c r="AC362">
        <v>1</v>
      </c>
      <c r="AD362">
        <v>0</v>
      </c>
      <c r="AE362">
        <v>0</v>
      </c>
      <c r="AF362" s="100">
        <f>AVERAGEIFS($C$2:C362, $B$2:B362, B362)</f>
        <v>23.2</v>
      </c>
      <c r="AG362" s="100">
        <f>AVERAGEIFS($I$2:I362, $B$2:B362, B362)</f>
        <v>0.6552</v>
      </c>
      <c r="AH362" s="100">
        <f>AVERAGEIFS($I$2:J362, $B$2:C362, C362)</f>
        <v>0.59199999999999997</v>
      </c>
      <c r="AI362" s="100">
        <f>AVERAGEIFS($D$2:D362, $B$2:B362, B362)</f>
        <v>0.76</v>
      </c>
    </row>
    <row r="363" spans="1:35" x14ac:dyDescent="0.25">
      <c r="A363" s="106">
        <v>46089</v>
      </c>
      <c r="B363" t="s">
        <v>5</v>
      </c>
      <c r="C363">
        <v>23</v>
      </c>
      <c r="D363">
        <v>1</v>
      </c>
      <c r="E363">
        <v>4</v>
      </c>
      <c r="F363">
        <v>3</v>
      </c>
      <c r="G363">
        <v>17</v>
      </c>
      <c r="H363">
        <v>10</v>
      </c>
      <c r="I363">
        <v>0.75</v>
      </c>
      <c r="J363">
        <v>0.59</v>
      </c>
      <c r="K363">
        <v>1</v>
      </c>
      <c r="L363">
        <v>0</v>
      </c>
      <c r="M363">
        <v>0</v>
      </c>
      <c r="N363">
        <v>0</v>
      </c>
      <c r="O363">
        <v>0</v>
      </c>
      <c r="P363">
        <v>0</v>
      </c>
      <c r="Q363">
        <v>0</v>
      </c>
      <c r="R363">
        <v>0</v>
      </c>
      <c r="S363">
        <v>0</v>
      </c>
      <c r="T363">
        <v>0</v>
      </c>
      <c r="U363">
        <v>1</v>
      </c>
      <c r="V363">
        <v>0</v>
      </c>
      <c r="W363">
        <v>0</v>
      </c>
      <c r="X363">
        <v>0</v>
      </c>
      <c r="Y363">
        <v>0</v>
      </c>
      <c r="Z363">
        <v>0</v>
      </c>
      <c r="AA363">
        <v>0</v>
      </c>
      <c r="AB363">
        <v>0</v>
      </c>
      <c r="AC363">
        <v>1</v>
      </c>
      <c r="AD363">
        <v>0</v>
      </c>
      <c r="AE363">
        <v>0</v>
      </c>
      <c r="AF363" s="100">
        <f>AVERAGEIFS($C$2:C363, $B$2:B363, B363)</f>
        <v>20.888888888888889</v>
      </c>
      <c r="AG363" s="100">
        <f>AVERAGEIFS($I$2:I363, $B$2:B363, B363)</f>
        <v>0.61333333333333329</v>
      </c>
      <c r="AH363" s="100">
        <f>AVERAGEIFS($I$2:J363, $B$2:C363, C363)</f>
        <v>0.55941176470588228</v>
      </c>
      <c r="AI363" s="100">
        <f>AVERAGEIFS($D$2:D363, $B$2:B363, B363)</f>
        <v>0.77777777777777779</v>
      </c>
    </row>
    <row r="364" spans="1:35" x14ac:dyDescent="0.25">
      <c r="A364" s="106">
        <v>46089</v>
      </c>
      <c r="B364" t="s">
        <v>115</v>
      </c>
      <c r="C364">
        <v>21</v>
      </c>
      <c r="D364">
        <v>1</v>
      </c>
      <c r="E364">
        <v>4</v>
      </c>
      <c r="F364">
        <v>3</v>
      </c>
      <c r="G364">
        <v>17</v>
      </c>
      <c r="H364">
        <v>10</v>
      </c>
      <c r="I364">
        <v>0.75</v>
      </c>
      <c r="J364">
        <v>0.59</v>
      </c>
      <c r="K364">
        <v>1</v>
      </c>
      <c r="L364">
        <v>0</v>
      </c>
      <c r="M364">
        <v>0</v>
      </c>
      <c r="N364">
        <v>0</v>
      </c>
      <c r="O364">
        <v>0</v>
      </c>
      <c r="P364">
        <v>0</v>
      </c>
      <c r="Q364">
        <v>0</v>
      </c>
      <c r="R364">
        <v>0</v>
      </c>
      <c r="S364">
        <v>0</v>
      </c>
      <c r="T364">
        <v>0</v>
      </c>
      <c r="U364">
        <v>1</v>
      </c>
      <c r="V364">
        <v>0</v>
      </c>
      <c r="W364">
        <v>0</v>
      </c>
      <c r="X364">
        <v>0</v>
      </c>
      <c r="Y364">
        <v>0</v>
      </c>
      <c r="Z364">
        <v>0</v>
      </c>
      <c r="AA364">
        <v>0</v>
      </c>
      <c r="AB364">
        <v>0</v>
      </c>
      <c r="AC364">
        <v>1</v>
      </c>
      <c r="AD364">
        <v>0</v>
      </c>
      <c r="AE364">
        <v>0</v>
      </c>
      <c r="AF364" s="100">
        <f>AVERAGEIFS($C$2:C364, $B$2:B364, B364)</f>
        <v>13.625</v>
      </c>
      <c r="AG364" s="100">
        <f>AVERAGEIFS($I$2:I364, $B$2:B364, B364)</f>
        <v>0.45624999999999999</v>
      </c>
      <c r="AH364" s="100">
        <f>AVERAGEIFS($I$2:J364, $B$2:C364, C364)</f>
        <v>0.58333333333333337</v>
      </c>
      <c r="AI364" s="100">
        <f>AVERAGEIFS($D$2:D364, $B$2:B364, B364)</f>
        <v>0.375</v>
      </c>
    </row>
    <row r="365" spans="1:35" x14ac:dyDescent="0.25">
      <c r="A365" s="106">
        <v>46089</v>
      </c>
      <c r="B365" t="s">
        <v>46</v>
      </c>
      <c r="C365">
        <v>20</v>
      </c>
      <c r="D365">
        <v>1</v>
      </c>
      <c r="E365">
        <v>4</v>
      </c>
      <c r="F365">
        <v>3</v>
      </c>
      <c r="G365">
        <v>17</v>
      </c>
      <c r="H365">
        <v>10</v>
      </c>
      <c r="I365">
        <v>0.75</v>
      </c>
      <c r="J365">
        <v>0.59</v>
      </c>
      <c r="K365">
        <v>1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0</v>
      </c>
      <c r="T365">
        <v>0</v>
      </c>
      <c r="U365">
        <v>1</v>
      </c>
      <c r="V365">
        <v>0</v>
      </c>
      <c r="W365">
        <v>0</v>
      </c>
      <c r="X365">
        <v>0</v>
      </c>
      <c r="Y365">
        <v>0</v>
      </c>
      <c r="Z365">
        <v>0</v>
      </c>
      <c r="AA365">
        <v>0</v>
      </c>
      <c r="AB365">
        <v>0</v>
      </c>
      <c r="AC365">
        <v>1</v>
      </c>
      <c r="AD365">
        <v>0</v>
      </c>
      <c r="AE365">
        <v>0</v>
      </c>
      <c r="AF365" s="100">
        <f>AVERAGEIFS($C$2:C365, $B$2:B365, B365)</f>
        <v>19.8125</v>
      </c>
      <c r="AG365" s="100">
        <f>AVERAGEIFS($I$2:I365, $B$2:B365, B365)</f>
        <v>0.49374999999999997</v>
      </c>
      <c r="AH365" s="100">
        <f>AVERAGEIFS($I$2:J365, $B$2:C365, C365)</f>
        <v>0.48999999999999988</v>
      </c>
      <c r="AI365" s="100">
        <f>AVERAGEIFS($D$2:D365, $B$2:B365, B365)</f>
        <v>0.4375</v>
      </c>
    </row>
    <row r="366" spans="1:35" x14ac:dyDescent="0.25">
      <c r="A366" s="106">
        <v>46089</v>
      </c>
      <c r="B366" t="s">
        <v>71</v>
      </c>
      <c r="C366">
        <v>19</v>
      </c>
      <c r="D366">
        <v>1</v>
      </c>
      <c r="E366">
        <v>4</v>
      </c>
      <c r="F366">
        <v>3</v>
      </c>
      <c r="G366">
        <v>17</v>
      </c>
      <c r="H366">
        <v>10</v>
      </c>
      <c r="I366">
        <v>0.75</v>
      </c>
      <c r="J366">
        <v>0.59</v>
      </c>
      <c r="K366">
        <v>1</v>
      </c>
      <c r="L366">
        <v>0</v>
      </c>
      <c r="M366">
        <v>0</v>
      </c>
      <c r="N366">
        <v>0</v>
      </c>
      <c r="O366">
        <v>0</v>
      </c>
      <c r="P366">
        <v>0</v>
      </c>
      <c r="Q366">
        <v>0</v>
      </c>
      <c r="R366">
        <v>0</v>
      </c>
      <c r="S366">
        <v>0</v>
      </c>
      <c r="T366">
        <v>0</v>
      </c>
      <c r="U366">
        <v>1</v>
      </c>
      <c r="V366">
        <v>0</v>
      </c>
      <c r="W366">
        <v>0</v>
      </c>
      <c r="X366">
        <v>0</v>
      </c>
      <c r="Y366">
        <v>0</v>
      </c>
      <c r="Z366">
        <v>0</v>
      </c>
      <c r="AA366">
        <v>0</v>
      </c>
      <c r="AB366">
        <v>0</v>
      </c>
      <c r="AC366">
        <v>1</v>
      </c>
      <c r="AD366">
        <v>0</v>
      </c>
      <c r="AE366">
        <v>0</v>
      </c>
      <c r="AF366" s="100">
        <f>AVERAGEIFS($C$2:C366, $B$2:B366, B366)</f>
        <v>14</v>
      </c>
      <c r="AG366" s="100">
        <f>AVERAGEIFS($I$2:I366, $B$2:B366, B366)</f>
        <v>0.58750000000000002</v>
      </c>
      <c r="AH366" s="100">
        <f>AVERAGEIFS($I$2:J366, $B$2:C366, C366)</f>
        <v>0.50437499999999991</v>
      </c>
      <c r="AI366" s="100">
        <f>AVERAGEIFS($D$2:D366, $B$2:B366, B366)</f>
        <v>0.75</v>
      </c>
    </row>
    <row r="367" spans="1:35" x14ac:dyDescent="0.25">
      <c r="A367" s="106">
        <v>46089</v>
      </c>
      <c r="B367" t="s">
        <v>35</v>
      </c>
      <c r="C367">
        <v>16</v>
      </c>
      <c r="D367">
        <v>1</v>
      </c>
      <c r="E367">
        <v>4</v>
      </c>
      <c r="F367">
        <v>3</v>
      </c>
      <c r="G367">
        <v>17</v>
      </c>
      <c r="H367">
        <v>10</v>
      </c>
      <c r="I367">
        <v>0.75</v>
      </c>
      <c r="J367">
        <v>0.59</v>
      </c>
      <c r="K367">
        <v>1</v>
      </c>
      <c r="L367">
        <v>0</v>
      </c>
      <c r="M367">
        <v>0</v>
      </c>
      <c r="N367">
        <v>0</v>
      </c>
      <c r="O367">
        <v>0</v>
      </c>
      <c r="P367">
        <v>0</v>
      </c>
      <c r="Q367">
        <v>0</v>
      </c>
      <c r="R367">
        <v>0</v>
      </c>
      <c r="S367">
        <v>0</v>
      </c>
      <c r="T367">
        <v>0</v>
      </c>
      <c r="U367">
        <v>1</v>
      </c>
      <c r="V367">
        <v>0</v>
      </c>
      <c r="W367">
        <v>0</v>
      </c>
      <c r="X367">
        <v>0</v>
      </c>
      <c r="Y367">
        <v>0</v>
      </c>
      <c r="Z367">
        <v>0</v>
      </c>
      <c r="AA367">
        <v>0</v>
      </c>
      <c r="AB367">
        <v>0</v>
      </c>
      <c r="AC367">
        <v>1</v>
      </c>
      <c r="AD367">
        <v>0</v>
      </c>
      <c r="AE367">
        <v>0</v>
      </c>
      <c r="AF367" s="100">
        <f>AVERAGEIFS($C$2:C367, $B$2:B367, B367)</f>
        <v>11.772727272727273</v>
      </c>
      <c r="AG367" s="100">
        <f>AVERAGEIFS($I$2:I367, $B$2:B367, B367)</f>
        <v>0.43318181818181822</v>
      </c>
      <c r="AH367" s="100">
        <f>AVERAGEIFS($I$2:J367, $B$2:C367, C367)</f>
        <v>0.50150000000000006</v>
      </c>
      <c r="AI367" s="100">
        <f>AVERAGEIFS($D$2:D367, $B$2:B367, B367)</f>
        <v>0.36363636363636365</v>
      </c>
    </row>
    <row r="368" spans="1:35" x14ac:dyDescent="0.25">
      <c r="A368" s="106">
        <v>46089</v>
      </c>
      <c r="B368" t="s">
        <v>42</v>
      </c>
      <c r="C368">
        <v>34</v>
      </c>
      <c r="D368">
        <v>0</v>
      </c>
      <c r="E368">
        <v>4</v>
      </c>
      <c r="F368">
        <v>1</v>
      </c>
      <c r="G368">
        <v>17</v>
      </c>
      <c r="H368">
        <v>7</v>
      </c>
      <c r="I368">
        <v>0.25</v>
      </c>
      <c r="J368">
        <v>0.41</v>
      </c>
      <c r="K368">
        <v>0</v>
      </c>
      <c r="L368">
        <v>0</v>
      </c>
      <c r="M368">
        <v>0</v>
      </c>
      <c r="N368">
        <v>1</v>
      </c>
      <c r="O368">
        <v>0</v>
      </c>
      <c r="P368">
        <v>0</v>
      </c>
      <c r="Q368">
        <v>0</v>
      </c>
      <c r="R368">
        <v>0</v>
      </c>
      <c r="S368">
        <v>0</v>
      </c>
      <c r="T368">
        <v>0</v>
      </c>
      <c r="U368">
        <v>0</v>
      </c>
      <c r="V368">
        <v>0</v>
      </c>
      <c r="W368">
        <v>0</v>
      </c>
      <c r="X368">
        <v>0</v>
      </c>
      <c r="Y368">
        <v>0</v>
      </c>
      <c r="Z368">
        <v>0</v>
      </c>
      <c r="AA368">
        <v>0</v>
      </c>
      <c r="AB368">
        <v>0</v>
      </c>
      <c r="AC368">
        <v>0</v>
      </c>
      <c r="AD368">
        <v>0</v>
      </c>
      <c r="AE368">
        <v>0</v>
      </c>
      <c r="AF368" s="100">
        <f>AVERAGEIFS($C$2:C368, $B$2:B368, B368)</f>
        <v>17.8</v>
      </c>
      <c r="AG368" s="100">
        <f>AVERAGEIFS($I$2:I368, $B$2:B368, B368)</f>
        <v>0.39666666666666667</v>
      </c>
      <c r="AH368" s="100">
        <f>AVERAGEIFS($I$2:J368, $B$2:C368, C368)</f>
        <v>0.50750000000000006</v>
      </c>
      <c r="AI368" s="100">
        <f>AVERAGEIFS($D$2:D368, $B$2:B368, B368)</f>
        <v>0.4</v>
      </c>
    </row>
    <row r="369" spans="1:35" x14ac:dyDescent="0.25">
      <c r="A369" s="106">
        <v>46089</v>
      </c>
      <c r="B369" t="s">
        <v>2</v>
      </c>
      <c r="C369">
        <v>29</v>
      </c>
      <c r="D369">
        <v>0</v>
      </c>
      <c r="E369">
        <v>4</v>
      </c>
      <c r="F369">
        <v>1</v>
      </c>
      <c r="G369">
        <v>17</v>
      </c>
      <c r="H369">
        <v>7</v>
      </c>
      <c r="I369">
        <v>0.25</v>
      </c>
      <c r="J369">
        <v>0.41</v>
      </c>
      <c r="K369">
        <v>0</v>
      </c>
      <c r="L369">
        <v>0</v>
      </c>
      <c r="M369">
        <v>0</v>
      </c>
      <c r="N369">
        <v>1</v>
      </c>
      <c r="O369">
        <v>0</v>
      </c>
      <c r="P369">
        <v>0</v>
      </c>
      <c r="Q369">
        <v>0</v>
      </c>
      <c r="R369">
        <v>0</v>
      </c>
      <c r="S369">
        <v>0</v>
      </c>
      <c r="T369">
        <v>0</v>
      </c>
      <c r="U369">
        <v>0</v>
      </c>
      <c r="V369">
        <v>0</v>
      </c>
      <c r="W369">
        <v>0</v>
      </c>
      <c r="X369">
        <v>0</v>
      </c>
      <c r="Y369">
        <v>0</v>
      </c>
      <c r="Z369">
        <v>0</v>
      </c>
      <c r="AA369">
        <v>0</v>
      </c>
      <c r="AB369">
        <v>0</v>
      </c>
      <c r="AC369">
        <v>0</v>
      </c>
      <c r="AD369">
        <v>0</v>
      </c>
      <c r="AE369">
        <v>0</v>
      </c>
      <c r="AF369" s="100">
        <f>AVERAGEIFS($C$2:C369, $B$2:B369, B369)</f>
        <v>24.631578947368421</v>
      </c>
      <c r="AG369" s="100">
        <f>AVERAGEIFS($I$2:I369, $B$2:B369, B369)</f>
        <v>0.47263157894736846</v>
      </c>
      <c r="AH369" s="100">
        <f>AVERAGEIFS($I$2:J369, $B$2:C369, C369)</f>
        <v>0.54166666666666674</v>
      </c>
      <c r="AI369" s="100">
        <f>AVERAGEIFS($D$2:D369, $B$2:B369, B369)</f>
        <v>0.42105263157894735</v>
      </c>
    </row>
    <row r="370" spans="1:35" x14ac:dyDescent="0.25">
      <c r="A370" s="106">
        <v>46089</v>
      </c>
      <c r="B370" t="s">
        <v>4</v>
      </c>
      <c r="C370">
        <v>25</v>
      </c>
      <c r="D370">
        <v>0</v>
      </c>
      <c r="E370">
        <v>4</v>
      </c>
      <c r="F370">
        <v>1</v>
      </c>
      <c r="G370">
        <v>17</v>
      </c>
      <c r="H370">
        <v>7</v>
      </c>
      <c r="I370">
        <v>0.25</v>
      </c>
      <c r="J370">
        <v>0.41</v>
      </c>
      <c r="K370">
        <v>0</v>
      </c>
      <c r="L370">
        <v>0</v>
      </c>
      <c r="M370">
        <v>0</v>
      </c>
      <c r="N370">
        <v>1</v>
      </c>
      <c r="O370">
        <v>0</v>
      </c>
      <c r="P370">
        <v>0</v>
      </c>
      <c r="Q370">
        <v>0</v>
      </c>
      <c r="R370">
        <v>0</v>
      </c>
      <c r="S370">
        <v>0</v>
      </c>
      <c r="T370">
        <v>0</v>
      </c>
      <c r="U370">
        <v>0</v>
      </c>
      <c r="V370">
        <v>0</v>
      </c>
      <c r="W370">
        <v>0</v>
      </c>
      <c r="X370">
        <v>0</v>
      </c>
      <c r="Y370">
        <v>0</v>
      </c>
      <c r="Z370">
        <v>0</v>
      </c>
      <c r="AA370">
        <v>0</v>
      </c>
      <c r="AB370">
        <v>0</v>
      </c>
      <c r="AC370">
        <v>0</v>
      </c>
      <c r="AD370">
        <v>0</v>
      </c>
      <c r="AE370">
        <v>0</v>
      </c>
      <c r="AF370" s="100">
        <f>AVERAGEIFS($C$2:C370, $B$2:B370, B370)</f>
        <v>25.666666666666668</v>
      </c>
      <c r="AG370" s="100">
        <f>AVERAGEIFS($I$2:I370, $B$2:B370, B370)</f>
        <v>0.39166666666666666</v>
      </c>
      <c r="AH370" s="100">
        <f>AVERAGEIFS($I$2:J370, $B$2:C370, C370)</f>
        <v>0.48</v>
      </c>
      <c r="AI370" s="100">
        <f>AVERAGEIFS($D$2:D370, $B$2:B370, B370)</f>
        <v>0.25</v>
      </c>
    </row>
    <row r="371" spans="1:35" x14ac:dyDescent="0.25">
      <c r="A371" s="106">
        <v>46089</v>
      </c>
      <c r="B371" t="s">
        <v>17</v>
      </c>
      <c r="C371">
        <v>23</v>
      </c>
      <c r="D371">
        <v>0</v>
      </c>
      <c r="E371">
        <v>4</v>
      </c>
      <c r="F371">
        <v>1</v>
      </c>
      <c r="G371">
        <v>17</v>
      </c>
      <c r="H371">
        <v>7</v>
      </c>
      <c r="I371">
        <v>0.25</v>
      </c>
      <c r="J371">
        <v>0.41</v>
      </c>
      <c r="K371">
        <v>0</v>
      </c>
      <c r="L371">
        <v>0</v>
      </c>
      <c r="M371">
        <v>0</v>
      </c>
      <c r="N371">
        <v>1</v>
      </c>
      <c r="O371">
        <v>0</v>
      </c>
      <c r="P371">
        <v>0</v>
      </c>
      <c r="Q371">
        <v>0</v>
      </c>
      <c r="R371">
        <v>0</v>
      </c>
      <c r="S371">
        <v>0</v>
      </c>
      <c r="T371">
        <v>0</v>
      </c>
      <c r="U371">
        <v>0</v>
      </c>
      <c r="V371">
        <v>0</v>
      </c>
      <c r="W371">
        <v>0</v>
      </c>
      <c r="X371">
        <v>0</v>
      </c>
      <c r="Y371">
        <v>0</v>
      </c>
      <c r="Z371">
        <v>0</v>
      </c>
      <c r="AA371">
        <v>0</v>
      </c>
      <c r="AB371">
        <v>0</v>
      </c>
      <c r="AC371">
        <v>0</v>
      </c>
      <c r="AD371">
        <v>0</v>
      </c>
      <c r="AE371">
        <v>0</v>
      </c>
      <c r="AF371" s="100">
        <f>AVERAGEIFS($C$2:C371, $B$2:B371, B371)</f>
        <v>21.157894736842106</v>
      </c>
      <c r="AG371" s="100">
        <f>AVERAGEIFS($I$2:I371, $B$2:B371, B371)</f>
        <v>0.44842105263157894</v>
      </c>
      <c r="AH371" s="100">
        <f>AVERAGEIFS($I$2:J371, $B$2:C371, C371)</f>
        <v>0.551111111111111</v>
      </c>
      <c r="AI371" s="100">
        <f>AVERAGEIFS($D$2:D371, $B$2:B371, B371)</f>
        <v>0.36842105263157893</v>
      </c>
    </row>
    <row r="372" spans="1:35" x14ac:dyDescent="0.25">
      <c r="A372" s="106">
        <v>46089</v>
      </c>
      <c r="B372" t="s">
        <v>107</v>
      </c>
      <c r="C372">
        <v>19</v>
      </c>
      <c r="D372">
        <v>0</v>
      </c>
      <c r="E372">
        <v>4</v>
      </c>
      <c r="F372">
        <v>1</v>
      </c>
      <c r="G372">
        <v>17</v>
      </c>
      <c r="H372">
        <v>7</v>
      </c>
      <c r="I372">
        <v>0.25</v>
      </c>
      <c r="J372">
        <v>0.41</v>
      </c>
      <c r="K372">
        <v>0</v>
      </c>
      <c r="L372">
        <v>0</v>
      </c>
      <c r="M372">
        <v>0</v>
      </c>
      <c r="N372">
        <v>1</v>
      </c>
      <c r="O372">
        <v>0</v>
      </c>
      <c r="P372">
        <v>0</v>
      </c>
      <c r="Q372">
        <v>0</v>
      </c>
      <c r="R372">
        <v>0</v>
      </c>
      <c r="S372">
        <v>0</v>
      </c>
      <c r="T372">
        <v>0</v>
      </c>
      <c r="U372">
        <v>0</v>
      </c>
      <c r="V372">
        <v>0</v>
      </c>
      <c r="W372">
        <v>0</v>
      </c>
      <c r="X372">
        <v>0</v>
      </c>
      <c r="Y372">
        <v>0</v>
      </c>
      <c r="Z372">
        <v>0</v>
      </c>
      <c r="AA372">
        <v>0</v>
      </c>
      <c r="AB372">
        <v>0</v>
      </c>
      <c r="AC372">
        <v>0</v>
      </c>
      <c r="AD372">
        <v>0</v>
      </c>
      <c r="AE372">
        <v>0</v>
      </c>
      <c r="AF372" s="100">
        <f>AVERAGEIFS($C$2:C372, $B$2:B372, B372)</f>
        <v>16.5</v>
      </c>
      <c r="AG372" s="100">
        <f>AVERAGEIFS($I$2:I372, $B$2:B372, B372)</f>
        <v>0.53749999999999998</v>
      </c>
      <c r="AH372" s="100">
        <f>AVERAGEIFS($I$2:J372, $B$2:C372, C372)</f>
        <v>0.49882352941176461</v>
      </c>
      <c r="AI372" s="100">
        <f>AVERAGEIFS($D$2:D372, $B$2:B372, B372)</f>
        <v>0.5</v>
      </c>
    </row>
    <row r="373" spans="1:35" x14ac:dyDescent="0.25">
      <c r="A373" s="106">
        <v>46089</v>
      </c>
      <c r="B373" t="s">
        <v>28</v>
      </c>
      <c r="C373">
        <v>18</v>
      </c>
      <c r="D373">
        <v>0</v>
      </c>
      <c r="E373">
        <v>4</v>
      </c>
      <c r="F373">
        <v>1</v>
      </c>
      <c r="G373">
        <v>17</v>
      </c>
      <c r="H373">
        <v>7</v>
      </c>
      <c r="I373">
        <v>0.25</v>
      </c>
      <c r="J373">
        <v>0.41</v>
      </c>
      <c r="K373">
        <v>0</v>
      </c>
      <c r="L373">
        <v>0</v>
      </c>
      <c r="M373">
        <v>0</v>
      </c>
      <c r="N373">
        <v>1</v>
      </c>
      <c r="O373">
        <v>0</v>
      </c>
      <c r="P373">
        <v>0</v>
      </c>
      <c r="Q373">
        <v>0</v>
      </c>
      <c r="R373">
        <v>0</v>
      </c>
      <c r="S373">
        <v>0</v>
      </c>
      <c r="T373">
        <v>0</v>
      </c>
      <c r="U373">
        <v>0</v>
      </c>
      <c r="V373">
        <v>0</v>
      </c>
      <c r="W373">
        <v>0</v>
      </c>
      <c r="X373">
        <v>0</v>
      </c>
      <c r="Y373">
        <v>0</v>
      </c>
      <c r="Z373">
        <v>0</v>
      </c>
      <c r="AA373">
        <v>0</v>
      </c>
      <c r="AB373">
        <v>0</v>
      </c>
      <c r="AC373">
        <v>0</v>
      </c>
      <c r="AD373">
        <v>0</v>
      </c>
      <c r="AE373">
        <v>0</v>
      </c>
      <c r="AF373" s="100">
        <f>AVERAGEIFS($C$2:C373, $B$2:B373, B373)</f>
        <v>16.533333333333335</v>
      </c>
      <c r="AG373" s="100">
        <f>AVERAGEIFS($I$2:I373, $B$2:B373, B373)</f>
        <v>0.41199999999999998</v>
      </c>
      <c r="AH373" s="100">
        <f>AVERAGEIFS($I$2:J373, $B$2:C373, C373)</f>
        <v>0.50681818181818183</v>
      </c>
      <c r="AI373" s="100">
        <f>AVERAGEIFS($D$2:D373, $B$2:B373, B373)</f>
        <v>0.33333333333333331</v>
      </c>
    </row>
    <row r="374" spans="1:35" x14ac:dyDescent="0.25">
      <c r="A374" s="106">
        <v>46089</v>
      </c>
      <c r="B374" t="s">
        <v>40</v>
      </c>
      <c r="C374">
        <v>18</v>
      </c>
      <c r="D374">
        <v>0</v>
      </c>
      <c r="E374">
        <v>4</v>
      </c>
      <c r="F374">
        <v>1</v>
      </c>
      <c r="G374">
        <v>17</v>
      </c>
      <c r="H374">
        <v>7</v>
      </c>
      <c r="I374">
        <v>0.25</v>
      </c>
      <c r="J374">
        <v>0.41</v>
      </c>
      <c r="K374">
        <v>0</v>
      </c>
      <c r="L374">
        <v>0</v>
      </c>
      <c r="M374">
        <v>0</v>
      </c>
      <c r="N374">
        <v>1</v>
      </c>
      <c r="O374">
        <v>0</v>
      </c>
      <c r="P374">
        <v>0</v>
      </c>
      <c r="Q374">
        <v>0</v>
      </c>
      <c r="R374">
        <v>0</v>
      </c>
      <c r="S374">
        <v>0</v>
      </c>
      <c r="T374">
        <v>0</v>
      </c>
      <c r="U374">
        <v>0</v>
      </c>
      <c r="V374">
        <v>0</v>
      </c>
      <c r="W374">
        <v>0</v>
      </c>
      <c r="X374">
        <v>0</v>
      </c>
      <c r="Y374">
        <v>0</v>
      </c>
      <c r="Z374">
        <v>0</v>
      </c>
      <c r="AA374">
        <v>0</v>
      </c>
      <c r="AB374">
        <v>0</v>
      </c>
      <c r="AC374">
        <v>0</v>
      </c>
      <c r="AD374">
        <v>0</v>
      </c>
      <c r="AE374">
        <v>0</v>
      </c>
      <c r="AF374" s="100">
        <f>AVERAGEIFS($C$2:C374, $B$2:B374, B374)</f>
        <v>17.857142857142858</v>
      </c>
      <c r="AG374" s="100">
        <f>AVERAGEIFS($I$2:I374, $B$2:B374, B374)</f>
        <v>0.44761904761904769</v>
      </c>
      <c r="AH374" s="100">
        <f>AVERAGEIFS($I$2:J374, $B$2:C374, C374)</f>
        <v>0.50260869565217392</v>
      </c>
      <c r="AI374" s="100">
        <f>AVERAGEIFS($D$2:D374, $B$2:B374, B374)</f>
        <v>0.42857142857142855</v>
      </c>
    </row>
    <row r="375" spans="1:35" x14ac:dyDescent="0.25">
      <c r="A375" s="106">
        <v>46089</v>
      </c>
      <c r="B375" t="s">
        <v>139</v>
      </c>
      <c r="C375">
        <v>12</v>
      </c>
      <c r="D375">
        <v>0</v>
      </c>
      <c r="E375">
        <v>4</v>
      </c>
      <c r="F375">
        <v>1</v>
      </c>
      <c r="G375">
        <v>17</v>
      </c>
      <c r="H375">
        <v>7</v>
      </c>
      <c r="I375">
        <v>0.25</v>
      </c>
      <c r="J375">
        <v>0.41</v>
      </c>
      <c r="K375">
        <v>0</v>
      </c>
      <c r="L375">
        <v>0</v>
      </c>
      <c r="M375">
        <v>0</v>
      </c>
      <c r="N375">
        <v>1</v>
      </c>
      <c r="O375">
        <v>0</v>
      </c>
      <c r="P375">
        <v>0</v>
      </c>
      <c r="Q375">
        <v>0</v>
      </c>
      <c r="R375">
        <v>0</v>
      </c>
      <c r="S375">
        <v>0</v>
      </c>
      <c r="T375">
        <v>0</v>
      </c>
      <c r="U375">
        <v>0</v>
      </c>
      <c r="V375">
        <v>0</v>
      </c>
      <c r="W375">
        <v>0</v>
      </c>
      <c r="X375">
        <v>0</v>
      </c>
      <c r="Y375">
        <v>0</v>
      </c>
      <c r="Z375">
        <v>0</v>
      </c>
      <c r="AA375">
        <v>0</v>
      </c>
      <c r="AB375">
        <v>0</v>
      </c>
      <c r="AC375">
        <v>0</v>
      </c>
      <c r="AD375">
        <v>0</v>
      </c>
      <c r="AE375">
        <v>0</v>
      </c>
      <c r="AF375" s="100">
        <f>AVERAGEIFS($C$2:C375, $B$2:B375, B375)</f>
        <v>12</v>
      </c>
      <c r="AG375" s="100">
        <f>AVERAGEIFS($I$2:I375, $B$2:B375, B375)</f>
        <v>0.25</v>
      </c>
      <c r="AH375" s="100">
        <f>AVERAGEIFS($I$2:J375, $B$2:C375, C375)</f>
        <v>0.49</v>
      </c>
      <c r="AI375" s="100">
        <f>AVERAGEIFS($D$2:D375, $B$2:B375, B375)</f>
        <v>0</v>
      </c>
    </row>
    <row r="376" spans="1:35" x14ac:dyDescent="0.25">
      <c r="A376" s="106">
        <v>46090</v>
      </c>
      <c r="B376" t="s">
        <v>35</v>
      </c>
      <c r="C376">
        <v>15</v>
      </c>
      <c r="D376">
        <v>0</v>
      </c>
      <c r="E376">
        <v>5</v>
      </c>
      <c r="F376">
        <v>2</v>
      </c>
      <c r="G376">
        <v>22</v>
      </c>
      <c r="H376">
        <v>10</v>
      </c>
      <c r="I376">
        <v>0.4</v>
      </c>
      <c r="J376">
        <v>0.45</v>
      </c>
      <c r="K376">
        <v>0</v>
      </c>
      <c r="L376">
        <v>0</v>
      </c>
      <c r="M376">
        <v>0</v>
      </c>
      <c r="N376">
        <v>0</v>
      </c>
      <c r="O376">
        <v>0</v>
      </c>
      <c r="P376">
        <v>0</v>
      </c>
      <c r="Q376">
        <v>0</v>
      </c>
      <c r="R376">
        <v>0</v>
      </c>
      <c r="S376">
        <v>0</v>
      </c>
      <c r="T376">
        <v>0</v>
      </c>
      <c r="U376">
        <v>0</v>
      </c>
      <c r="V376">
        <v>0</v>
      </c>
      <c r="W376">
        <v>0</v>
      </c>
      <c r="X376">
        <v>0</v>
      </c>
      <c r="Y376">
        <v>0</v>
      </c>
      <c r="Z376">
        <v>1</v>
      </c>
      <c r="AA376">
        <v>1</v>
      </c>
      <c r="AB376">
        <v>0</v>
      </c>
      <c r="AC376">
        <v>0</v>
      </c>
      <c r="AD376">
        <v>0</v>
      </c>
      <c r="AE376">
        <v>0</v>
      </c>
      <c r="AF376" s="100">
        <f>AVERAGEIFS($C$2:C376, $B$2:B376, B376)</f>
        <v>11.913043478260869</v>
      </c>
      <c r="AG376" s="100">
        <f>AVERAGEIFS($I$2:I376, $B$2:B376, B376)</f>
        <v>0.43173913043478268</v>
      </c>
      <c r="AH376" s="100">
        <f>AVERAGEIFS($I$2:J376, $B$2:C376, C376)</f>
        <v>0.46416666666666667</v>
      </c>
      <c r="AI376" s="100">
        <f>AVERAGEIFS($D$2:D376, $B$2:B376, B376)</f>
        <v>0.34782608695652173</v>
      </c>
    </row>
    <row r="377" spans="1:35" x14ac:dyDescent="0.25">
      <c r="A377" s="106">
        <v>46090</v>
      </c>
      <c r="B377" t="s">
        <v>54</v>
      </c>
      <c r="C377">
        <v>24</v>
      </c>
      <c r="D377">
        <v>0</v>
      </c>
      <c r="E377">
        <v>5</v>
      </c>
      <c r="F377">
        <v>2</v>
      </c>
      <c r="G377">
        <v>22</v>
      </c>
      <c r="H377">
        <v>10</v>
      </c>
      <c r="I377">
        <v>0.4</v>
      </c>
      <c r="J377">
        <v>0.45</v>
      </c>
      <c r="K377">
        <v>0</v>
      </c>
      <c r="L377">
        <v>0</v>
      </c>
      <c r="M377">
        <v>0</v>
      </c>
      <c r="N377">
        <v>0</v>
      </c>
      <c r="O377">
        <v>0</v>
      </c>
      <c r="P377">
        <v>0</v>
      </c>
      <c r="Q377">
        <v>0</v>
      </c>
      <c r="R377">
        <v>0</v>
      </c>
      <c r="S377">
        <v>0</v>
      </c>
      <c r="T377">
        <v>0</v>
      </c>
      <c r="U377">
        <v>0</v>
      </c>
      <c r="V377">
        <v>0</v>
      </c>
      <c r="W377">
        <v>0</v>
      </c>
      <c r="X377">
        <v>0</v>
      </c>
      <c r="Y377">
        <v>0</v>
      </c>
      <c r="Z377">
        <v>1</v>
      </c>
      <c r="AA377">
        <v>1</v>
      </c>
      <c r="AB377">
        <v>0</v>
      </c>
      <c r="AC377">
        <v>0</v>
      </c>
      <c r="AD377">
        <v>0</v>
      </c>
      <c r="AE377">
        <v>0</v>
      </c>
      <c r="AF377" s="100">
        <f>AVERAGEIFS($C$2:C377, $B$2:B377, B377)</f>
        <v>24.807692307692307</v>
      </c>
      <c r="AG377" s="100">
        <f>AVERAGEIFS($I$2:I377, $B$2:B377, B377)</f>
        <v>0.49500000000000005</v>
      </c>
      <c r="AH377" s="100">
        <f>AVERAGEIFS($I$2:J377, $B$2:C377, C377)</f>
        <v>0.51611111111111108</v>
      </c>
      <c r="AI377" s="100">
        <f>AVERAGEIFS($D$2:D377, $B$2:B377, B377)</f>
        <v>0.46153846153846156</v>
      </c>
    </row>
    <row r="378" spans="1:35" x14ac:dyDescent="0.25">
      <c r="A378" s="106">
        <v>46090</v>
      </c>
      <c r="B378" t="s">
        <v>5</v>
      </c>
      <c r="C378">
        <v>19</v>
      </c>
      <c r="D378">
        <v>0</v>
      </c>
      <c r="E378">
        <v>5</v>
      </c>
      <c r="F378">
        <v>2</v>
      </c>
      <c r="G378">
        <v>22</v>
      </c>
      <c r="H378">
        <v>10</v>
      </c>
      <c r="I378">
        <v>0.4</v>
      </c>
      <c r="J378">
        <v>0.45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0</v>
      </c>
      <c r="T378">
        <v>0</v>
      </c>
      <c r="U378">
        <v>0</v>
      </c>
      <c r="V378">
        <v>0</v>
      </c>
      <c r="W378">
        <v>0</v>
      </c>
      <c r="X378">
        <v>0</v>
      </c>
      <c r="Y378">
        <v>0</v>
      </c>
      <c r="Z378">
        <v>1</v>
      </c>
      <c r="AA378">
        <v>1</v>
      </c>
      <c r="AB378">
        <v>0</v>
      </c>
      <c r="AC378">
        <v>0</v>
      </c>
      <c r="AD378">
        <v>0</v>
      </c>
      <c r="AE378">
        <v>0</v>
      </c>
      <c r="AF378" s="100">
        <f>AVERAGEIFS($C$2:C378, $B$2:B378, B378)</f>
        <v>20.7</v>
      </c>
      <c r="AG378" s="100">
        <f>AVERAGEIFS($I$2:I378, $B$2:B378, B378)</f>
        <v>0.59199999999999997</v>
      </c>
      <c r="AH378" s="100">
        <f>AVERAGEIFS($I$2:J378, $B$2:C378, C378)</f>
        <v>0.496111111111111</v>
      </c>
      <c r="AI378" s="100">
        <f>AVERAGEIFS($D$2:D378, $B$2:B378, B378)</f>
        <v>0.7</v>
      </c>
    </row>
    <row r="379" spans="1:35" x14ac:dyDescent="0.25">
      <c r="A379" s="106">
        <v>46090</v>
      </c>
      <c r="B379" t="s">
        <v>46</v>
      </c>
      <c r="C379">
        <v>14</v>
      </c>
      <c r="D379">
        <v>0</v>
      </c>
      <c r="E379">
        <v>5</v>
      </c>
      <c r="F379">
        <v>2</v>
      </c>
      <c r="G379">
        <v>22</v>
      </c>
      <c r="H379">
        <v>10</v>
      </c>
      <c r="I379">
        <v>0.4</v>
      </c>
      <c r="J379">
        <v>0.45</v>
      </c>
      <c r="K379">
        <v>0</v>
      </c>
      <c r="L379">
        <v>0</v>
      </c>
      <c r="M379">
        <v>0</v>
      </c>
      <c r="N379">
        <v>0</v>
      </c>
      <c r="O379">
        <v>0</v>
      </c>
      <c r="P379">
        <v>0</v>
      </c>
      <c r="Q379">
        <v>0</v>
      </c>
      <c r="R379">
        <v>0</v>
      </c>
      <c r="S379">
        <v>0</v>
      </c>
      <c r="T379">
        <v>0</v>
      </c>
      <c r="U379">
        <v>0</v>
      </c>
      <c r="V379">
        <v>0</v>
      </c>
      <c r="W379">
        <v>0</v>
      </c>
      <c r="X379">
        <v>0</v>
      </c>
      <c r="Y379">
        <v>0</v>
      </c>
      <c r="Z379">
        <v>1</v>
      </c>
      <c r="AA379">
        <v>1</v>
      </c>
      <c r="AB379">
        <v>0</v>
      </c>
      <c r="AC379">
        <v>0</v>
      </c>
      <c r="AD379">
        <v>0</v>
      </c>
      <c r="AE379">
        <v>0</v>
      </c>
      <c r="AF379" s="100">
        <f>AVERAGEIFS($C$2:C379, $B$2:B379, B379)</f>
        <v>19.470588235294116</v>
      </c>
      <c r="AG379" s="100">
        <f>AVERAGEIFS($I$2:I379, $B$2:B379, B379)</f>
        <v>0.48823529411764699</v>
      </c>
      <c r="AH379" s="100">
        <f>AVERAGEIFS($I$2:J379, $B$2:C379, C379)</f>
        <v>0.46285714285714297</v>
      </c>
      <c r="AI379" s="100">
        <f>AVERAGEIFS($D$2:D379, $B$2:B379, B379)</f>
        <v>0.41176470588235292</v>
      </c>
    </row>
    <row r="380" spans="1:35" x14ac:dyDescent="0.25">
      <c r="A380" s="106">
        <v>46090</v>
      </c>
      <c r="B380" t="s">
        <v>45</v>
      </c>
      <c r="C380">
        <v>11</v>
      </c>
      <c r="D380">
        <v>0</v>
      </c>
      <c r="E380">
        <v>5</v>
      </c>
      <c r="F380">
        <v>2</v>
      </c>
      <c r="G380">
        <v>22</v>
      </c>
      <c r="H380">
        <v>10</v>
      </c>
      <c r="I380">
        <v>0.4</v>
      </c>
      <c r="J380">
        <v>0.45</v>
      </c>
      <c r="K380">
        <v>0</v>
      </c>
      <c r="L380">
        <v>0</v>
      </c>
      <c r="M380">
        <v>0</v>
      </c>
      <c r="N380">
        <v>0</v>
      </c>
      <c r="O380">
        <v>0</v>
      </c>
      <c r="P380">
        <v>0</v>
      </c>
      <c r="Q380">
        <v>0</v>
      </c>
      <c r="R380">
        <v>0</v>
      </c>
      <c r="S380">
        <v>0</v>
      </c>
      <c r="T380">
        <v>0</v>
      </c>
      <c r="U380">
        <v>0</v>
      </c>
      <c r="V380">
        <v>0</v>
      </c>
      <c r="W380">
        <v>0</v>
      </c>
      <c r="X380">
        <v>0</v>
      </c>
      <c r="Y380">
        <v>0</v>
      </c>
      <c r="Z380">
        <v>1</v>
      </c>
      <c r="AA380">
        <v>1</v>
      </c>
      <c r="AB380">
        <v>0</v>
      </c>
      <c r="AC380">
        <v>0</v>
      </c>
      <c r="AD380">
        <v>0</v>
      </c>
      <c r="AE380">
        <v>0</v>
      </c>
      <c r="AF380" s="100">
        <f>AVERAGEIFS($C$2:C380, $B$2:B380, B380)</f>
        <v>9</v>
      </c>
      <c r="AG380" s="100">
        <f>AVERAGEIFS($I$2:I380, $B$2:B380, B380)</f>
        <v>0.59399999999999997</v>
      </c>
      <c r="AH380" s="100">
        <f>AVERAGEIFS($I$2:J380, $B$2:C380, C380)</f>
        <v>0.505</v>
      </c>
      <c r="AI380" s="100">
        <f>AVERAGEIFS($D$2:D380, $B$2:B380, B380)</f>
        <v>0.6</v>
      </c>
    </row>
    <row r="381" spans="1:35" x14ac:dyDescent="0.25">
      <c r="A381" s="106">
        <v>46090</v>
      </c>
      <c r="B381" t="s">
        <v>140</v>
      </c>
      <c r="C381">
        <v>10</v>
      </c>
      <c r="D381">
        <v>0</v>
      </c>
      <c r="E381">
        <v>5</v>
      </c>
      <c r="F381">
        <v>2</v>
      </c>
      <c r="G381">
        <v>22</v>
      </c>
      <c r="H381">
        <v>10</v>
      </c>
      <c r="I381">
        <v>0.4</v>
      </c>
      <c r="J381">
        <v>0.45</v>
      </c>
      <c r="K381">
        <v>0</v>
      </c>
      <c r="L381">
        <v>0</v>
      </c>
      <c r="M381">
        <v>0</v>
      </c>
      <c r="N381">
        <v>0</v>
      </c>
      <c r="O381">
        <v>0</v>
      </c>
      <c r="P381">
        <v>0</v>
      </c>
      <c r="Q381">
        <v>0</v>
      </c>
      <c r="R381">
        <v>0</v>
      </c>
      <c r="S381">
        <v>0</v>
      </c>
      <c r="T381">
        <v>0</v>
      </c>
      <c r="U381">
        <v>0</v>
      </c>
      <c r="V381">
        <v>0</v>
      </c>
      <c r="W381">
        <v>0</v>
      </c>
      <c r="X381">
        <v>0</v>
      </c>
      <c r="Y381">
        <v>0</v>
      </c>
      <c r="Z381">
        <v>1</v>
      </c>
      <c r="AA381">
        <v>1</v>
      </c>
      <c r="AB381">
        <v>0</v>
      </c>
      <c r="AC381">
        <v>0</v>
      </c>
      <c r="AD381">
        <v>0</v>
      </c>
      <c r="AE381">
        <v>0</v>
      </c>
      <c r="AF381" s="100">
        <f>AVERAGEIFS($C$2:C381, $B$2:B381, B381)</f>
        <v>10</v>
      </c>
      <c r="AG381" s="100">
        <f>AVERAGEIFS($I$2:I381, $B$2:B381, B381)</f>
        <v>0.4</v>
      </c>
      <c r="AH381" s="100">
        <f>AVERAGEIFS($I$2:J381, $B$2:C381, C381)</f>
        <v>0.54470588235294115</v>
      </c>
      <c r="AI381" s="100">
        <f>AVERAGEIFS($D$2:D381, $B$2:B381, B381)</f>
        <v>0</v>
      </c>
    </row>
    <row r="382" spans="1:35" x14ac:dyDescent="0.25">
      <c r="A382" s="106">
        <v>46090</v>
      </c>
      <c r="B382" t="s">
        <v>71</v>
      </c>
      <c r="C382">
        <v>19</v>
      </c>
      <c r="D382">
        <v>1</v>
      </c>
      <c r="E382">
        <v>5</v>
      </c>
      <c r="F382">
        <v>3</v>
      </c>
      <c r="G382">
        <v>22</v>
      </c>
      <c r="H382">
        <v>12</v>
      </c>
      <c r="I382">
        <v>0.6</v>
      </c>
      <c r="J382">
        <v>0.55000000000000004</v>
      </c>
      <c r="K382">
        <v>0</v>
      </c>
      <c r="L382">
        <v>0</v>
      </c>
      <c r="M382">
        <v>1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0</v>
      </c>
      <c r="T382">
        <v>0</v>
      </c>
      <c r="U382">
        <v>0</v>
      </c>
      <c r="V382">
        <v>0</v>
      </c>
      <c r="W382">
        <v>0</v>
      </c>
      <c r="X382">
        <v>0</v>
      </c>
      <c r="Y382">
        <v>1</v>
      </c>
      <c r="Z382">
        <v>0</v>
      </c>
      <c r="AA382">
        <v>0</v>
      </c>
      <c r="AB382">
        <v>0</v>
      </c>
      <c r="AC382">
        <v>0</v>
      </c>
      <c r="AD382">
        <v>0</v>
      </c>
      <c r="AE382">
        <v>1</v>
      </c>
      <c r="AF382" s="100">
        <f>AVERAGEIFS($C$2:C382, $B$2:B382, B382)</f>
        <v>15</v>
      </c>
      <c r="AG382" s="100">
        <f>AVERAGEIFS($I$2:I382, $B$2:B382, B382)</f>
        <v>0.59000000000000008</v>
      </c>
      <c r="AH382" s="100">
        <f>AVERAGEIFS($I$2:J382, $B$2:C382, C382)</f>
        <v>0.49894736842105258</v>
      </c>
      <c r="AI382" s="100">
        <f>AVERAGEIFS($D$2:D382, $B$2:B382, B382)</f>
        <v>0.8</v>
      </c>
    </row>
    <row r="383" spans="1:35" x14ac:dyDescent="0.25">
      <c r="A383" s="106">
        <v>46090</v>
      </c>
      <c r="B383" t="s">
        <v>44</v>
      </c>
      <c r="C383">
        <v>18</v>
      </c>
      <c r="D383">
        <v>1</v>
      </c>
      <c r="E383">
        <v>5</v>
      </c>
      <c r="F383">
        <v>3</v>
      </c>
      <c r="G383">
        <v>22</v>
      </c>
      <c r="H383">
        <v>12</v>
      </c>
      <c r="I383">
        <v>0.6</v>
      </c>
      <c r="J383">
        <v>0.55000000000000004</v>
      </c>
      <c r="K383">
        <v>0</v>
      </c>
      <c r="L383">
        <v>0</v>
      </c>
      <c r="M383">
        <v>1</v>
      </c>
      <c r="N383">
        <v>0</v>
      </c>
      <c r="O383">
        <v>0</v>
      </c>
      <c r="P383">
        <v>0</v>
      </c>
      <c r="Q383">
        <v>0</v>
      </c>
      <c r="R383">
        <v>0</v>
      </c>
      <c r="S383">
        <v>0</v>
      </c>
      <c r="T383">
        <v>0</v>
      </c>
      <c r="U383">
        <v>0</v>
      </c>
      <c r="V383">
        <v>0</v>
      </c>
      <c r="W383">
        <v>0</v>
      </c>
      <c r="X383">
        <v>0</v>
      </c>
      <c r="Y383">
        <v>1</v>
      </c>
      <c r="Z383">
        <v>0</v>
      </c>
      <c r="AA383">
        <v>0</v>
      </c>
      <c r="AB383">
        <v>0</v>
      </c>
      <c r="AC383">
        <v>0</v>
      </c>
      <c r="AD383">
        <v>0</v>
      </c>
      <c r="AE383">
        <v>1</v>
      </c>
      <c r="AF383" s="100">
        <f>AVERAGEIFS($C$2:C383, $B$2:B383, B383)</f>
        <v>18.333333333333332</v>
      </c>
      <c r="AG383" s="100">
        <f>AVERAGEIFS($I$2:I383, $B$2:B383, B383)</f>
        <v>0.6</v>
      </c>
      <c r="AH383" s="100">
        <f>AVERAGEIFS($I$2:J383, $B$2:C383, C383)</f>
        <v>0.50458333333333338</v>
      </c>
      <c r="AI383" s="100">
        <f>AVERAGEIFS($D$2:D383, $B$2:B383, B383)</f>
        <v>0.75</v>
      </c>
    </row>
    <row r="384" spans="1:35" x14ac:dyDescent="0.25">
      <c r="A384" s="106">
        <v>46090</v>
      </c>
      <c r="B384" t="s">
        <v>2</v>
      </c>
      <c r="C384">
        <v>22</v>
      </c>
      <c r="D384">
        <v>1</v>
      </c>
      <c r="E384">
        <v>5</v>
      </c>
      <c r="F384">
        <v>3</v>
      </c>
      <c r="G384">
        <v>22</v>
      </c>
      <c r="H384">
        <v>12</v>
      </c>
      <c r="I384">
        <v>0.6</v>
      </c>
      <c r="J384">
        <v>0.55000000000000004</v>
      </c>
      <c r="K384">
        <v>0</v>
      </c>
      <c r="L384">
        <v>0</v>
      </c>
      <c r="M384">
        <v>1</v>
      </c>
      <c r="N384">
        <v>0</v>
      </c>
      <c r="O384">
        <v>0</v>
      </c>
      <c r="P384">
        <v>0</v>
      </c>
      <c r="Q384">
        <v>0</v>
      </c>
      <c r="R384">
        <v>0</v>
      </c>
      <c r="S384">
        <v>0</v>
      </c>
      <c r="T384">
        <v>0</v>
      </c>
      <c r="U384">
        <v>0</v>
      </c>
      <c r="V384">
        <v>0</v>
      </c>
      <c r="W384">
        <v>0</v>
      </c>
      <c r="X384">
        <v>0</v>
      </c>
      <c r="Y384">
        <v>1</v>
      </c>
      <c r="Z384">
        <v>0</v>
      </c>
      <c r="AA384">
        <v>0</v>
      </c>
      <c r="AB384">
        <v>0</v>
      </c>
      <c r="AC384">
        <v>0</v>
      </c>
      <c r="AD384">
        <v>0</v>
      </c>
      <c r="AE384">
        <v>1</v>
      </c>
      <c r="AF384" s="100">
        <f>AVERAGEIFS($C$2:C384, $B$2:B384, B384)</f>
        <v>24.5</v>
      </c>
      <c r="AG384" s="100">
        <f>AVERAGEIFS($I$2:I384, $B$2:B384, B384)</f>
        <v>0.47899999999999998</v>
      </c>
      <c r="AH384" s="100">
        <f>AVERAGEIFS($I$2:J384, $B$2:C384, C384)</f>
        <v>0.52399999999999991</v>
      </c>
      <c r="AI384" s="100">
        <f>AVERAGEIFS($D$2:D384, $B$2:B384, B384)</f>
        <v>0.45</v>
      </c>
    </row>
    <row r="385" spans="1:35" x14ac:dyDescent="0.25">
      <c r="A385" s="106">
        <v>46090</v>
      </c>
      <c r="B385" t="s">
        <v>6</v>
      </c>
      <c r="C385">
        <v>15</v>
      </c>
      <c r="D385">
        <v>1</v>
      </c>
      <c r="E385">
        <v>5</v>
      </c>
      <c r="F385">
        <v>3</v>
      </c>
      <c r="G385">
        <v>22</v>
      </c>
      <c r="H385">
        <v>12</v>
      </c>
      <c r="I385">
        <v>0.6</v>
      </c>
      <c r="J385">
        <v>0.55000000000000004</v>
      </c>
      <c r="K385">
        <v>0</v>
      </c>
      <c r="L385">
        <v>0</v>
      </c>
      <c r="M385">
        <v>1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0</v>
      </c>
      <c r="T385">
        <v>0</v>
      </c>
      <c r="U385">
        <v>0</v>
      </c>
      <c r="V385">
        <v>0</v>
      </c>
      <c r="W385">
        <v>0</v>
      </c>
      <c r="X385">
        <v>0</v>
      </c>
      <c r="Y385">
        <v>1</v>
      </c>
      <c r="Z385">
        <v>0</v>
      </c>
      <c r="AA385">
        <v>0</v>
      </c>
      <c r="AB385">
        <v>0</v>
      </c>
      <c r="AC385">
        <v>0</v>
      </c>
      <c r="AD385">
        <v>0</v>
      </c>
      <c r="AE385">
        <v>1</v>
      </c>
      <c r="AF385" s="100">
        <f>AVERAGEIFS($C$2:C385, $B$2:B385, B385)</f>
        <v>22.884615384615383</v>
      </c>
      <c r="AG385" s="100">
        <f>AVERAGEIFS($I$2:I385, $B$2:B385, B385)</f>
        <v>0.65307692307692311</v>
      </c>
      <c r="AH385" s="100">
        <f>AVERAGEIFS($I$2:J385, $B$2:C385, C385)</f>
        <v>0.47076923076923077</v>
      </c>
      <c r="AI385" s="100">
        <f>AVERAGEIFS($D$2:D385, $B$2:B385, B385)</f>
        <v>0.76923076923076927</v>
      </c>
    </row>
    <row r="386" spans="1:35" x14ac:dyDescent="0.25">
      <c r="A386" s="106">
        <v>46090</v>
      </c>
      <c r="B386" t="s">
        <v>107</v>
      </c>
      <c r="C386">
        <v>16</v>
      </c>
      <c r="D386">
        <v>1</v>
      </c>
      <c r="E386">
        <v>5</v>
      </c>
      <c r="F386">
        <v>3</v>
      </c>
      <c r="G386">
        <v>22</v>
      </c>
      <c r="H386">
        <v>12</v>
      </c>
      <c r="I386">
        <v>0.6</v>
      </c>
      <c r="J386">
        <v>0.55000000000000004</v>
      </c>
      <c r="K386">
        <v>0</v>
      </c>
      <c r="L386">
        <v>0</v>
      </c>
      <c r="M386">
        <v>1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0</v>
      </c>
      <c r="T386">
        <v>0</v>
      </c>
      <c r="U386">
        <v>0</v>
      </c>
      <c r="V386">
        <v>0</v>
      </c>
      <c r="W386">
        <v>0</v>
      </c>
      <c r="X386">
        <v>0</v>
      </c>
      <c r="Y386">
        <v>1</v>
      </c>
      <c r="Z386">
        <v>0</v>
      </c>
      <c r="AA386">
        <v>0</v>
      </c>
      <c r="AB386">
        <v>0</v>
      </c>
      <c r="AC386">
        <v>0</v>
      </c>
      <c r="AD386">
        <v>0</v>
      </c>
      <c r="AE386">
        <v>1</v>
      </c>
      <c r="AF386" s="100">
        <f>AVERAGEIFS($C$2:C386, $B$2:B386, B386)</f>
        <v>16.444444444444443</v>
      </c>
      <c r="AG386" s="100">
        <f>AVERAGEIFS($I$2:I386, $B$2:B386, B386)</f>
        <v>0.5444444444444444</v>
      </c>
      <c r="AH386" s="100">
        <f>AVERAGEIFS($I$2:J386, $B$2:C386, C386)</f>
        <v>0.50380952380952393</v>
      </c>
      <c r="AI386" s="100">
        <f>AVERAGEIFS($D$2:D386, $B$2:B386, B386)</f>
        <v>0.55555555555555558</v>
      </c>
    </row>
    <row r="387" spans="1:35" x14ac:dyDescent="0.25">
      <c r="A387" s="106">
        <v>46090</v>
      </c>
      <c r="B387" t="s">
        <v>139</v>
      </c>
      <c r="C387">
        <v>8</v>
      </c>
      <c r="D387">
        <v>1</v>
      </c>
      <c r="E387">
        <v>5</v>
      </c>
      <c r="F387">
        <v>3</v>
      </c>
      <c r="G387">
        <v>22</v>
      </c>
      <c r="H387">
        <v>12</v>
      </c>
      <c r="I387">
        <v>0.6</v>
      </c>
      <c r="J387">
        <v>0.55000000000000004</v>
      </c>
      <c r="K387">
        <v>0</v>
      </c>
      <c r="L387">
        <v>0</v>
      </c>
      <c r="M387">
        <v>1</v>
      </c>
      <c r="N387">
        <v>0</v>
      </c>
      <c r="O387">
        <v>0</v>
      </c>
      <c r="P387">
        <v>0</v>
      </c>
      <c r="Q387">
        <v>0</v>
      </c>
      <c r="R387">
        <v>0</v>
      </c>
      <c r="S387">
        <v>0</v>
      </c>
      <c r="T387">
        <v>0</v>
      </c>
      <c r="U387">
        <v>0</v>
      </c>
      <c r="V387">
        <v>0</v>
      </c>
      <c r="W387">
        <v>0</v>
      </c>
      <c r="X387">
        <v>0</v>
      </c>
      <c r="Y387">
        <v>1</v>
      </c>
      <c r="Z387">
        <v>0</v>
      </c>
      <c r="AA387">
        <v>0</v>
      </c>
      <c r="AB387">
        <v>0</v>
      </c>
      <c r="AC387">
        <v>0</v>
      </c>
      <c r="AD387">
        <v>0</v>
      </c>
      <c r="AE387">
        <v>1</v>
      </c>
      <c r="AF387" s="100">
        <f>AVERAGEIFS($C$2:C387, $B$2:B387, B387)</f>
        <v>10</v>
      </c>
      <c r="AG387" s="100">
        <f>AVERAGEIFS($I$2:I387, $B$2:B387, B387)</f>
        <v>0.42499999999999999</v>
      </c>
      <c r="AH387" s="100">
        <f>AVERAGEIFS($I$2:J387, $B$2:C387, C387)</f>
        <v>0.43909090909090903</v>
      </c>
      <c r="AI387" s="100">
        <f>AVERAGEIFS($D$2:D387, $B$2:B387, B387)</f>
        <v>0.5</v>
      </c>
    </row>
  </sheetData>
  <autoFilter ref="A1:AI387" xr:uid="{2920E10D-1157-4164-84BC-1BB5367BF023}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81B33F-0D7A-4AAD-BD51-99562648A6BB}">
  <dimension ref="A1:E7"/>
  <sheetViews>
    <sheetView workbookViewId="0">
      <selection activeCell="C12" sqref="C12"/>
    </sheetView>
  </sheetViews>
  <sheetFormatPr defaultRowHeight="15" x14ac:dyDescent="0.25"/>
  <cols>
    <col min="1" max="1" width="56.28515625" bestFit="1" customWidth="1"/>
  </cols>
  <sheetData>
    <row r="1" spans="1:5" x14ac:dyDescent="0.25">
      <c r="A1" s="53">
        <v>46082</v>
      </c>
      <c r="E1" s="1"/>
    </row>
    <row r="2" spans="1:5" x14ac:dyDescent="0.25">
      <c r="E2" s="1"/>
    </row>
    <row r="3" spans="1:5" x14ac:dyDescent="0.25">
      <c r="A3" s="54" t="s">
        <v>110</v>
      </c>
      <c r="E3" s="1"/>
    </row>
    <row r="4" spans="1:5" x14ac:dyDescent="0.25">
      <c r="A4" s="54" t="s">
        <v>109</v>
      </c>
      <c r="E4" s="1"/>
    </row>
    <row r="5" spans="1:5" x14ac:dyDescent="0.25">
      <c r="A5" t="s">
        <v>111</v>
      </c>
      <c r="E5" s="1"/>
    </row>
    <row r="6" spans="1:5" x14ac:dyDescent="0.25">
      <c r="A6" t="s">
        <v>117</v>
      </c>
      <c r="E6" s="1"/>
    </row>
    <row r="7" spans="1:5" x14ac:dyDescent="0.25">
      <c r="E7" s="1"/>
    </row>
  </sheetData>
  <pageMargins left="0.7" right="0.7" top="0.75" bottom="0.75" header="0.3" footer="0.3"/>
  <pageSetup orientation="portrait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D0A237-5C74-4CF2-9F1D-8BC50443A1F4}">
  <dimension ref="A1:AH36"/>
  <sheetViews>
    <sheetView workbookViewId="0">
      <selection activeCell="K7" sqref="K7:K8"/>
    </sheetView>
  </sheetViews>
  <sheetFormatPr defaultRowHeight="15" x14ac:dyDescent="0.25"/>
  <cols>
    <col min="2" max="2" width="15.28515625" customWidth="1"/>
    <col min="3" max="3" width="16.42578125" customWidth="1"/>
    <col min="4" max="4" width="17.28515625" customWidth="1"/>
    <col min="5" max="5" width="17" customWidth="1"/>
    <col min="16" max="16" width="8.140625" bestFit="1" customWidth="1"/>
    <col min="17" max="17" width="9.5703125" customWidth="1"/>
    <col min="20" max="20" width="12.5703125" bestFit="1" customWidth="1"/>
    <col min="22" max="22" width="14.140625" bestFit="1" customWidth="1"/>
    <col min="23" max="23" width="8.28515625" bestFit="1" customWidth="1"/>
    <col min="24" max="24" width="11.28515625" bestFit="1" customWidth="1"/>
    <col min="30" max="30" width="11.5703125" customWidth="1"/>
  </cols>
  <sheetData>
    <row r="1" spans="1:34" x14ac:dyDescent="0.25">
      <c r="C1" s="90" t="s">
        <v>7</v>
      </c>
      <c r="D1" s="91"/>
      <c r="E1" s="92"/>
      <c r="F1" s="90" t="s">
        <v>22</v>
      </c>
      <c r="G1" s="91"/>
      <c r="H1" s="92"/>
      <c r="I1" s="90" t="s">
        <v>16</v>
      </c>
      <c r="J1" s="91"/>
      <c r="K1" s="92"/>
      <c r="L1" s="90" t="s">
        <v>23</v>
      </c>
      <c r="M1" s="91"/>
      <c r="N1" s="92"/>
      <c r="O1" s="90" t="s">
        <v>64</v>
      </c>
      <c r="P1" s="91"/>
      <c r="Q1" s="91"/>
      <c r="R1" s="91"/>
      <c r="S1" s="91"/>
      <c r="T1" s="91"/>
      <c r="U1" s="91"/>
      <c r="V1" s="91"/>
      <c r="W1" s="91"/>
      <c r="X1" s="91"/>
      <c r="Y1" s="91"/>
      <c r="Z1" s="91"/>
      <c r="AA1" s="91"/>
      <c r="AB1" s="91"/>
      <c r="AC1" s="91"/>
      <c r="AD1" s="55"/>
      <c r="AE1" s="55"/>
      <c r="AF1" s="55"/>
      <c r="AG1" s="55"/>
      <c r="AH1" s="56"/>
    </row>
    <row r="2" spans="1:34" ht="45.75" thickBot="1" x14ac:dyDescent="0.3">
      <c r="B2" s="3" t="s">
        <v>0</v>
      </c>
      <c r="C2" s="20" t="s">
        <v>7</v>
      </c>
      <c r="D2" s="21" t="s">
        <v>36</v>
      </c>
      <c r="E2" s="24" t="s">
        <v>49</v>
      </c>
      <c r="F2" s="20" t="s">
        <v>8</v>
      </c>
      <c r="G2" s="21" t="s">
        <v>21</v>
      </c>
      <c r="H2" s="23" t="s">
        <v>24</v>
      </c>
      <c r="I2" s="20" t="s">
        <v>8</v>
      </c>
      <c r="J2" s="21" t="s">
        <v>21</v>
      </c>
      <c r="K2" s="23" t="s">
        <v>24</v>
      </c>
      <c r="L2" s="20" t="s">
        <v>8</v>
      </c>
      <c r="M2" s="21" t="s">
        <v>21</v>
      </c>
      <c r="N2" s="23" t="s">
        <v>24</v>
      </c>
      <c r="O2" s="17" t="s">
        <v>62</v>
      </c>
      <c r="P2" s="29" t="s">
        <v>63</v>
      </c>
      <c r="Q2" s="57" t="s">
        <v>106</v>
      </c>
      <c r="R2" s="29" t="s">
        <v>56</v>
      </c>
      <c r="S2" s="29" t="s">
        <v>32</v>
      </c>
      <c r="T2" s="57" t="s">
        <v>66</v>
      </c>
      <c r="U2" s="29" t="s">
        <v>67</v>
      </c>
      <c r="V2" s="29" t="s">
        <v>68</v>
      </c>
      <c r="W2" s="57" t="s">
        <v>69</v>
      </c>
      <c r="X2" s="57" t="s">
        <v>72</v>
      </c>
      <c r="Y2" s="57" t="s">
        <v>73</v>
      </c>
      <c r="Z2" s="57" t="s">
        <v>41</v>
      </c>
      <c r="AA2" s="57" t="s">
        <v>91</v>
      </c>
      <c r="AB2" s="57" t="s">
        <v>92</v>
      </c>
      <c r="AC2" s="57" t="s">
        <v>93</v>
      </c>
      <c r="AD2" s="29" t="s">
        <v>95</v>
      </c>
      <c r="AE2" s="29" t="s">
        <v>96</v>
      </c>
      <c r="AF2" s="57" t="s">
        <v>104</v>
      </c>
      <c r="AG2" s="57" t="s">
        <v>112</v>
      </c>
      <c r="AH2" s="58" t="s">
        <v>116</v>
      </c>
    </row>
    <row r="3" spans="1:34" x14ac:dyDescent="0.25">
      <c r="A3" s="93" t="s">
        <v>75</v>
      </c>
      <c r="B3" s="7" t="s">
        <v>37</v>
      </c>
      <c r="C3" s="13">
        <f>INDEX(BA!B2:B46,MATCH('Match Analyzer BA'!$B$3,BA!$A$2:$A$46,0))</f>
        <v>95</v>
      </c>
      <c r="D3" s="59">
        <f>INDEX(BA!C2:C46,MATCH('Match Analyzer BA'!$B$3,BA!$A$2:$A$46,0))</f>
        <v>13.571428571428571</v>
      </c>
      <c r="E3" s="14">
        <f>INDEX(BA!D2:D46,MATCH('Match Analyzer BA'!$B$3,BA!$A$2:$A$46,0))</f>
        <v>19</v>
      </c>
      <c r="F3" s="13">
        <f>INDEX(BA!E2:E46,MATCH('Match Analyzer BA'!$B$3,BA!$A$2:$A$46,0))</f>
        <v>3</v>
      </c>
      <c r="G3" s="26">
        <f>INDEX(BA!F2:F46,MATCH('Match Analyzer BA'!$B$3,BA!$A$2:$A$46,0))</f>
        <v>4</v>
      </c>
      <c r="H3" s="73">
        <f>INDEX(BA!G2:G46,MATCH('Match Analyzer BA'!$B$3,BA!$A$2:$A$46,0))</f>
        <v>0.42857142857142855</v>
      </c>
      <c r="I3" s="13">
        <f>INDEX(BA!H2:H46,MATCH('Match Analyzer BA'!$B$3,BA!$A$2:$A$46,0))</f>
        <v>17</v>
      </c>
      <c r="J3" s="26">
        <f>INDEX(BA!I2:I46,MATCH('Match Analyzer BA'!$B$3,BA!$A$2:$A$46,0))</f>
        <v>14</v>
      </c>
      <c r="K3" s="73">
        <f>INDEX(BA!J2:J46,MATCH('Match Analyzer BA'!$B$3,BA!$A$2:$A$46,0))</f>
        <v>0.54838709677419351</v>
      </c>
      <c r="L3" s="13">
        <f>INDEX(BA!K2:K46,MATCH('Match Analyzer BA'!$B$3,BA!$A$2:$A$46,0))</f>
        <v>69</v>
      </c>
      <c r="M3" s="26">
        <f>INDEX(BA!L2:L46,MATCH('Match Analyzer BA'!$B$3,BA!$A$2:$A$46,0))</f>
        <v>62</v>
      </c>
      <c r="N3" s="73">
        <f>INDEX(BA!M2:M46,MATCH('Match Analyzer BA'!$B$3,BA!$A$2:$A$46,0))</f>
        <v>0.52671755725190839</v>
      </c>
      <c r="O3" s="13">
        <f>INDEX(BA!V2:V46,MATCH('Match Analyzer BA'!$B$3,BA!$A$2:$A$46,0))</f>
        <v>0</v>
      </c>
      <c r="P3" s="26">
        <f>INDEX(BA!Q2:Q46,MATCH('Match Analyzer BA'!$B$3,BA!$A$2:$A$46,0))</f>
        <v>0</v>
      </c>
      <c r="Q3" s="26">
        <f>INDEX(BA!U2:U46,MATCH('Match Analyzer BA'!$B$3,BA!$A$2:$A$46,0))</f>
        <v>2</v>
      </c>
      <c r="R3" s="26">
        <f>INDEX(BA!AB2:AB46,MATCH('Match Analyzer BA'!$B$3,BA!$A$2:$A$46,0))</f>
        <v>1</v>
      </c>
      <c r="S3" s="26">
        <f>INDEX(BA!T2:T46,MATCH('Match Analyzer BA'!$B$3,BA!$A$2:$A$46,0))</f>
        <v>0</v>
      </c>
      <c r="T3" s="26">
        <f>INDEX(BA!AD2:AD46,MATCH('Match Analyzer BA'!$B$3,BA!$A$2:$A$46,0))</f>
        <v>1</v>
      </c>
      <c r="U3" s="26">
        <f>INDEX(BA!AA2:AA46,MATCH('Match Analyzer BA'!$B$3,BA!$A$2:$A$46,0))</f>
        <v>2</v>
      </c>
      <c r="V3" s="26">
        <f>INDEX(BA!AF2:AF46,MATCH('Match Analyzer BA'!$B$3,BA!$A$2:$A$46,0))</f>
        <v>1</v>
      </c>
      <c r="W3" s="26">
        <f>INDEX(BA!P2:P46,MATCH('Match Analyzer BA'!$B$3,BA!$A$2:$A$46,0))</f>
        <v>2</v>
      </c>
      <c r="X3" s="26">
        <f>INDEX(BA!AE2:AE46,MATCH('Match Analyzer BA'!$B$3,BA!$A$2:$A$46,0))</f>
        <v>2</v>
      </c>
      <c r="Y3" s="26">
        <f>INDEX(BA!W2:W46,MATCH('Match Analyzer BA'!$B$3,BA!$A$2:$A$46,0))</f>
        <v>0</v>
      </c>
      <c r="Z3" s="26">
        <f>INDEX(BA!O2:O46,MATCH('Match Analyzer BA'!$B$3,BA!$A$2:$A$46,0))</f>
        <v>1</v>
      </c>
      <c r="AA3" s="26">
        <f>INDEX(BA!X2:X46,MATCH('Match Analyzer BA'!$B$3,BA!$A$2:$A$46,0))</f>
        <v>2</v>
      </c>
      <c r="AB3" s="26">
        <f>INDEX(BA!Z2:Z46,MATCH('Match Analyzer BA'!$B$3,BA!$A$2:$A$46,0))</f>
        <v>0</v>
      </c>
      <c r="AC3" s="26">
        <f>INDEX(BA!N2:N46,MATCH('Match Analyzer BA'!$B$3,BA!$A$2:$A$46,0))</f>
        <v>1</v>
      </c>
      <c r="AD3" s="26">
        <f>INDEX(BA!Y2:Y46,MATCH('Match Analyzer BA'!$B$3,BA!$A$2:$A$46,0))</f>
        <v>0</v>
      </c>
      <c r="AE3" s="26">
        <f>INDEX(BA!AH2:AH46,MATCH('Match Analyzer BA'!$B$3,BA!$A$2:$A$46,0))</f>
        <v>2</v>
      </c>
      <c r="AF3" s="26">
        <f>INDEX(BA!AC2:AC46,MATCH('Match Analyzer BA'!$B$3,BA!$A$2:$A$46,0))</f>
        <v>0</v>
      </c>
      <c r="AG3" s="26">
        <f>INDEX(BA!S2:S46,MATCH('Match Analyzer BA'!$B$3,BA!$A$2:$A$46,0))</f>
        <v>0</v>
      </c>
      <c r="AH3" s="14">
        <f>INDEX(BA!R2:R46,MATCH('Match Analyzer BA'!$B$3,BA!$A$2:$A$46,0))</f>
        <v>0</v>
      </c>
    </row>
    <row r="4" spans="1:34" x14ac:dyDescent="0.25">
      <c r="A4" s="93"/>
      <c r="B4" s="7" t="s">
        <v>37</v>
      </c>
      <c r="C4" s="13">
        <f>INDEX(BA!B2:B46,MATCH('Match Analyzer BA'!$B$4,BA!$A$2:$A$46,0))</f>
        <v>95</v>
      </c>
      <c r="D4" s="59">
        <f>INDEX(BA!C2:C46,MATCH('Match Analyzer BA'!$B$4,BA!$A$2:$A$46,0))</f>
        <v>13.571428571428571</v>
      </c>
      <c r="E4" s="14">
        <f>INDEX(BA!D2:D46,MATCH('Match Analyzer BA'!$B$4,BA!$A$2:$A$46,0))</f>
        <v>19</v>
      </c>
      <c r="F4" s="13">
        <f>INDEX(BA!E2:E46,MATCH('Match Analyzer BA'!$B$4,BA!$A$2:$A$46,0))</f>
        <v>3</v>
      </c>
      <c r="G4" s="26">
        <f>INDEX(BA!F2:F46,MATCH('Match Analyzer BA'!$B$4,BA!$A$2:$A$46,0))</f>
        <v>4</v>
      </c>
      <c r="H4" s="73">
        <f>INDEX(BA!G2:G46,MATCH('Match Analyzer BA'!$B$4,BA!$A$2:$A$46,0))</f>
        <v>0.42857142857142855</v>
      </c>
      <c r="I4" s="13">
        <f>INDEX(BA!H2:H46,MATCH('Match Analyzer BA'!$B$4,BA!$A$2:$A$46,0))</f>
        <v>17</v>
      </c>
      <c r="J4" s="26">
        <f>INDEX(BA!I2:I46,MATCH('Match Analyzer BA'!$B$4,BA!$A$2:$A$46,0))</f>
        <v>14</v>
      </c>
      <c r="K4" s="73">
        <f>INDEX(BA!J2:J46,MATCH('Match Analyzer BA'!$B$4,BA!$A$2:$A$46,0))</f>
        <v>0.54838709677419351</v>
      </c>
      <c r="L4" s="13">
        <f>INDEX(BA!K2:K46,MATCH('Match Analyzer BA'!$B$4,BA!$A$2:$A$46,0))</f>
        <v>69</v>
      </c>
      <c r="M4" s="26">
        <f>INDEX(BA!L2:L46,MATCH('Match Analyzer BA'!$B$4,BA!$A$2:$A$46,0))</f>
        <v>62</v>
      </c>
      <c r="N4" s="73">
        <f>INDEX(BA!M2:M46,MATCH('Match Analyzer BA'!$B$4,BA!$A$2:$A$46,0))</f>
        <v>0.52671755725190839</v>
      </c>
      <c r="O4" s="13">
        <f>INDEX(BA!V2:V46,MATCH('Match Analyzer BA'!$B$4,BA!$A$2:$A$46,0))</f>
        <v>0</v>
      </c>
      <c r="P4" s="26">
        <f>INDEX(BA!Q2:Q46,MATCH('Match Analyzer BA'!$B$4,BA!$A$2:$A$46,0))</f>
        <v>0</v>
      </c>
      <c r="Q4" s="26">
        <f>INDEX(BA!U2:U46,MATCH('Match Analyzer BA'!$B$4,BA!$A$2:$A$46,0))</f>
        <v>2</v>
      </c>
      <c r="R4" s="26">
        <f>INDEX(BA!AB2:AB46,MATCH('Match Analyzer BA'!$B$4,BA!$A$2:$A$46,0))</f>
        <v>1</v>
      </c>
      <c r="S4" s="26">
        <f>INDEX(BA!T2:T46,MATCH('Match Analyzer BA'!$B$4,BA!$A$2:$A$46,0))</f>
        <v>0</v>
      </c>
      <c r="T4" s="26">
        <f>INDEX(BA!AD2:AD46,MATCH('Match Analyzer BA'!$B$4,BA!$A$2:$A$46,0))</f>
        <v>1</v>
      </c>
      <c r="U4" s="26">
        <f>INDEX(BA!AA2:AA46,MATCH('Match Analyzer BA'!$B$4,BA!$A$2:$A$46,0))</f>
        <v>2</v>
      </c>
      <c r="V4" s="26">
        <f>INDEX(BA!AF2:AF46,MATCH('Match Analyzer BA'!$B$4,BA!$A$2:$A$46,0))</f>
        <v>1</v>
      </c>
      <c r="W4" s="26">
        <f>INDEX(BA!P2:P46,MATCH('Match Analyzer BA'!$B$4,BA!$A$2:$A$46,0))</f>
        <v>2</v>
      </c>
      <c r="X4" s="26">
        <f>INDEX(BA!AE2:AE46,MATCH('Match Analyzer BA'!$B$4,BA!$A$2:$A$46,0))</f>
        <v>2</v>
      </c>
      <c r="Y4" s="26">
        <f>INDEX(BA!W2:W46,MATCH('Match Analyzer BA'!$B$4,BA!$A$2:$A$46,0))</f>
        <v>0</v>
      </c>
      <c r="Z4" s="26">
        <f>INDEX(BA!O2:O46,MATCH('Match Analyzer BA'!$B$4,BA!$A$2:$A$46,0))</f>
        <v>1</v>
      </c>
      <c r="AA4" s="26">
        <f>INDEX(BA!X2:X46,MATCH('Match Analyzer BA'!$B$4,BA!$A$2:$A$46,0))</f>
        <v>2</v>
      </c>
      <c r="AB4" s="26">
        <f>INDEX(BA!Z2:Z46,MATCH('Match Analyzer BA'!$B$4,BA!$A$2:$A$46,0))</f>
        <v>0</v>
      </c>
      <c r="AC4" s="26">
        <f>INDEX(BA!N2:N46,MATCH('Match Analyzer BA'!$B$4,BA!$A$2:$A$46,0))</f>
        <v>1</v>
      </c>
      <c r="AD4" s="26">
        <f>INDEX(BA!Y2:Y46,MATCH('Match Analyzer BA'!$B$4,BA!$A$2:$A$46,0))</f>
        <v>0</v>
      </c>
      <c r="AE4" s="26">
        <f>INDEX(BA!AH2:AH46,MATCH('Match Analyzer BA'!$B$4,BA!$A$2:$A$46,0))</f>
        <v>2</v>
      </c>
      <c r="AF4" s="26">
        <f>INDEX(BA!AC2:AC46,MATCH('Match Analyzer BA'!$B$4,BA!$A$2:$A$46,0))</f>
        <v>0</v>
      </c>
      <c r="AG4" s="26">
        <f>INDEX(BA!S2:S46,MATCH('Match Analyzer BA'!$B$4,BA!$A$2:$A$46,0))</f>
        <v>0</v>
      </c>
      <c r="AH4" s="14">
        <f>INDEX(BA!R2:R46,MATCH('Match Analyzer BA'!$B$4,BA!$A$2:$A$46,0))</f>
        <v>0</v>
      </c>
    </row>
    <row r="5" spans="1:34" x14ac:dyDescent="0.25">
      <c r="A5" s="93"/>
      <c r="B5" s="7" t="s">
        <v>35</v>
      </c>
      <c r="C5" s="13">
        <f>INDEX(BA!B2:B46,MATCH('Match Analyzer BA'!$B$5,BA!$A$2:$A$46,0))</f>
        <v>214</v>
      </c>
      <c r="D5" s="59">
        <f>INDEX(BA!C2:C46,MATCH('Match Analyzer BA'!$B$5,BA!$A$2:$A$46,0))</f>
        <v>11.263157894736842</v>
      </c>
      <c r="E5" s="14">
        <f>INDEX(BA!D2:D46,MATCH('Match Analyzer BA'!$B$5,BA!$A$2:$A$46,0))</f>
        <v>20</v>
      </c>
      <c r="F5" s="13">
        <f>INDEX(BA!E2:E46,MATCH('Match Analyzer BA'!$B$5,BA!$A$2:$A$46,0))</f>
        <v>6</v>
      </c>
      <c r="G5" s="26">
        <f>INDEX(BA!F2:F46,MATCH('Match Analyzer BA'!$B$5,BA!$A$2:$A$46,0))</f>
        <v>13</v>
      </c>
      <c r="H5" s="73">
        <f>INDEX(BA!G2:G46,MATCH('Match Analyzer BA'!$B$5,BA!$A$2:$A$46,0))</f>
        <v>0.31578947368421051</v>
      </c>
      <c r="I5" s="13">
        <f>INDEX(BA!H2:H46,MATCH('Match Analyzer BA'!$B$5,BA!$A$2:$A$46,0))</f>
        <v>33</v>
      </c>
      <c r="J5" s="26">
        <f>INDEX(BA!I2:I46,MATCH('Match Analyzer BA'!$B$5,BA!$A$2:$A$46,0))</f>
        <v>47</v>
      </c>
      <c r="K5" s="73">
        <f>INDEX(BA!J2:J46,MATCH('Match Analyzer BA'!$B$5,BA!$A$2:$A$46,0))</f>
        <v>0.41249999999999998</v>
      </c>
      <c r="L5" s="13">
        <f>INDEX(BA!K2:K46,MATCH('Match Analyzer BA'!$B$5,BA!$A$2:$A$46,0))</f>
        <v>157</v>
      </c>
      <c r="M5" s="26">
        <f>INDEX(BA!L2:L46,MATCH('Match Analyzer BA'!$B$5,BA!$A$2:$A$46,0))</f>
        <v>176</v>
      </c>
      <c r="N5" s="73">
        <f>INDEX(BA!M2:M46,MATCH('Match Analyzer BA'!$B$5,BA!$A$2:$A$46,0))</f>
        <v>0.47147147147147145</v>
      </c>
      <c r="O5" s="13">
        <f>INDEX(BA!V2:V46,MATCH('Match Analyzer BA'!$B$5,BA!$A$2:$A$46,0))</f>
        <v>1</v>
      </c>
      <c r="P5" s="26">
        <f>INDEX(BA!Q2:Q46,MATCH('Match Analyzer BA'!$B$5,BA!$A$2:$A$46,0))</f>
        <v>2</v>
      </c>
      <c r="Q5" s="26">
        <f>INDEX(BA!U2:U46,MATCH('Match Analyzer BA'!$B$5,BA!$A$2:$A$46,0))</f>
        <v>3</v>
      </c>
      <c r="R5" s="26">
        <f>INDEX(BA!AB2:AB46,MATCH('Match Analyzer BA'!$B$5,BA!$A$2:$A$46,0))</f>
        <v>5</v>
      </c>
      <c r="S5" s="26">
        <f>INDEX(BA!T2:T46,MATCH('Match Analyzer BA'!$B$5,BA!$A$2:$A$46,0))</f>
        <v>1</v>
      </c>
      <c r="T5" s="26">
        <f>INDEX(BA!AD2:AD46,MATCH('Match Analyzer BA'!$B$5,BA!$A$2:$A$46,0))</f>
        <v>3</v>
      </c>
      <c r="U5" s="26">
        <f>INDEX(BA!AA2:AA46,MATCH('Match Analyzer BA'!$B$5,BA!$A$2:$A$46,0))</f>
        <v>1</v>
      </c>
      <c r="V5" s="26">
        <f>INDEX(BA!AF2:AF46,MATCH('Match Analyzer BA'!$B$5,BA!$A$2:$A$46,0))</f>
        <v>3</v>
      </c>
      <c r="W5" s="26">
        <f>INDEX(BA!P2:P46,MATCH('Match Analyzer BA'!$B$5,BA!$A$2:$A$46,0))</f>
        <v>2</v>
      </c>
      <c r="X5" s="26">
        <f>INDEX(BA!AE2:AE46,MATCH('Match Analyzer BA'!$B$5,BA!$A$2:$A$46,0))</f>
        <v>4</v>
      </c>
      <c r="Y5" s="26">
        <f>INDEX(BA!W2:W46,MATCH('Match Analyzer BA'!$B$5,BA!$A$2:$A$46,0))</f>
        <v>1</v>
      </c>
      <c r="Z5" s="26">
        <f>INDEX(BA!O2:O46,MATCH('Match Analyzer BA'!$B$5,BA!$A$2:$A$46,0))</f>
        <v>2</v>
      </c>
      <c r="AA5" s="26">
        <f>INDEX(BA!X2:X46,MATCH('Match Analyzer BA'!$B$5,BA!$A$2:$A$46,0))</f>
        <v>2</v>
      </c>
      <c r="AB5" s="26">
        <f>INDEX(BA!Z2:Z46,MATCH('Match Analyzer BA'!$B$5,BA!$A$2:$A$46,0))</f>
        <v>1</v>
      </c>
      <c r="AC5" s="26">
        <f>INDEX(BA!N2:N46,MATCH('Match Analyzer BA'!$B$5,BA!$A$2:$A$46,0))</f>
        <v>0</v>
      </c>
      <c r="AD5" s="26">
        <f>INDEX(BA!Y2:Y46,MATCH('Match Analyzer BA'!$B$5,BA!$A$2:$A$46,0))</f>
        <v>0</v>
      </c>
      <c r="AE5" s="26">
        <f>INDEX(BA!AH2:AH46,MATCH('Match Analyzer BA'!$B$5,BA!$A$2:$A$46,0))</f>
        <v>1</v>
      </c>
      <c r="AF5" s="26">
        <f>INDEX(BA!AC2:AC46,MATCH('Match Analyzer BA'!$B$5,BA!$A$2:$A$46,0))</f>
        <v>0</v>
      </c>
      <c r="AG5" s="26">
        <f>INDEX(BA!S2:S46,MATCH('Match Analyzer BA'!$B$5,BA!$A$2:$A$46,0))</f>
        <v>0</v>
      </c>
      <c r="AH5" s="14">
        <f>INDEX(BA!R2:R46,MATCH('Match Analyzer BA'!$B$5,BA!$A$2:$A$46,0))</f>
        <v>1</v>
      </c>
    </row>
    <row r="6" spans="1:34" x14ac:dyDescent="0.25">
      <c r="A6" s="93"/>
      <c r="B6" s="7" t="s">
        <v>19</v>
      </c>
      <c r="C6" s="13">
        <f>INDEX(BA!B2:B46,MATCH('Match Analyzer BA'!$B$6,BA!$A$2:$A$46,0))</f>
        <v>88</v>
      </c>
      <c r="D6" s="59">
        <f>INDEX(BA!C2:C46,MATCH('Match Analyzer BA'!$B$6,BA!$A$2:$A$46,0))</f>
        <v>8</v>
      </c>
      <c r="E6" s="14">
        <f>INDEX(BA!D2:D46,MATCH('Match Analyzer BA'!$B$6,BA!$A$2:$A$46,0))</f>
        <v>11</v>
      </c>
      <c r="F6" s="13">
        <f>INDEX(BA!E2:E46,MATCH('Match Analyzer BA'!$B$6,BA!$A$2:$A$46,0))</f>
        <v>9</v>
      </c>
      <c r="G6" s="26">
        <f>INDEX(BA!F2:F46,MATCH('Match Analyzer BA'!$B$6,BA!$A$2:$A$46,0))</f>
        <v>2</v>
      </c>
      <c r="H6" s="73">
        <f>INDEX(BA!G2:G46,MATCH('Match Analyzer BA'!$B$6,BA!$A$2:$A$46,0))</f>
        <v>0.81818181818181823</v>
      </c>
      <c r="I6" s="13">
        <f>INDEX(BA!H2:H46,MATCH('Match Analyzer BA'!$B$6,BA!$A$2:$A$46,0))</f>
        <v>30</v>
      </c>
      <c r="J6" s="26">
        <f>INDEX(BA!I2:I46,MATCH('Match Analyzer BA'!$B$6,BA!$A$2:$A$46,0))</f>
        <v>16</v>
      </c>
      <c r="K6" s="73">
        <f>INDEX(BA!J2:J46,MATCH('Match Analyzer BA'!$B$6,BA!$A$2:$A$46,0))</f>
        <v>0.65217391304347827</v>
      </c>
      <c r="L6" s="13">
        <f>INDEX(BA!K2:K46,MATCH('Match Analyzer BA'!$B$6,BA!$A$2:$A$46,0))</f>
        <v>106</v>
      </c>
      <c r="M6" s="26">
        <f>INDEX(BA!L2:L46,MATCH('Match Analyzer BA'!$B$6,BA!$A$2:$A$46,0))</f>
        <v>79</v>
      </c>
      <c r="N6" s="73">
        <f>INDEX(BA!M2:M46,MATCH('Match Analyzer BA'!$B$6,BA!$A$2:$A$46,0))</f>
        <v>0.572972972972973</v>
      </c>
      <c r="O6" s="13">
        <f>INDEX(BA!V2:V46,MATCH('Match Analyzer BA'!$B$6,BA!$A$2:$A$46,0))</f>
        <v>1</v>
      </c>
      <c r="P6" s="26">
        <f>INDEX(BA!Q2:Q46,MATCH('Match Analyzer BA'!$B$6,BA!$A$2:$A$46,0))</f>
        <v>2</v>
      </c>
      <c r="Q6" s="26">
        <f>INDEX(BA!U2:U46,MATCH('Match Analyzer BA'!$B$6,BA!$A$2:$A$46,0))</f>
        <v>1</v>
      </c>
      <c r="R6" s="26">
        <f>INDEX(BA!AB2:AB46,MATCH('Match Analyzer BA'!$B$6,BA!$A$2:$A$46,0))</f>
        <v>3</v>
      </c>
      <c r="S6" s="26">
        <f>INDEX(BA!T2:T46,MATCH('Match Analyzer BA'!$B$6,BA!$A$2:$A$46,0))</f>
        <v>1</v>
      </c>
      <c r="T6" s="26">
        <f>INDEX(BA!AD2:AD46,MATCH('Match Analyzer BA'!$B$6,BA!$A$2:$A$46,0))</f>
        <v>5</v>
      </c>
      <c r="U6" s="26">
        <f>INDEX(BA!AA2:AA46,MATCH('Match Analyzer BA'!$B$6,BA!$A$2:$A$46,0))</f>
        <v>2</v>
      </c>
      <c r="V6" s="26">
        <f>INDEX(BA!AF2:AF46,MATCH('Match Analyzer BA'!$B$6,BA!$A$2:$A$46,0))</f>
        <v>3</v>
      </c>
      <c r="W6" s="26">
        <f>INDEX(BA!P2:P46,MATCH('Match Analyzer BA'!$B$6,BA!$A$2:$A$46,0))</f>
        <v>2</v>
      </c>
      <c r="X6" s="26">
        <f>INDEX(BA!AE2:AE46,MATCH('Match Analyzer BA'!$B$6,BA!$A$2:$A$46,0))</f>
        <v>3</v>
      </c>
      <c r="Y6" s="26">
        <f>INDEX(BA!W2:W46,MATCH('Match Analyzer BA'!$B$6,BA!$A$2:$A$46,0))</f>
        <v>2</v>
      </c>
      <c r="Z6" s="26">
        <f>INDEX(BA!O2:O46,MATCH('Match Analyzer BA'!$B$6,BA!$A$2:$A$46,0))</f>
        <v>1</v>
      </c>
      <c r="AA6" s="26">
        <f>INDEX(BA!X2:X46,MATCH('Match Analyzer BA'!$B$6,BA!$A$2:$A$46,0))</f>
        <v>1</v>
      </c>
      <c r="AB6" s="26">
        <f>INDEX(BA!Z2:Z46,MATCH('Match Analyzer BA'!$B$6,BA!$A$2:$A$46,0))</f>
        <v>1</v>
      </c>
      <c r="AC6" s="26">
        <f>INDEX(BA!N2:N46,MATCH('Match Analyzer BA'!$B$6,BA!$A$2:$A$46,0))</f>
        <v>1</v>
      </c>
      <c r="AD6" s="26">
        <f>INDEX(BA!Y2:Y46,MATCH('Match Analyzer BA'!$B$6,BA!$A$2:$A$46,0))</f>
        <v>0</v>
      </c>
      <c r="AE6" s="26">
        <f>INDEX(BA!AH2:AH46,MATCH('Match Analyzer BA'!$B$6,BA!$A$2:$A$46,0))</f>
        <v>1</v>
      </c>
      <c r="AF6" s="26">
        <f>INDEX(BA!AC2:AC46,MATCH('Match Analyzer BA'!$B$6,BA!$A$2:$A$46,0))</f>
        <v>0</v>
      </c>
      <c r="AG6" s="26">
        <f>INDEX(BA!S2:S46,MATCH('Match Analyzer BA'!$B$6,BA!$A$2:$A$46,0))</f>
        <v>0</v>
      </c>
      <c r="AH6" s="14">
        <f>INDEX(BA!R2:R46,MATCH('Match Analyzer BA'!$B$6,BA!$A$2:$A$46,0))</f>
        <v>0</v>
      </c>
    </row>
    <row r="7" spans="1:34" x14ac:dyDescent="0.25">
      <c r="A7" s="93"/>
      <c r="B7" s="7" t="s">
        <v>25</v>
      </c>
      <c r="C7" s="13">
        <f>INDEX(BA!B2:B46,MATCH('Match Analyzer BA'!$B$7,BA!$A$2:$A$46,0))</f>
        <v>34</v>
      </c>
      <c r="D7" s="59">
        <f>INDEX(BA!C2:C46,MATCH('Match Analyzer BA'!$B$7,BA!$A$2:$A$46,0))</f>
        <v>8.5</v>
      </c>
      <c r="E7" s="14">
        <f>INDEX(BA!D2:D46,MATCH('Match Analyzer BA'!$B$7,BA!$A$2:$A$46,0))</f>
        <v>12</v>
      </c>
      <c r="F7" s="13">
        <f>INDEX(BA!E2:E46,MATCH('Match Analyzer BA'!$B$7,BA!$A$2:$A$46,0))</f>
        <v>3</v>
      </c>
      <c r="G7" s="26">
        <f>INDEX(BA!F2:F46,MATCH('Match Analyzer BA'!$B$7,BA!$A$2:$A$46,0))</f>
        <v>1</v>
      </c>
      <c r="H7" s="73">
        <f>INDEX(BA!G2:G46,MATCH('Match Analyzer BA'!$B$7,BA!$A$2:$A$46,0))</f>
        <v>0.75</v>
      </c>
      <c r="I7" s="13">
        <f>INDEX(BA!H2:H46,MATCH('Match Analyzer BA'!$B$7,BA!$A$2:$A$46,0))</f>
        <v>10</v>
      </c>
      <c r="J7" s="26">
        <f>INDEX(BA!I2:I46,MATCH('Match Analyzer BA'!$B$7,BA!$A$2:$A$46,0))</f>
        <v>5</v>
      </c>
      <c r="K7" s="73">
        <f>INDEX(BA!J2:J46,MATCH('Match Analyzer BA'!$B$7,BA!$A$2:$A$46,0))</f>
        <v>0.66666666666666663</v>
      </c>
      <c r="L7" s="13">
        <f>INDEX(BA!K2:K46,MATCH('Match Analyzer BA'!$B$7,BA!$A$2:$A$46,0))</f>
        <v>36</v>
      </c>
      <c r="M7" s="26">
        <f>INDEX(BA!L2:L46,MATCH('Match Analyzer BA'!$B$7,BA!$A$2:$A$46,0))</f>
        <v>20</v>
      </c>
      <c r="N7" s="73">
        <f>INDEX(BA!M2:M46,MATCH('Match Analyzer BA'!$B$7,BA!$A$2:$A$46,0))</f>
        <v>0.6428571428571429</v>
      </c>
      <c r="O7" s="13">
        <f>INDEX(BA!V2:V46,MATCH('Match Analyzer BA'!$B$7,BA!$A$2:$A$46,0))</f>
        <v>0</v>
      </c>
      <c r="P7" s="26">
        <f>INDEX(BA!Q2:Q46,MATCH('Match Analyzer BA'!$B$7,BA!$A$2:$A$46,0))</f>
        <v>1</v>
      </c>
      <c r="Q7" s="26">
        <f>INDEX(BA!U2:U46,MATCH('Match Analyzer BA'!$B$7,BA!$A$2:$A$46,0))</f>
        <v>0</v>
      </c>
      <c r="R7" s="26">
        <f>INDEX(BA!AB2:AB46,MATCH('Match Analyzer BA'!$B$7,BA!$A$2:$A$46,0))</f>
        <v>2</v>
      </c>
      <c r="S7" s="26">
        <f>INDEX(BA!T2:T46,MATCH('Match Analyzer BA'!$B$7,BA!$A$2:$A$46,0))</f>
        <v>1</v>
      </c>
      <c r="T7" s="26">
        <f>INDEX(BA!AD2:AD46,MATCH('Match Analyzer BA'!$B$7,BA!$A$2:$A$46,0))</f>
        <v>1</v>
      </c>
      <c r="U7" s="26">
        <f>INDEX(BA!AA2:AA46,MATCH('Match Analyzer BA'!$B$7,BA!$A$2:$A$46,0))</f>
        <v>1</v>
      </c>
      <c r="V7" s="26">
        <f>INDEX(BA!AF2:AF46,MATCH('Match Analyzer BA'!$B$7,BA!$A$2:$A$46,0))</f>
        <v>0</v>
      </c>
      <c r="W7" s="26">
        <f>INDEX(BA!P2:P46,MATCH('Match Analyzer BA'!$B$7,BA!$A$2:$A$46,0))</f>
        <v>0</v>
      </c>
      <c r="X7" s="26">
        <f>INDEX(BA!AE2:AE46,MATCH('Match Analyzer BA'!$B$7,BA!$A$2:$A$46,0))</f>
        <v>0</v>
      </c>
      <c r="Y7" s="26">
        <f>INDEX(BA!W2:W46,MATCH('Match Analyzer BA'!$B$7,BA!$A$2:$A$46,0))</f>
        <v>0</v>
      </c>
      <c r="Z7" s="26">
        <f>INDEX(BA!O2:O46,MATCH('Match Analyzer BA'!$B$7,BA!$A$2:$A$46,0))</f>
        <v>0</v>
      </c>
      <c r="AA7" s="26">
        <f>INDEX(BA!X2:X46,MATCH('Match Analyzer BA'!$B$7,BA!$A$2:$A$46,0))</f>
        <v>1</v>
      </c>
      <c r="AB7" s="26">
        <f>INDEX(BA!Z2:Z46,MATCH('Match Analyzer BA'!$B$7,BA!$A$2:$A$46,0))</f>
        <v>0</v>
      </c>
      <c r="AC7" s="26">
        <f>INDEX(BA!N2:N46,MATCH('Match Analyzer BA'!$B$7,BA!$A$2:$A$46,0))</f>
        <v>2</v>
      </c>
      <c r="AD7" s="26">
        <f>INDEX(BA!Y2:Y46,MATCH('Match Analyzer BA'!$B$7,BA!$A$2:$A$46,0))</f>
        <v>0</v>
      </c>
      <c r="AE7" s="26">
        <f>INDEX(BA!AH2:AH46,MATCH('Match Analyzer BA'!$B$7,BA!$A$2:$A$46,0))</f>
        <v>0</v>
      </c>
      <c r="AF7" s="26">
        <f>INDEX(BA!AC2:AC46,MATCH('Match Analyzer BA'!$B$7,BA!$A$2:$A$46,0))</f>
        <v>0</v>
      </c>
      <c r="AG7" s="26">
        <f>INDEX(BA!S2:S46,MATCH('Match Analyzer BA'!$B$7,BA!$A$2:$A$46,0))</f>
        <v>1</v>
      </c>
      <c r="AH7" s="14">
        <f>INDEX(BA!R2:R46,MATCH('Match Analyzer BA'!$B$7,BA!$A$2:$A$46,0))</f>
        <v>0</v>
      </c>
    </row>
    <row r="8" spans="1:34" x14ac:dyDescent="0.25">
      <c r="A8" s="93"/>
      <c r="B8" s="7" t="s">
        <v>27</v>
      </c>
      <c r="C8" s="13">
        <f>INDEX(BA!B2:B46,MATCH('Match Analyzer BA'!$B$8,BA!$A$2:$A$46,0))</f>
        <v>71</v>
      </c>
      <c r="D8" s="59">
        <f>INDEX(BA!C2:C46,MATCH('Match Analyzer BA'!$B$8,BA!$A$2:$A$46,0))</f>
        <v>14.2</v>
      </c>
      <c r="E8" s="14">
        <f>INDEX(BA!D2:D46,MATCH('Match Analyzer BA'!$B$8,BA!$A$2:$A$46,0))</f>
        <v>20</v>
      </c>
      <c r="F8" s="13">
        <f>INDEX(BA!E2:E46,MATCH('Match Analyzer BA'!$B$8,BA!$A$2:$A$46,0))</f>
        <v>2</v>
      </c>
      <c r="G8" s="26">
        <f>INDEX(BA!F2:F46,MATCH('Match Analyzer BA'!$B$8,BA!$A$2:$A$46,0))</f>
        <v>3</v>
      </c>
      <c r="H8" s="73">
        <f>INDEX(BA!G2:G46,MATCH('Match Analyzer BA'!$B$8,BA!$A$2:$A$46,0))</f>
        <v>0.4</v>
      </c>
      <c r="I8" s="13">
        <f>INDEX(BA!H2:H46,MATCH('Match Analyzer BA'!$B$8,BA!$A$2:$A$46,0))</f>
        <v>11</v>
      </c>
      <c r="J8" s="26">
        <f>INDEX(BA!I2:I46,MATCH('Match Analyzer BA'!$B$8,BA!$A$2:$A$46,0))</f>
        <v>12</v>
      </c>
      <c r="K8" s="73">
        <f>INDEX(BA!J2:J46,MATCH('Match Analyzer BA'!$B$8,BA!$A$2:$A$46,0))</f>
        <v>0.47826086956521741</v>
      </c>
      <c r="L8" s="13">
        <f>INDEX(BA!K2:K46,MATCH('Match Analyzer BA'!$B$8,BA!$A$2:$A$46,0))</f>
        <v>43</v>
      </c>
      <c r="M8" s="26">
        <f>INDEX(BA!L2:L46,MATCH('Match Analyzer BA'!$B$8,BA!$A$2:$A$46,0))</f>
        <v>51</v>
      </c>
      <c r="N8" s="73">
        <f>INDEX(BA!M2:M46,MATCH('Match Analyzer BA'!$B$8,BA!$A$2:$A$46,0))</f>
        <v>0.45744680851063829</v>
      </c>
      <c r="O8" s="13">
        <f>INDEX(BA!V2:V46,MATCH('Match Analyzer BA'!$B$8,BA!$A$2:$A$46,0))</f>
        <v>0</v>
      </c>
      <c r="P8" s="26">
        <f>INDEX(BA!Q2:Q46,MATCH('Match Analyzer BA'!$B$8,BA!$A$2:$A$46,0))</f>
        <v>2</v>
      </c>
      <c r="Q8" s="26">
        <f>INDEX(BA!U2:U46,MATCH('Match Analyzer BA'!$B$8,BA!$A$2:$A$46,0))</f>
        <v>0</v>
      </c>
      <c r="R8" s="26">
        <f>INDEX(BA!AB2:AB46,MATCH('Match Analyzer BA'!$B$8,BA!$A$2:$A$46,0))</f>
        <v>2</v>
      </c>
      <c r="S8" s="26">
        <f>INDEX(BA!T2:T46,MATCH('Match Analyzer BA'!$B$8,BA!$A$2:$A$46,0))</f>
        <v>0</v>
      </c>
      <c r="T8" s="26">
        <f>INDEX(BA!AD2:AD46,MATCH('Match Analyzer BA'!$B$8,BA!$A$2:$A$46,0))</f>
        <v>3</v>
      </c>
      <c r="U8" s="26">
        <f>INDEX(BA!AA2:AA46,MATCH('Match Analyzer BA'!$B$8,BA!$A$2:$A$46,0))</f>
        <v>1</v>
      </c>
      <c r="V8" s="26">
        <f>INDEX(BA!AF2:AF46,MATCH('Match Analyzer BA'!$B$8,BA!$A$2:$A$46,0))</f>
        <v>0</v>
      </c>
      <c r="W8" s="26">
        <f>INDEX(BA!P2:P46,MATCH('Match Analyzer BA'!$B$8,BA!$A$2:$A$46,0))</f>
        <v>1</v>
      </c>
      <c r="X8" s="26">
        <f>INDEX(BA!AE2:AE46,MATCH('Match Analyzer BA'!$B$8,BA!$A$2:$A$46,0))</f>
        <v>1</v>
      </c>
      <c r="Y8" s="26">
        <f>INDEX(BA!W2:W46,MATCH('Match Analyzer BA'!$B$8,BA!$A$2:$A$46,0))</f>
        <v>1</v>
      </c>
      <c r="Z8" s="26">
        <f>INDEX(BA!O2:O46,MATCH('Match Analyzer BA'!$B$8,BA!$A$2:$A$46,0))</f>
        <v>0</v>
      </c>
      <c r="AA8" s="26">
        <f>INDEX(BA!X2:X46,MATCH('Match Analyzer BA'!$B$8,BA!$A$2:$A$46,0))</f>
        <v>0</v>
      </c>
      <c r="AB8" s="26">
        <f>INDEX(BA!Z2:Z46,MATCH('Match Analyzer BA'!$B$8,BA!$A$2:$A$46,0))</f>
        <v>0</v>
      </c>
      <c r="AC8" s="26">
        <f>INDEX(BA!N2:N46,MATCH('Match Analyzer BA'!$B$8,BA!$A$2:$A$46,0))</f>
        <v>0</v>
      </c>
      <c r="AD8" s="26">
        <f>INDEX(BA!Y2:Y46,MATCH('Match Analyzer BA'!$B$8,BA!$A$2:$A$46,0))</f>
        <v>0</v>
      </c>
      <c r="AE8" s="26">
        <f>INDEX(BA!AH2:AH46,MATCH('Match Analyzer BA'!$B$8,BA!$A$2:$A$46,0))</f>
        <v>0</v>
      </c>
      <c r="AF8" s="26">
        <f>INDEX(BA!AC2:AC46,MATCH('Match Analyzer BA'!$B$8,BA!$A$2:$A$46,0))</f>
        <v>0</v>
      </c>
      <c r="AG8" s="26">
        <f>INDEX(BA!S2:S46,MATCH('Match Analyzer BA'!$B$8,BA!$A$2:$A$46,0))</f>
        <v>0</v>
      </c>
      <c r="AH8" s="14">
        <f>INDEX(BA!R2:R46,MATCH('Match Analyzer BA'!$B$8,BA!$A$2:$A$46,0))</f>
        <v>0</v>
      </c>
    </row>
    <row r="9" spans="1:34" x14ac:dyDescent="0.25">
      <c r="A9" s="93"/>
      <c r="B9" s="7" t="s">
        <v>78</v>
      </c>
      <c r="C9" s="13">
        <f>INDEX(BA!B2:B46,MATCH('Match Analyzer BA'!$B$9,BA!$A$2:$A$46,0))</f>
        <v>0</v>
      </c>
      <c r="D9" s="59">
        <f>INDEX(BA!C2:C46,MATCH('Match Analyzer BA'!$B$9,BA!$A$2:$A$46,0))</f>
        <v>0</v>
      </c>
      <c r="E9" s="14">
        <f>INDEX(BA!D2:D46,MATCH('Match Analyzer BA'!$B$9,BA!$A$2:$A$46,0))</f>
        <v>0</v>
      </c>
      <c r="F9" s="13">
        <f>INDEX(BA!E2:E46,MATCH('Match Analyzer BA'!$B$9,BA!$A$2:$A$46,0))</f>
        <v>0</v>
      </c>
      <c r="G9" s="26">
        <f>INDEX(BA!F2:F46,MATCH('Match Analyzer BA'!$B$9,BA!$A$2:$A$46,0))</f>
        <v>0</v>
      </c>
      <c r="H9" s="73" t="str">
        <f>INDEX(BA!G2:G46,MATCH('Match Analyzer BA'!$B$9,BA!$A$2:$A$46,0))</f>
        <v>-</v>
      </c>
      <c r="I9" s="13">
        <f>INDEX(BA!H2:H46,MATCH('Match Analyzer BA'!$B$9,BA!$A$2:$A$46,0))</f>
        <v>0</v>
      </c>
      <c r="J9" s="26">
        <f>INDEX(BA!I2:I46,MATCH('Match Analyzer BA'!$B$9,BA!$A$2:$A$46,0))</f>
        <v>0</v>
      </c>
      <c r="K9" s="73" t="str">
        <f>INDEX(BA!J2:J46,MATCH('Match Analyzer BA'!$B$9,BA!$A$2:$A$46,0))</f>
        <v>-</v>
      </c>
      <c r="L9" s="13">
        <f>INDEX(BA!K2:K46,MATCH('Match Analyzer BA'!$B$9,BA!$A$2:$A$46,0))</f>
        <v>0</v>
      </c>
      <c r="M9" s="26">
        <f>INDEX(BA!L2:L46,MATCH('Match Analyzer BA'!$B$9,BA!$A$2:$A$46,0))</f>
        <v>0</v>
      </c>
      <c r="N9" s="73" t="str">
        <f>INDEX(BA!M2:M46,MATCH('Match Analyzer BA'!$B$9,BA!$A$2:$A$46,0))</f>
        <v>-</v>
      </c>
      <c r="O9" s="13">
        <f>INDEX(BA!V2:V46,MATCH('Match Analyzer BA'!$B$9,BA!$A$2:$A$46,0))</f>
        <v>0</v>
      </c>
      <c r="P9" s="26">
        <f>INDEX(BA!Q2:Q46,MATCH('Match Analyzer BA'!$B$9,BA!$A$2:$A$46,0))</f>
        <v>0</v>
      </c>
      <c r="Q9" s="26">
        <f>INDEX(BA!U2:U46,MATCH('Match Analyzer BA'!$B$9,BA!$A$2:$A$46,0))</f>
        <v>0</v>
      </c>
      <c r="R9" s="26">
        <f>INDEX(BA!AB2:AB46,MATCH('Match Analyzer BA'!$B$9,BA!$A$2:$A$46,0))</f>
        <v>0</v>
      </c>
      <c r="S9" s="26">
        <f>INDEX(BA!T2:T46,MATCH('Match Analyzer BA'!$B$9,BA!$A$2:$A$46,0))</f>
        <v>0</v>
      </c>
      <c r="T9" s="26">
        <f>INDEX(BA!AD2:AD46,MATCH('Match Analyzer BA'!$B$9,BA!$A$2:$A$46,0))</f>
        <v>0</v>
      </c>
      <c r="U9" s="26">
        <f>INDEX(BA!AA2:AA46,MATCH('Match Analyzer BA'!$B$9,BA!$A$2:$A$46,0))</f>
        <v>0</v>
      </c>
      <c r="V9" s="26">
        <f>INDEX(BA!AF2:AF46,MATCH('Match Analyzer BA'!$B$9,BA!$A$2:$A$46,0))</f>
        <v>0</v>
      </c>
      <c r="W9" s="26">
        <f>INDEX(BA!P2:P46,MATCH('Match Analyzer BA'!$B$9,BA!$A$2:$A$46,0))</f>
        <v>0</v>
      </c>
      <c r="X9" s="26">
        <f>INDEX(BA!AE2:AE46,MATCH('Match Analyzer BA'!$B$9,BA!$A$2:$A$46,0))</f>
        <v>0</v>
      </c>
      <c r="Y9" s="26">
        <f>INDEX(BA!W2:W46,MATCH('Match Analyzer BA'!$B$9,BA!$A$2:$A$46,0))</f>
        <v>0</v>
      </c>
      <c r="Z9" s="26">
        <f>INDEX(BA!O2:O46,MATCH('Match Analyzer BA'!$B$9,BA!$A$2:$A$46,0))</f>
        <v>0</v>
      </c>
      <c r="AA9" s="26">
        <f>INDEX(BA!X2:X46,MATCH('Match Analyzer BA'!$B$9,BA!$A$2:$A$46,0))</f>
        <v>0</v>
      </c>
      <c r="AB9" s="26">
        <f>INDEX(BA!Z2:Z46,MATCH('Match Analyzer BA'!$B$9,BA!$A$2:$A$46,0))</f>
        <v>0</v>
      </c>
      <c r="AC9" s="26">
        <f>INDEX(BA!N2:N46,MATCH('Match Analyzer BA'!$B$9,BA!$A$2:$A$46,0))</f>
        <v>0</v>
      </c>
      <c r="AD9" s="26">
        <f>INDEX(BA!Y2:Y46,MATCH('Match Analyzer BA'!$B$9,BA!$A$2:$A$46,0))</f>
        <v>0</v>
      </c>
      <c r="AE9" s="26">
        <f>INDEX(BA!AH2:AH46,MATCH('Match Analyzer BA'!$B$9,BA!$A$2:$A$46,0))</f>
        <v>0</v>
      </c>
      <c r="AF9" s="26">
        <f>INDEX(BA!AC2:AC46,MATCH('Match Analyzer BA'!$B$9,BA!$A$2:$A$46,0))</f>
        <v>0</v>
      </c>
      <c r="AG9" s="26">
        <f>INDEX(BA!S2:S46,MATCH('Match Analyzer BA'!$B$9,BA!$A$2:$A$46,0))</f>
        <v>0</v>
      </c>
      <c r="AH9" s="14">
        <f>INDEX(BA!R2:R46,MATCH('Match Analyzer BA'!$B$9,BA!$A$2:$A$46,0))</f>
        <v>0</v>
      </c>
    </row>
    <row r="10" spans="1:34" ht="15.75" thickBot="1" x14ac:dyDescent="0.3">
      <c r="A10" s="93"/>
      <c r="B10" s="7" t="s">
        <v>78</v>
      </c>
      <c r="C10" s="17">
        <f>INDEX(BA!B2:B46,MATCH('Match Analyzer BA'!$B$10,BA!$A$2:$A$46,0))</f>
        <v>0</v>
      </c>
      <c r="D10" s="60">
        <f>INDEX(BA!C2:C46,MATCH('Match Analyzer BA'!$B$10,BA!$A$2:$A$46,0))</f>
        <v>0</v>
      </c>
      <c r="E10" s="18">
        <f>INDEX(BA!D2:D46,MATCH('Match Analyzer BA'!$B$10,BA!$A$2:$A$46,0))</f>
        <v>0</v>
      </c>
      <c r="F10" s="17">
        <f>INDEX(BA!E2:E46,MATCH('Match Analyzer BA'!$B$10,BA!$A$2:$A$46,0))</f>
        <v>0</v>
      </c>
      <c r="G10" s="29">
        <f>INDEX(BA!F2:F46,MATCH('Match Analyzer BA'!$B$10,BA!$A$2:$A$46,0))</f>
        <v>0</v>
      </c>
      <c r="H10" s="74" t="str">
        <f>INDEX(BA!G2:G46,MATCH('Match Analyzer BA'!$B$10,BA!$A$2:$A$46,0))</f>
        <v>-</v>
      </c>
      <c r="I10" s="17">
        <f>INDEX(BA!H2:H46,MATCH('Match Analyzer BA'!$B$10,BA!$A$2:$A$46,0))</f>
        <v>0</v>
      </c>
      <c r="J10" s="29">
        <f>INDEX(BA!I2:I46,MATCH('Match Analyzer BA'!$B$10,BA!$A$2:$A$46,0))</f>
        <v>0</v>
      </c>
      <c r="K10" s="74" t="str">
        <f>INDEX(BA!J2:J46,MATCH('Match Analyzer BA'!$B$10,BA!$A$2:$A$46,0))</f>
        <v>-</v>
      </c>
      <c r="L10" s="17">
        <f>INDEX(BA!K2:K46,MATCH('Match Analyzer BA'!$B$10,BA!$A$2:$A$46,0))</f>
        <v>0</v>
      </c>
      <c r="M10" s="29">
        <f>INDEX(BA!L2:L46,MATCH('Match Analyzer BA'!$B$10,BA!$A$2:$A$46,0))</f>
        <v>0</v>
      </c>
      <c r="N10" s="74" t="str">
        <f>INDEX(BA!M2:M46,MATCH('Match Analyzer BA'!$B$10,BA!$A$2:$A$46,0))</f>
        <v>-</v>
      </c>
      <c r="O10" s="17">
        <f>INDEX(BA!V2:V46,MATCH('Match Analyzer BA'!$B$10,BA!$A$2:$A$46,0))</f>
        <v>0</v>
      </c>
      <c r="P10" s="29">
        <f>INDEX(BA!Q2:Q46,MATCH('Match Analyzer BA'!$B$10,BA!$A$2:$A$46,0))</f>
        <v>0</v>
      </c>
      <c r="Q10" s="29">
        <f>INDEX(BA!U2:U46,MATCH('Match Analyzer BA'!$B$10,BA!$A$2:$A$46,0))</f>
        <v>0</v>
      </c>
      <c r="R10" s="29">
        <f>INDEX(BA!AB2:AB46,MATCH('Match Analyzer BA'!$B$10,BA!$A$2:$A$46,0))</f>
        <v>0</v>
      </c>
      <c r="S10" s="29">
        <f>INDEX(BA!T2:T46,MATCH('Match Analyzer BA'!$B$10,BA!$A$2:$A$46,0))</f>
        <v>0</v>
      </c>
      <c r="T10" s="29">
        <f>INDEX(BA!AD2:AD46,MATCH('Match Analyzer BA'!$B$10,BA!$A$2:$A$46,0))</f>
        <v>0</v>
      </c>
      <c r="U10" s="29">
        <f>INDEX(BA!AA2:AA46,MATCH('Match Analyzer BA'!$B$10,BA!$A$2:$A$46,0))</f>
        <v>0</v>
      </c>
      <c r="V10" s="29">
        <f>INDEX(BA!AF2:AF46,MATCH('Match Analyzer BA'!$B$10,BA!$A$2:$A$46,0))</f>
        <v>0</v>
      </c>
      <c r="W10" s="29">
        <f>INDEX(BA!P2:P46,MATCH('Match Analyzer BA'!$B$10,BA!$A$2:$A$46,0))</f>
        <v>0</v>
      </c>
      <c r="X10" s="29">
        <f>INDEX(BA!AE2:AE46,MATCH('Match Analyzer BA'!$B$10,BA!$A$2:$A$46,0))</f>
        <v>0</v>
      </c>
      <c r="Y10" s="29">
        <f>INDEX(BA!W2:W46,MATCH('Match Analyzer BA'!$B$10,BA!$A$2:$A$46,0))</f>
        <v>0</v>
      </c>
      <c r="Z10" s="29">
        <f>INDEX(BA!O2:O46,MATCH('Match Analyzer BA'!$B$10,BA!$A$2:$A$46,0))</f>
        <v>0</v>
      </c>
      <c r="AA10" s="29">
        <f>INDEX(BA!X2:X46,MATCH('Match Analyzer BA'!$B$10,BA!$A$2:$A$46,0))</f>
        <v>0</v>
      </c>
      <c r="AB10" s="29">
        <f>INDEX(BA!Z2:Z46,MATCH('Match Analyzer BA'!$B$10,BA!$A$2:$A$46,0))</f>
        <v>0</v>
      </c>
      <c r="AC10" s="29">
        <f>INDEX(BA!N2:N46,MATCH('Match Analyzer BA'!$B$10,BA!$A$2:$A$46,0))</f>
        <v>0</v>
      </c>
      <c r="AD10" s="29">
        <f>INDEX(BA!Y2:Y46,MATCH('Match Analyzer BA'!$B$10,BA!$A$2:$A$46,0))</f>
        <v>0</v>
      </c>
      <c r="AE10" s="29">
        <f>INDEX(BA!AH2:AH46,MATCH('Match Analyzer BA'!$B$10,BA!$A$2:$A$46,0))</f>
        <v>0</v>
      </c>
      <c r="AF10" s="29">
        <f>INDEX(BA!AC2:AC46,MATCH('Match Analyzer BA'!$B$10,BA!$A$2:$A$46,0))</f>
        <v>0</v>
      </c>
      <c r="AG10" s="29">
        <f>INDEX(BA!S2:S46,MATCH('Match Analyzer BA'!$B$10,BA!$A$2:$A$46,0))</f>
        <v>0</v>
      </c>
      <c r="AH10" s="18">
        <f>INDEX(BA!R2:R46,MATCH('Match Analyzer BA'!$B$10,BA!$A$2:$A$46,0))</f>
        <v>0</v>
      </c>
    </row>
    <row r="11" spans="1:34" x14ac:dyDescent="0.25">
      <c r="D11" s="8">
        <f>SUM(D3:D10)</f>
        <v>69.106015037593991</v>
      </c>
      <c r="H11" s="9">
        <f>AVERAGE(H3:H10)</f>
        <v>0.52351902483481427</v>
      </c>
      <c r="I11" s="1"/>
      <c r="J11" s="1"/>
      <c r="K11" s="9">
        <f>AVERAGE(K3:K10)</f>
        <v>0.55106260713729149</v>
      </c>
      <c r="N11" s="9">
        <f>AVERAGE(N3:N10)</f>
        <v>0.53303058505267376</v>
      </c>
      <c r="O11" s="5">
        <f>SUM(O3:O10)</f>
        <v>2</v>
      </c>
      <c r="P11" s="5">
        <f t="shared" ref="P11:AH11" si="0">SUM(P3:P10)</f>
        <v>7</v>
      </c>
      <c r="Q11" s="5">
        <f t="shared" si="0"/>
        <v>8</v>
      </c>
      <c r="R11" s="5">
        <f t="shared" si="0"/>
        <v>14</v>
      </c>
      <c r="S11" s="5">
        <f t="shared" si="0"/>
        <v>3</v>
      </c>
      <c r="T11" s="5">
        <f t="shared" si="0"/>
        <v>14</v>
      </c>
      <c r="U11" s="5">
        <f t="shared" si="0"/>
        <v>9</v>
      </c>
      <c r="V11" s="5">
        <f t="shared" si="0"/>
        <v>8</v>
      </c>
      <c r="W11" s="5">
        <f t="shared" si="0"/>
        <v>9</v>
      </c>
      <c r="X11" s="5">
        <f t="shared" si="0"/>
        <v>12</v>
      </c>
      <c r="Y11" s="5">
        <f t="shared" si="0"/>
        <v>4</v>
      </c>
      <c r="Z11" s="5">
        <f t="shared" si="0"/>
        <v>5</v>
      </c>
      <c r="AA11" s="5">
        <f t="shared" si="0"/>
        <v>8</v>
      </c>
      <c r="AB11" s="5">
        <f t="shared" si="0"/>
        <v>2</v>
      </c>
      <c r="AC11" s="5">
        <f t="shared" si="0"/>
        <v>5</v>
      </c>
      <c r="AD11" s="5">
        <f t="shared" si="0"/>
        <v>0</v>
      </c>
      <c r="AE11" s="5">
        <f t="shared" si="0"/>
        <v>6</v>
      </c>
      <c r="AF11" s="5">
        <f t="shared" si="0"/>
        <v>0</v>
      </c>
      <c r="AG11" s="5">
        <f t="shared" si="0"/>
        <v>1</v>
      </c>
      <c r="AH11" s="5">
        <f t="shared" si="0"/>
        <v>1</v>
      </c>
    </row>
    <row r="14" spans="1:34" ht="15.75" thickBot="1" x14ac:dyDescent="0.3"/>
    <row r="15" spans="1:34" x14ac:dyDescent="0.25">
      <c r="C15" s="90" t="s">
        <v>7</v>
      </c>
      <c r="D15" s="91"/>
      <c r="E15" s="92"/>
      <c r="F15" s="90" t="s">
        <v>22</v>
      </c>
      <c r="G15" s="91"/>
      <c r="H15" s="92"/>
      <c r="I15" s="90" t="s">
        <v>16</v>
      </c>
      <c r="J15" s="91"/>
      <c r="K15" s="92"/>
      <c r="L15" s="90" t="s">
        <v>23</v>
      </c>
      <c r="M15" s="91"/>
      <c r="N15" s="92"/>
      <c r="O15" s="90" t="s">
        <v>64</v>
      </c>
      <c r="P15" s="91"/>
      <c r="Q15" s="91"/>
      <c r="R15" s="91"/>
      <c r="S15" s="91"/>
      <c r="T15" s="91"/>
      <c r="U15" s="91"/>
      <c r="V15" s="91"/>
      <c r="W15" s="91"/>
      <c r="X15" s="91"/>
      <c r="Y15" s="91"/>
      <c r="Z15" s="91"/>
      <c r="AA15" s="91"/>
      <c r="AB15" s="91"/>
      <c r="AC15" s="91"/>
      <c r="AD15" s="55"/>
      <c r="AE15" s="55"/>
      <c r="AF15" s="55"/>
      <c r="AG15" s="55"/>
      <c r="AH15" s="56"/>
    </row>
    <row r="16" spans="1:34" ht="45.75" thickBot="1" x14ac:dyDescent="0.3">
      <c r="B16" s="3" t="s">
        <v>0</v>
      </c>
      <c r="C16" s="20" t="s">
        <v>7</v>
      </c>
      <c r="D16" s="21" t="s">
        <v>36</v>
      </c>
      <c r="E16" s="24" t="s">
        <v>49</v>
      </c>
      <c r="F16" s="20" t="s">
        <v>8</v>
      </c>
      <c r="G16" s="21" t="s">
        <v>21</v>
      </c>
      <c r="H16" s="23" t="s">
        <v>24</v>
      </c>
      <c r="I16" s="20" t="s">
        <v>8</v>
      </c>
      <c r="J16" s="21" t="s">
        <v>21</v>
      </c>
      <c r="K16" s="23" t="s">
        <v>24</v>
      </c>
      <c r="L16" s="20" t="s">
        <v>8</v>
      </c>
      <c r="M16" s="21" t="s">
        <v>21</v>
      </c>
      <c r="N16" s="23" t="s">
        <v>24</v>
      </c>
      <c r="O16" s="63" t="s">
        <v>62</v>
      </c>
      <c r="P16" s="57" t="s">
        <v>63</v>
      </c>
      <c r="Q16" s="57" t="s">
        <v>106</v>
      </c>
      <c r="R16" s="57" t="s">
        <v>56</v>
      </c>
      <c r="S16" s="57" t="s">
        <v>32</v>
      </c>
      <c r="T16" s="57" t="s">
        <v>66</v>
      </c>
      <c r="U16" s="57" t="s">
        <v>67</v>
      </c>
      <c r="V16" s="57" t="s">
        <v>68</v>
      </c>
      <c r="W16" s="57" t="s">
        <v>69</v>
      </c>
      <c r="X16" s="57" t="s">
        <v>72</v>
      </c>
      <c r="Y16" s="57" t="s">
        <v>73</v>
      </c>
      <c r="Z16" s="57" t="s">
        <v>41</v>
      </c>
      <c r="AA16" s="57" t="s">
        <v>91</v>
      </c>
      <c r="AB16" s="57" t="s">
        <v>92</v>
      </c>
      <c r="AC16" s="57" t="s">
        <v>93</v>
      </c>
      <c r="AD16" s="57" t="s">
        <v>95</v>
      </c>
      <c r="AE16" s="57" t="s">
        <v>96</v>
      </c>
      <c r="AF16" s="57" t="s">
        <v>104</v>
      </c>
      <c r="AG16" s="57" t="s">
        <v>112</v>
      </c>
      <c r="AH16" s="64" t="s">
        <v>116</v>
      </c>
    </row>
    <row r="17" spans="1:34" x14ac:dyDescent="0.25">
      <c r="A17" s="89" t="s">
        <v>77</v>
      </c>
      <c r="B17" s="7" t="s">
        <v>35</v>
      </c>
      <c r="C17" s="13">
        <f>INDEX(BA!B2:B46,MATCH('Match Analyzer BA'!$B$17,BA!$A$2:$A$46,0))</f>
        <v>214</v>
      </c>
      <c r="D17" s="59">
        <f>INDEX(BA!C2:C46,MATCH('Match Analyzer BA'!$B$17,BA!$A$2:$A$46,0))</f>
        <v>11.263157894736842</v>
      </c>
      <c r="E17" s="14">
        <f>INDEX(BA!D2:D46,MATCH('Match Analyzer BA'!$B$17,BA!$A$2:$A$46,0))</f>
        <v>20</v>
      </c>
      <c r="F17" s="13">
        <f>INDEX(BA!E2:E46,MATCH('Match Analyzer BA'!$B$17,BA!$A$2:$A$46,0))</f>
        <v>6</v>
      </c>
      <c r="G17" s="26">
        <f>INDEX(BA!F2:F46,MATCH('Match Analyzer BA'!$B$17,BA!$A$2:$A$46,0))</f>
        <v>13</v>
      </c>
      <c r="H17" s="27">
        <f>INDEX(BA!G2:G46,MATCH('Match Analyzer BA'!$B$17,BA!$A$2:$A$46,0))</f>
        <v>0.31578947368421051</v>
      </c>
      <c r="I17" s="13">
        <f>INDEX(BA!H2:H46,MATCH('Match Analyzer BA'!$B$17,BA!$A$2:$A$46,0))</f>
        <v>33</v>
      </c>
      <c r="J17" s="26">
        <f>INDEX(BA!I2:I46,MATCH('Match Analyzer BA'!$B$17,BA!$A$2:$A$46,0))</f>
        <v>47</v>
      </c>
      <c r="K17" s="27">
        <f>INDEX(BA!J2:J46,MATCH('Match Analyzer BA'!$B$17,BA!$A$2:$A$46,0))</f>
        <v>0.41249999999999998</v>
      </c>
      <c r="L17" s="13">
        <f>INDEX(BA!K2:K46,MATCH('Match Analyzer BA'!$B$17,BA!$A$2:$A$46,0))</f>
        <v>157</v>
      </c>
      <c r="M17" s="26">
        <f>INDEX(BA!L2:L46,MATCH('Match Analyzer BA'!$B$17,BA!$A$2:$A$46,0))</f>
        <v>176</v>
      </c>
      <c r="N17" s="27">
        <f>INDEX(BA!M2:M46,MATCH('Match Analyzer BA'!$B$17,BA!$A$2:$A$46,0))</f>
        <v>0.47147147147147145</v>
      </c>
      <c r="O17" s="13">
        <f>INDEX(BA!V2:V46,MATCH('Match Analyzer BA'!$B$17,BA!$A$2:$A$46,0))</f>
        <v>1</v>
      </c>
      <c r="P17" s="26">
        <f>INDEX(BA!Q2:Q46,MATCH('Match Analyzer BA'!$B$17,BA!$A$2:$A$46,0))</f>
        <v>2</v>
      </c>
      <c r="Q17" s="26">
        <f>INDEX(BA!U2:U46,MATCH('Match Analyzer BA'!$B$17,BA!$A$2:$A$46,0))</f>
        <v>3</v>
      </c>
      <c r="R17" s="26">
        <f>INDEX(BA!AB2:AB46,MATCH('Match Analyzer BA'!$B$17,BA!$A$2:$A$46,0))</f>
        <v>5</v>
      </c>
      <c r="S17" s="26">
        <f>INDEX(BA!T2:T46,MATCH('Match Analyzer BA'!$B$17,BA!$A$2:$A$46,0))</f>
        <v>1</v>
      </c>
      <c r="T17" s="26">
        <f>INDEX(BA!AD2:AD46,MATCH('Match Analyzer BA'!$B$17,BA!$A$2:$A$46,0))</f>
        <v>3</v>
      </c>
      <c r="U17" s="26">
        <f>INDEX(BA!AA2:AA46,MATCH('Match Analyzer BA'!$B$17,BA!$A$2:$A$46,0))</f>
        <v>1</v>
      </c>
      <c r="V17" s="26">
        <f>INDEX(BA!AF2:AF46,MATCH('Match Analyzer BA'!$B$17,BA!$A$2:$A$46,0))</f>
        <v>3</v>
      </c>
      <c r="W17" s="26">
        <f>INDEX(BA!P2:P46,MATCH('Match Analyzer BA'!$B$17,BA!$A$2:$A$46,0))</f>
        <v>2</v>
      </c>
      <c r="X17" s="26">
        <f>INDEX(BA!AE2:AE46,MATCH('Match Analyzer BA'!$B$17,BA!$A$2:$A$46,0))</f>
        <v>4</v>
      </c>
      <c r="Y17" s="26">
        <f>INDEX(BA!W2:W46,MATCH('Match Analyzer BA'!$B$17,BA!$A$2:$A$46,0))</f>
        <v>1</v>
      </c>
      <c r="Z17" s="26">
        <f>INDEX(BA!O2:O46,MATCH('Match Analyzer BA'!$B$17,BA!$A$2:$A$46,0))</f>
        <v>2</v>
      </c>
      <c r="AA17" s="26">
        <f>INDEX(BA!X2:X46,MATCH('Match Analyzer BA'!$B$17,BA!$A$2:$A$46,0))</f>
        <v>2</v>
      </c>
      <c r="AB17" s="26">
        <f>INDEX(BA!Z2:Z46,MATCH('Match Analyzer BA'!$B$17,BA!$A$2:$A$46,0))</f>
        <v>1</v>
      </c>
      <c r="AC17" s="26">
        <f>INDEX(BA!N2:N46,MATCH('Match Analyzer BA'!$B$17,BA!$A$2:$A$46,0))</f>
        <v>0</v>
      </c>
      <c r="AD17" s="26">
        <f>INDEX(BA!Y2:Y46,MATCH('Match Analyzer BA'!$B$17,BA!$A$2:$A$46,0))</f>
        <v>0</v>
      </c>
      <c r="AE17" s="26">
        <f>INDEX(BA!AH2:AH46,MATCH('Match Analyzer BA'!$B$17,BA!$A$2:$A$46,0))</f>
        <v>1</v>
      </c>
      <c r="AF17" s="26">
        <f>INDEX(BA!AC2:AC46,MATCH('Match Analyzer BA'!$B$17,BA!$A$2:$A$46,0))</f>
        <v>0</v>
      </c>
      <c r="AG17" s="26">
        <f>INDEX(BA!S2:S46,MATCH('Match Analyzer BA'!$B$17,BA!$A$2:$A$46,0))</f>
        <v>0</v>
      </c>
      <c r="AH17" s="14">
        <f>INDEX(BA!R2:R46,MATCH('Match Analyzer BA'!$B$17,BA!$A$2:$A$46,0))</f>
        <v>1</v>
      </c>
    </row>
    <row r="18" spans="1:34" x14ac:dyDescent="0.25">
      <c r="A18" s="89"/>
      <c r="B18" s="7" t="s">
        <v>42</v>
      </c>
      <c r="C18" s="13">
        <f>INDEX(BA!B2:B46,MATCH('Match Analyzer BA'!$B$18,BA!$A$2:$A$46,0))</f>
        <v>233</v>
      </c>
      <c r="D18" s="59">
        <f>INDEX(BA!C2:C46,MATCH('Match Analyzer BA'!$B$18,BA!$A$2:$A$46,0))</f>
        <v>16.642857142857142</v>
      </c>
      <c r="E18" s="14">
        <f>INDEX(BA!D2:D46,MATCH('Match Analyzer BA'!$B$18,BA!$A$2:$A$46,0))</f>
        <v>31</v>
      </c>
      <c r="F18" s="13">
        <f>INDEX(BA!E2:E46,MATCH('Match Analyzer BA'!$B$18,BA!$A$2:$A$46,0))</f>
        <v>6</v>
      </c>
      <c r="G18" s="26">
        <f>INDEX(BA!F2:F46,MATCH('Match Analyzer BA'!$B$18,BA!$A$2:$A$46,0))</f>
        <v>8</v>
      </c>
      <c r="H18" s="27">
        <f>INDEX(BA!G2:G46,MATCH('Match Analyzer BA'!$B$18,BA!$A$2:$A$46,0))</f>
        <v>0.42857142857142855</v>
      </c>
      <c r="I18" s="13">
        <f>INDEX(BA!H2:H46,MATCH('Match Analyzer BA'!$B$18,BA!$A$2:$A$46,0))</f>
        <v>25</v>
      </c>
      <c r="J18" s="26">
        <f>INDEX(BA!I2:I46,MATCH('Match Analyzer BA'!$B$18,BA!$A$2:$A$46,0))</f>
        <v>33</v>
      </c>
      <c r="K18" s="27">
        <f>INDEX(BA!J2:J46,MATCH('Match Analyzer BA'!$B$18,BA!$A$2:$A$46,0))</f>
        <v>0.43103448275862066</v>
      </c>
      <c r="L18" s="13">
        <f>INDEX(BA!K2:K46,MATCH('Match Analyzer BA'!$B$18,BA!$A$2:$A$46,0))</f>
        <v>109</v>
      </c>
      <c r="M18" s="26">
        <f>INDEX(BA!L2:L46,MATCH('Match Analyzer BA'!$B$18,BA!$A$2:$A$46,0))</f>
        <v>128</v>
      </c>
      <c r="N18" s="27">
        <f>INDEX(BA!M2:M46,MATCH('Match Analyzer BA'!$B$18,BA!$A$2:$A$46,0))</f>
        <v>0.45991561181434598</v>
      </c>
      <c r="O18" s="13">
        <f>INDEX(BA!V2:V46,MATCH('Match Analyzer BA'!$B$18,BA!$A$2:$A$46,0))</f>
        <v>0</v>
      </c>
      <c r="P18" s="26">
        <f>INDEX(BA!Q2:Q46,MATCH('Match Analyzer BA'!$B$18,BA!$A$2:$A$46,0))</f>
        <v>2</v>
      </c>
      <c r="Q18" s="26">
        <f>INDEX(BA!U2:U46,MATCH('Match Analyzer BA'!$B$18,BA!$A$2:$A$46,0))</f>
        <v>1</v>
      </c>
      <c r="R18" s="26">
        <f>INDEX(BA!AB2:AB46,MATCH('Match Analyzer BA'!$B$18,BA!$A$2:$A$46,0))</f>
        <v>4</v>
      </c>
      <c r="S18" s="26">
        <f>INDEX(BA!T2:T46,MATCH('Match Analyzer BA'!$B$18,BA!$A$2:$A$46,0))</f>
        <v>1</v>
      </c>
      <c r="T18" s="26">
        <f>INDEX(BA!AD2:AD46,MATCH('Match Analyzer BA'!$B$18,BA!$A$2:$A$46,0))</f>
        <v>0</v>
      </c>
      <c r="U18" s="26">
        <f>INDEX(BA!AA2:AA46,MATCH('Match Analyzer BA'!$B$18,BA!$A$2:$A$46,0))</f>
        <v>2</v>
      </c>
      <c r="V18" s="26">
        <f>INDEX(BA!AF2:AF46,MATCH('Match Analyzer BA'!$B$18,BA!$A$2:$A$46,0))</f>
        <v>2</v>
      </c>
      <c r="W18" s="26">
        <f>INDEX(BA!P2:P46,MATCH('Match Analyzer BA'!$B$18,BA!$A$2:$A$46,0))</f>
        <v>1</v>
      </c>
      <c r="X18" s="26">
        <f>INDEX(BA!AE2:AE46,MATCH('Match Analyzer BA'!$B$18,BA!$A$2:$A$46,0))</f>
        <v>1</v>
      </c>
      <c r="Y18" s="26">
        <f>INDEX(BA!W2:W46,MATCH('Match Analyzer BA'!$B$18,BA!$A$2:$A$46,0))</f>
        <v>1</v>
      </c>
      <c r="Z18" s="26">
        <f>INDEX(BA!O2:O46,MATCH('Match Analyzer BA'!$B$18,BA!$A$2:$A$46,0))</f>
        <v>5</v>
      </c>
      <c r="AA18" s="26">
        <f>INDEX(BA!X2:X46,MATCH('Match Analyzer BA'!$B$18,BA!$A$2:$A$46,0))</f>
        <v>2</v>
      </c>
      <c r="AB18" s="26">
        <f>INDEX(BA!Z2:Z46,MATCH('Match Analyzer BA'!$B$18,BA!$A$2:$A$46,0))</f>
        <v>0</v>
      </c>
      <c r="AC18" s="26">
        <f>INDEX(BA!N2:N46,MATCH('Match Analyzer BA'!$B$18,BA!$A$2:$A$46,0))</f>
        <v>0</v>
      </c>
      <c r="AD18" s="26">
        <f>INDEX(BA!Y2:Y46,MATCH('Match Analyzer BA'!$B$18,BA!$A$2:$A$46,0))</f>
        <v>1</v>
      </c>
      <c r="AE18" s="26">
        <f>INDEX(BA!AH2:AH46,MATCH('Match Analyzer BA'!$B$18,BA!$A$2:$A$46,0))</f>
        <v>1</v>
      </c>
      <c r="AF18" s="26">
        <f>INDEX(BA!AC2:AC46,MATCH('Match Analyzer BA'!$B$18,BA!$A$2:$A$46,0))</f>
        <v>1</v>
      </c>
      <c r="AG18" s="26">
        <f>INDEX(BA!S2:S46,MATCH('Match Analyzer BA'!$B$18,BA!$A$2:$A$46,0))</f>
        <v>0</v>
      </c>
      <c r="AH18" s="14">
        <f>INDEX(BA!R2:R46,MATCH('Match Analyzer BA'!$B$18,BA!$A$2:$A$46,0))</f>
        <v>0</v>
      </c>
    </row>
    <row r="19" spans="1:34" x14ac:dyDescent="0.25">
      <c r="A19" s="89"/>
      <c r="B19" s="7" t="s">
        <v>52</v>
      </c>
      <c r="C19" s="13">
        <f>INDEX(BA!B2:B46,MATCH('Match Analyzer BA'!$B$19,BA!$A$2:$A$46,0))</f>
        <v>98</v>
      </c>
      <c r="D19" s="59">
        <f>INDEX(BA!C2:C46,MATCH('Match Analyzer BA'!$B$19,BA!$A$2:$A$46,0))</f>
        <v>12.25</v>
      </c>
      <c r="E19" s="14">
        <f>INDEX(BA!D2:D46,MATCH('Match Analyzer BA'!$B$19,BA!$A$2:$A$46,0))</f>
        <v>19</v>
      </c>
      <c r="F19" s="13">
        <f>INDEX(BA!E2:E46,MATCH('Match Analyzer BA'!$B$19,BA!$A$2:$A$46,0))</f>
        <v>2</v>
      </c>
      <c r="G19" s="26">
        <f>INDEX(BA!F2:F46,MATCH('Match Analyzer BA'!$B$19,BA!$A$2:$A$46,0))</f>
        <v>6</v>
      </c>
      <c r="H19" s="27">
        <f>INDEX(BA!G2:G46,MATCH('Match Analyzer BA'!$B$19,BA!$A$2:$A$46,0))</f>
        <v>0.25</v>
      </c>
      <c r="I19" s="13">
        <f>INDEX(BA!H2:H46,MATCH('Match Analyzer BA'!$B$19,BA!$A$2:$A$46,0))</f>
        <v>14</v>
      </c>
      <c r="J19" s="26">
        <f>INDEX(BA!I2:I46,MATCH('Match Analyzer BA'!$B$19,BA!$A$2:$A$46,0))</f>
        <v>21</v>
      </c>
      <c r="K19" s="27">
        <f>INDEX(BA!J2:J46,MATCH('Match Analyzer BA'!$B$19,BA!$A$2:$A$46,0))</f>
        <v>0.4</v>
      </c>
      <c r="L19" s="13">
        <f>INDEX(BA!K2:K46,MATCH('Match Analyzer BA'!$B$19,BA!$A$2:$A$46,0))</f>
        <v>60</v>
      </c>
      <c r="M19" s="26">
        <f>INDEX(BA!L2:L46,MATCH('Match Analyzer BA'!$B$19,BA!$A$2:$A$46,0))</f>
        <v>79</v>
      </c>
      <c r="N19" s="27">
        <f>INDEX(BA!M2:M46,MATCH('Match Analyzer BA'!$B$19,BA!$A$2:$A$46,0))</f>
        <v>0.43165467625899279</v>
      </c>
      <c r="O19" s="13">
        <f>INDEX(BA!V2:V46,MATCH('Match Analyzer BA'!$B$19,BA!$A$2:$A$46,0))</f>
        <v>0</v>
      </c>
      <c r="P19" s="26">
        <f>INDEX(BA!Q2:Q46,MATCH('Match Analyzer BA'!$B$19,BA!$A$2:$A$46,0))</f>
        <v>1</v>
      </c>
      <c r="Q19" s="26">
        <f>INDEX(BA!U2:U46,MATCH('Match Analyzer BA'!$B$19,BA!$A$2:$A$46,0))</f>
        <v>0</v>
      </c>
      <c r="R19" s="26">
        <f>INDEX(BA!AB2:AB46,MATCH('Match Analyzer BA'!$B$19,BA!$A$2:$A$46,0))</f>
        <v>2</v>
      </c>
      <c r="S19" s="26">
        <f>INDEX(BA!T2:T46,MATCH('Match Analyzer BA'!$B$19,BA!$A$2:$A$46,0))</f>
        <v>0</v>
      </c>
      <c r="T19" s="26">
        <f>INDEX(BA!AD2:AD46,MATCH('Match Analyzer BA'!$B$19,BA!$A$2:$A$46,0))</f>
        <v>3</v>
      </c>
      <c r="U19" s="26">
        <f>INDEX(BA!AA2:AA46,MATCH('Match Analyzer BA'!$B$19,BA!$A$2:$A$46,0))</f>
        <v>0</v>
      </c>
      <c r="V19" s="26">
        <f>INDEX(BA!AF2:AF46,MATCH('Match Analyzer BA'!$B$19,BA!$A$2:$A$46,0))</f>
        <v>1</v>
      </c>
      <c r="W19" s="26">
        <f>INDEX(BA!P2:P46,MATCH('Match Analyzer BA'!$B$19,BA!$A$2:$A$46,0))</f>
        <v>0</v>
      </c>
      <c r="X19" s="26">
        <f>INDEX(BA!AE2:AE46,MATCH('Match Analyzer BA'!$B$19,BA!$A$2:$A$46,0))</f>
        <v>2</v>
      </c>
      <c r="Y19" s="26">
        <f>INDEX(BA!W2:W46,MATCH('Match Analyzer BA'!$B$19,BA!$A$2:$A$46,0))</f>
        <v>3</v>
      </c>
      <c r="Z19" s="26">
        <f>INDEX(BA!O2:O46,MATCH('Match Analyzer BA'!$B$19,BA!$A$2:$A$46,0))</f>
        <v>2</v>
      </c>
      <c r="AA19" s="26">
        <f>INDEX(BA!X2:X46,MATCH('Match Analyzer BA'!$B$19,BA!$A$2:$A$46,0))</f>
        <v>0</v>
      </c>
      <c r="AB19" s="26">
        <f>INDEX(BA!Z2:Z46,MATCH('Match Analyzer BA'!$B$19,BA!$A$2:$A$46,0))</f>
        <v>0</v>
      </c>
      <c r="AC19" s="26">
        <f>INDEX(BA!N2:N46,MATCH('Match Analyzer BA'!$B$19,BA!$A$2:$A$46,0))</f>
        <v>0</v>
      </c>
      <c r="AD19" s="26">
        <f>INDEX(BA!Y2:Y46,MATCH('Match Analyzer BA'!$B$19,BA!$A$2:$A$46,0))</f>
        <v>0</v>
      </c>
      <c r="AE19" s="26">
        <f>INDEX(BA!AH2:AH46,MATCH('Match Analyzer BA'!$B$19,BA!$A$2:$A$46,0))</f>
        <v>0</v>
      </c>
      <c r="AF19" s="26">
        <f>INDEX(BA!AC2:AC46,MATCH('Match Analyzer BA'!$B$19,BA!$A$2:$A$46,0))</f>
        <v>0</v>
      </c>
      <c r="AG19" s="26">
        <f>INDEX(BA!S2:S46,MATCH('Match Analyzer BA'!$B$19,BA!$A$2:$A$46,0))</f>
        <v>0</v>
      </c>
      <c r="AH19" s="14">
        <f>INDEX(BA!R2:R46,MATCH('Match Analyzer BA'!$B$19,BA!$A$2:$A$46,0))</f>
        <v>0</v>
      </c>
    </row>
    <row r="20" spans="1:34" x14ac:dyDescent="0.25">
      <c r="A20" s="89"/>
      <c r="B20" s="7" t="s">
        <v>19</v>
      </c>
      <c r="C20" s="13">
        <f>INDEX(BA!B2:B46,MATCH('Match Analyzer BA'!$B$20,BA!$A$2:$A$46,0))</f>
        <v>88</v>
      </c>
      <c r="D20" s="59">
        <f>INDEX(BA!C2:C46,MATCH('Match Analyzer BA'!$B$20,BA!$A$2:$A$46,0))</f>
        <v>8</v>
      </c>
      <c r="E20" s="14">
        <f>INDEX(BA!D2:D46,MATCH('Match Analyzer BA'!$B$20,BA!$A$2:$A$46,0))</f>
        <v>11</v>
      </c>
      <c r="F20" s="13">
        <f>INDEX(BA!E2:E46,MATCH('Match Analyzer BA'!$B$20,BA!$A$2:$A$46,0))</f>
        <v>9</v>
      </c>
      <c r="G20" s="26">
        <f>INDEX(BA!F2:F46,MATCH('Match Analyzer BA'!$B$20,BA!$A$2:$A$46,0))</f>
        <v>2</v>
      </c>
      <c r="H20" s="27">
        <f>INDEX(BA!G2:G46,MATCH('Match Analyzer BA'!$B$20,BA!$A$2:$A$46,0))</f>
        <v>0.81818181818181823</v>
      </c>
      <c r="I20" s="13">
        <f>INDEX(BA!H2:H46,MATCH('Match Analyzer BA'!$B$20,BA!$A$2:$A$46,0))</f>
        <v>30</v>
      </c>
      <c r="J20" s="26">
        <f>INDEX(BA!I2:I46,MATCH('Match Analyzer BA'!$B$20,BA!$A$2:$A$46,0))</f>
        <v>16</v>
      </c>
      <c r="K20" s="27">
        <f>INDEX(BA!J2:J46,MATCH('Match Analyzer BA'!$B$20,BA!$A$2:$A$46,0))</f>
        <v>0.65217391304347827</v>
      </c>
      <c r="L20" s="13">
        <f>INDEX(BA!K2:K46,MATCH('Match Analyzer BA'!$B$20,BA!$A$2:$A$46,0))</f>
        <v>106</v>
      </c>
      <c r="M20" s="26">
        <f>INDEX(BA!L2:L46,MATCH('Match Analyzer BA'!$B$20,BA!$A$2:$A$46,0))</f>
        <v>79</v>
      </c>
      <c r="N20" s="27">
        <f>INDEX(BA!M2:M46,MATCH('Match Analyzer BA'!$B$20,BA!$A$2:$A$46,0))</f>
        <v>0.572972972972973</v>
      </c>
      <c r="O20" s="13">
        <f>INDEX(BA!V2:V46,MATCH('Match Analyzer BA'!$B$20,BA!$A$2:$A$46,0))</f>
        <v>1</v>
      </c>
      <c r="P20" s="26">
        <f>INDEX(BA!Q2:Q46,MATCH('Match Analyzer BA'!$B$20,BA!$A$2:$A$46,0))</f>
        <v>2</v>
      </c>
      <c r="Q20" s="26">
        <f>INDEX(BA!U2:U46,MATCH('Match Analyzer BA'!$B$20,BA!$A$2:$A$46,0))</f>
        <v>1</v>
      </c>
      <c r="R20" s="26">
        <f>INDEX(BA!AB2:AB46,MATCH('Match Analyzer BA'!$B$20,BA!$A$2:$A$46,0))</f>
        <v>3</v>
      </c>
      <c r="S20" s="26">
        <f>INDEX(BA!T2:T46,MATCH('Match Analyzer BA'!$B$20,BA!$A$2:$A$46,0))</f>
        <v>1</v>
      </c>
      <c r="T20" s="26">
        <f>INDEX(BA!AD2:AD46,MATCH('Match Analyzer BA'!$B$20,BA!$A$2:$A$46,0))</f>
        <v>5</v>
      </c>
      <c r="U20" s="26">
        <f>INDEX(BA!AA2:AA46,MATCH('Match Analyzer BA'!$B$20,BA!$A$2:$A$46,0))</f>
        <v>2</v>
      </c>
      <c r="V20" s="26">
        <f>INDEX(BA!AF2:AF46,MATCH('Match Analyzer BA'!$B$20,BA!$A$2:$A$46,0))</f>
        <v>3</v>
      </c>
      <c r="W20" s="26">
        <f>INDEX(BA!P2:P46,MATCH('Match Analyzer BA'!$B$20,BA!$A$2:$A$46,0))</f>
        <v>2</v>
      </c>
      <c r="X20" s="26">
        <f>INDEX(BA!AE2:AE46,MATCH('Match Analyzer BA'!$B$20,BA!$A$2:$A$46,0))</f>
        <v>3</v>
      </c>
      <c r="Y20" s="26">
        <f>INDEX(BA!W2:W46,MATCH('Match Analyzer BA'!$B$20,BA!$A$2:$A$46,0))</f>
        <v>2</v>
      </c>
      <c r="Z20" s="26">
        <f>INDEX(BA!O2:O46,MATCH('Match Analyzer BA'!$B$20,BA!$A$2:$A$46,0))</f>
        <v>1</v>
      </c>
      <c r="AA20" s="26">
        <f>INDEX(BA!X2:X46,MATCH('Match Analyzer BA'!$B$20,BA!$A$2:$A$46,0))</f>
        <v>1</v>
      </c>
      <c r="AB20" s="26">
        <f>INDEX(BA!Z2:Z46,MATCH('Match Analyzer BA'!$B$20,BA!$A$2:$A$46,0))</f>
        <v>1</v>
      </c>
      <c r="AC20" s="26">
        <f>INDEX(BA!N2:N46,MATCH('Match Analyzer BA'!$B$20,BA!$A$2:$A$46,0))</f>
        <v>1</v>
      </c>
      <c r="AD20" s="26">
        <f>INDEX(BA!Y2:Y46,MATCH('Match Analyzer BA'!$B$20,BA!$A$2:$A$46,0))</f>
        <v>0</v>
      </c>
      <c r="AE20" s="26">
        <f>INDEX(BA!AH2:AH46,MATCH('Match Analyzer BA'!$B$20,BA!$A$2:$A$46,0))</f>
        <v>1</v>
      </c>
      <c r="AF20" s="26">
        <f>INDEX(BA!AC2:AC46,MATCH('Match Analyzer BA'!$B$20,BA!$A$2:$A$46,0))</f>
        <v>0</v>
      </c>
      <c r="AG20" s="26">
        <f>INDEX(BA!S2:S46,MATCH('Match Analyzer BA'!$B$20,BA!$A$2:$A$46,0))</f>
        <v>0</v>
      </c>
      <c r="AH20" s="14">
        <f>INDEX(BA!R2:R46,MATCH('Match Analyzer BA'!$B$20,BA!$A$2:$A$46,0))</f>
        <v>0</v>
      </c>
    </row>
    <row r="21" spans="1:34" x14ac:dyDescent="0.25">
      <c r="A21" s="89"/>
      <c r="B21" s="7" t="s">
        <v>3</v>
      </c>
      <c r="C21" s="13">
        <f>INDEX(BA!B2:B46,MATCH('Match Analyzer BA'!$B$21,BA!$A$2:$A$46,0))</f>
        <v>166</v>
      </c>
      <c r="D21" s="59">
        <f>INDEX(BA!C2:C46,MATCH('Match Analyzer BA'!$B$21,BA!$A$2:$A$46,0))</f>
        <v>23.714285714285715</v>
      </c>
      <c r="E21" s="14">
        <f>INDEX(BA!D2:D46,MATCH('Match Analyzer BA'!$B$21,BA!$A$2:$A$46,0))</f>
        <v>27</v>
      </c>
      <c r="F21" s="13">
        <f>INDEX(BA!E2:E46,MATCH('Match Analyzer BA'!$B$21,BA!$A$2:$A$46,0))</f>
        <v>2</v>
      </c>
      <c r="G21" s="26">
        <f>INDEX(BA!F2:F46,MATCH('Match Analyzer BA'!$B$21,BA!$A$2:$A$46,0))</f>
        <v>5</v>
      </c>
      <c r="H21" s="27">
        <f>INDEX(BA!G2:G46,MATCH('Match Analyzer BA'!$B$21,BA!$A$2:$A$46,0))</f>
        <v>0.2857142857142857</v>
      </c>
      <c r="I21" s="13">
        <f>INDEX(BA!H2:H46,MATCH('Match Analyzer BA'!$B$21,BA!$A$2:$A$46,0))</f>
        <v>16</v>
      </c>
      <c r="J21" s="26">
        <f>INDEX(BA!I2:I46,MATCH('Match Analyzer BA'!$B$21,BA!$A$2:$A$46,0))</f>
        <v>20</v>
      </c>
      <c r="K21" s="27">
        <f>INDEX(BA!J2:J46,MATCH('Match Analyzer BA'!$B$21,BA!$A$2:$A$46,0))</f>
        <v>0.44444444444444442</v>
      </c>
      <c r="L21" s="13">
        <f>INDEX(BA!K2:K46,MATCH('Match Analyzer BA'!$B$21,BA!$A$2:$A$46,0))</f>
        <v>74</v>
      </c>
      <c r="M21" s="26">
        <f>INDEX(BA!L2:L46,MATCH('Match Analyzer BA'!$B$21,BA!$A$2:$A$46,0))</f>
        <v>83</v>
      </c>
      <c r="N21" s="27">
        <f>INDEX(BA!M2:M46,MATCH('Match Analyzer BA'!$B$21,BA!$A$2:$A$46,0))</f>
        <v>0.4713375796178344</v>
      </c>
      <c r="O21" s="13">
        <f>INDEX(BA!V2:V46,MATCH('Match Analyzer BA'!$B$21,BA!$A$2:$A$46,0))</f>
        <v>0</v>
      </c>
      <c r="P21" s="26">
        <f>INDEX(BA!Q2:Q46,MATCH('Match Analyzer BA'!$B$21,BA!$A$2:$A$46,0))</f>
        <v>1</v>
      </c>
      <c r="Q21" s="26">
        <f>INDEX(BA!U2:U46,MATCH('Match Analyzer BA'!$B$21,BA!$A$2:$A$46,0))</f>
        <v>0</v>
      </c>
      <c r="R21" s="26">
        <f>INDEX(BA!AB2:AB46,MATCH('Match Analyzer BA'!$B$21,BA!$A$2:$A$46,0))</f>
        <v>1</v>
      </c>
      <c r="S21" s="26">
        <f>INDEX(BA!T2:T46,MATCH('Match Analyzer BA'!$B$21,BA!$A$2:$A$46,0))</f>
        <v>0</v>
      </c>
      <c r="T21" s="26">
        <f>INDEX(BA!AD2:AD46,MATCH('Match Analyzer BA'!$B$21,BA!$A$2:$A$46,0))</f>
        <v>1</v>
      </c>
      <c r="U21" s="26">
        <f>INDEX(BA!AA2:AA46,MATCH('Match Analyzer BA'!$B$21,BA!$A$2:$A$46,0))</f>
        <v>2</v>
      </c>
      <c r="V21" s="26">
        <f>INDEX(BA!AF2:AF46,MATCH('Match Analyzer BA'!$B$21,BA!$A$2:$A$46,0))</f>
        <v>2</v>
      </c>
      <c r="W21" s="26">
        <f>INDEX(BA!P2:P46,MATCH('Match Analyzer BA'!$B$21,BA!$A$2:$A$46,0))</f>
        <v>2</v>
      </c>
      <c r="X21" s="26">
        <f>INDEX(BA!AE2:AE46,MATCH('Match Analyzer BA'!$B$21,BA!$A$2:$A$46,0))</f>
        <v>3</v>
      </c>
      <c r="Y21" s="26">
        <f>INDEX(BA!W2:W46,MATCH('Match Analyzer BA'!$B$21,BA!$A$2:$A$46,0))</f>
        <v>1</v>
      </c>
      <c r="Z21" s="26">
        <f>INDEX(BA!O2:O46,MATCH('Match Analyzer BA'!$B$21,BA!$A$2:$A$46,0))</f>
        <v>2</v>
      </c>
      <c r="AA21" s="26">
        <f>INDEX(BA!X2:X46,MATCH('Match Analyzer BA'!$B$21,BA!$A$2:$A$46,0))</f>
        <v>0</v>
      </c>
      <c r="AB21" s="26">
        <f>INDEX(BA!Z2:Z46,MATCH('Match Analyzer BA'!$B$21,BA!$A$2:$A$46,0))</f>
        <v>0</v>
      </c>
      <c r="AC21" s="26">
        <f>INDEX(BA!N2:N46,MATCH('Match Analyzer BA'!$B$21,BA!$A$2:$A$46,0))</f>
        <v>0</v>
      </c>
      <c r="AD21" s="26">
        <f>INDEX(BA!Y2:Y46,MATCH('Match Analyzer BA'!$B$21,BA!$A$2:$A$46,0))</f>
        <v>0</v>
      </c>
      <c r="AE21" s="26">
        <f>INDEX(BA!AH2:AH46,MATCH('Match Analyzer BA'!$B$21,BA!$A$2:$A$46,0))</f>
        <v>0</v>
      </c>
      <c r="AF21" s="26">
        <f>INDEX(BA!AC2:AC46,MATCH('Match Analyzer BA'!$B$21,BA!$A$2:$A$46,0))</f>
        <v>0</v>
      </c>
      <c r="AG21" s="26">
        <f>INDEX(BA!S2:S46,MATCH('Match Analyzer BA'!$B$21,BA!$A$2:$A$46,0))</f>
        <v>1</v>
      </c>
      <c r="AH21" s="14">
        <f>INDEX(BA!R2:R46,MATCH('Match Analyzer BA'!$B$21,BA!$A$2:$A$46,0))</f>
        <v>0</v>
      </c>
    </row>
    <row r="22" spans="1:34" x14ac:dyDescent="0.25">
      <c r="A22" s="89"/>
      <c r="B22" s="7" t="s">
        <v>14</v>
      </c>
      <c r="C22" s="13">
        <f>INDEX(BA!B2:B46,MATCH('Match Analyzer BA'!$B$22,BA!$A$2:$A$46,0))</f>
        <v>183</v>
      </c>
      <c r="D22" s="59">
        <f>INDEX(BA!C2:C46,MATCH('Match Analyzer BA'!$B$22,BA!$A$2:$A$46,0))</f>
        <v>16.636363636363637</v>
      </c>
      <c r="E22" s="14">
        <f>INDEX(BA!D2:D46,MATCH('Match Analyzer BA'!$B$22,BA!$A$2:$A$46,0))</f>
        <v>25</v>
      </c>
      <c r="F22" s="13">
        <f>INDEX(BA!E2:E46,MATCH('Match Analyzer BA'!$B$22,BA!$A$2:$A$46,0))</f>
        <v>5</v>
      </c>
      <c r="G22" s="26">
        <f>INDEX(BA!F2:F46,MATCH('Match Analyzer BA'!$B$22,BA!$A$2:$A$46,0))</f>
        <v>6</v>
      </c>
      <c r="H22" s="27">
        <f>INDEX(BA!G2:G46,MATCH('Match Analyzer BA'!$B$22,BA!$A$2:$A$46,0))</f>
        <v>0.45454545454545453</v>
      </c>
      <c r="I22" s="13">
        <f>INDEX(BA!H2:H46,MATCH('Match Analyzer BA'!$B$22,BA!$A$2:$A$46,0))</f>
        <v>22</v>
      </c>
      <c r="J22" s="26">
        <f>INDEX(BA!I2:I46,MATCH('Match Analyzer BA'!$B$22,BA!$A$2:$A$46,0))</f>
        <v>26</v>
      </c>
      <c r="K22" s="27">
        <f>INDEX(BA!J2:J46,MATCH('Match Analyzer BA'!$B$22,BA!$A$2:$A$46,0))</f>
        <v>0.45833333333333331</v>
      </c>
      <c r="L22" s="13">
        <f>INDEX(BA!K2:K46,MATCH('Match Analyzer BA'!$B$22,BA!$A$2:$A$46,0))</f>
        <v>94</v>
      </c>
      <c r="M22" s="26">
        <f>INDEX(BA!L2:L46,MATCH('Match Analyzer BA'!$B$22,BA!$A$2:$A$46,0))</f>
        <v>96</v>
      </c>
      <c r="N22" s="27">
        <f>INDEX(BA!M2:M46,MATCH('Match Analyzer BA'!$B$22,BA!$A$2:$A$46,0))</f>
        <v>0.49473684210526314</v>
      </c>
      <c r="O22" s="13">
        <f>INDEX(BA!V2:V46,MATCH('Match Analyzer BA'!$B$22,BA!$A$2:$A$46,0))</f>
        <v>1</v>
      </c>
      <c r="P22" s="26">
        <f>INDEX(BA!Q2:Q46,MATCH('Match Analyzer BA'!$B$22,BA!$A$2:$A$46,0))</f>
        <v>0</v>
      </c>
      <c r="Q22" s="26">
        <f>INDEX(BA!U2:U46,MATCH('Match Analyzer BA'!$B$22,BA!$A$2:$A$46,0))</f>
        <v>1</v>
      </c>
      <c r="R22" s="26">
        <f>INDEX(BA!AB2:AB46,MATCH('Match Analyzer BA'!$B$22,BA!$A$2:$A$46,0))</f>
        <v>5</v>
      </c>
      <c r="S22" s="26">
        <f>INDEX(BA!T2:T46,MATCH('Match Analyzer BA'!$B$22,BA!$A$2:$A$46,0))</f>
        <v>2</v>
      </c>
      <c r="T22" s="26">
        <f>INDEX(BA!AD2:AD46,MATCH('Match Analyzer BA'!$B$22,BA!$A$2:$A$46,0))</f>
        <v>3</v>
      </c>
      <c r="U22" s="26">
        <f>INDEX(BA!AA2:AA46,MATCH('Match Analyzer BA'!$B$22,BA!$A$2:$A$46,0))</f>
        <v>1</v>
      </c>
      <c r="V22" s="26">
        <f>INDEX(BA!AF2:AF46,MATCH('Match Analyzer BA'!$B$22,BA!$A$2:$A$46,0))</f>
        <v>0</v>
      </c>
      <c r="W22" s="26">
        <f>INDEX(BA!P2:P46,MATCH('Match Analyzer BA'!$B$22,BA!$A$2:$A$46,0))</f>
        <v>0</v>
      </c>
      <c r="X22" s="26">
        <f>INDEX(BA!AE2:AE46,MATCH('Match Analyzer BA'!$B$22,BA!$A$2:$A$46,0))</f>
        <v>2</v>
      </c>
      <c r="Y22" s="26">
        <f>INDEX(BA!W2:W46,MATCH('Match Analyzer BA'!$B$22,BA!$A$2:$A$46,0))</f>
        <v>1</v>
      </c>
      <c r="Z22" s="26">
        <f>INDEX(BA!O2:O46,MATCH('Match Analyzer BA'!$B$22,BA!$A$2:$A$46,0))</f>
        <v>1</v>
      </c>
      <c r="AA22" s="26">
        <f>INDEX(BA!X2:X46,MATCH('Match Analyzer BA'!$B$22,BA!$A$2:$A$46,0))</f>
        <v>0</v>
      </c>
      <c r="AB22" s="26">
        <f>INDEX(BA!Z2:Z46,MATCH('Match Analyzer BA'!$B$22,BA!$A$2:$A$46,0))</f>
        <v>1</v>
      </c>
      <c r="AC22" s="26">
        <f>INDEX(BA!N2:N46,MATCH('Match Analyzer BA'!$B$22,BA!$A$2:$A$46,0))</f>
        <v>1</v>
      </c>
      <c r="AD22" s="26">
        <f>INDEX(BA!Y2:Y46,MATCH('Match Analyzer BA'!$B$22,BA!$A$2:$A$46,0))</f>
        <v>2</v>
      </c>
      <c r="AE22" s="26">
        <f>INDEX(BA!AH2:AH46,MATCH('Match Analyzer BA'!$B$22,BA!$A$2:$A$46,0))</f>
        <v>0</v>
      </c>
      <c r="AF22" s="26">
        <f>INDEX(BA!AC2:AC46,MATCH('Match Analyzer BA'!$B$22,BA!$A$2:$A$46,0))</f>
        <v>1</v>
      </c>
      <c r="AG22" s="26">
        <f>INDEX(BA!S2:S46,MATCH('Match Analyzer BA'!$B$22,BA!$A$2:$A$46,0))</f>
        <v>0</v>
      </c>
      <c r="AH22" s="14">
        <f>INDEX(BA!R2:R46,MATCH('Match Analyzer BA'!$B$22,BA!$A$2:$A$46,0))</f>
        <v>0</v>
      </c>
    </row>
    <row r="23" spans="1:34" x14ac:dyDescent="0.25">
      <c r="A23" s="89"/>
      <c r="B23" s="7" t="s">
        <v>80</v>
      </c>
      <c r="C23" s="13">
        <f>INDEX(BA!B2:B46,MATCH('Match Analyzer BA'!$B$23,BA!$A$2:$A$46,0))</f>
        <v>0</v>
      </c>
      <c r="D23" s="59">
        <f>INDEX(BA!C2:C46,MATCH('Match Analyzer BA'!$B$23,BA!$A$2:$A$46,0))</f>
        <v>0</v>
      </c>
      <c r="E23" s="14">
        <f>INDEX(BA!D2:D46,MATCH('Match Analyzer BA'!$B$23,BA!$A$2:$A$46,0))</f>
        <v>0</v>
      </c>
      <c r="F23" s="13">
        <f>INDEX(BA!E2:E46,MATCH('Match Analyzer BA'!$B$23,BA!$A$2:$A$46,0))</f>
        <v>0</v>
      </c>
      <c r="G23" s="26">
        <f>INDEX(BA!F2:F46,MATCH('Match Analyzer BA'!$B$23,BA!$A$2:$A$46,0))</f>
        <v>0</v>
      </c>
      <c r="H23" s="27" t="str">
        <f>INDEX(BA!G2:G46,MATCH('Match Analyzer BA'!$B$23,BA!$A$2:$A$46,0))</f>
        <v>-</v>
      </c>
      <c r="I23" s="13">
        <f>INDEX(BA!H2:H46,MATCH('Match Analyzer BA'!$B$23,BA!$A$2:$A$46,0))</f>
        <v>0</v>
      </c>
      <c r="J23" s="26">
        <f>INDEX(BA!I2:I46,MATCH('Match Analyzer BA'!$B$23,BA!$A$2:$A$46,0))</f>
        <v>0</v>
      </c>
      <c r="K23" s="27" t="str">
        <f>INDEX(BA!J2:J46,MATCH('Match Analyzer BA'!$B$23,BA!$A$2:$A$46,0))</f>
        <v>-</v>
      </c>
      <c r="L23" s="13">
        <f>INDEX(BA!K2:K46,MATCH('Match Analyzer BA'!$B$23,BA!$A$2:$A$46,0))</f>
        <v>0</v>
      </c>
      <c r="M23" s="26">
        <f>INDEX(BA!L2:L46,MATCH('Match Analyzer BA'!$B$23,BA!$A$2:$A$46,0))</f>
        <v>0</v>
      </c>
      <c r="N23" s="27" t="str">
        <f>INDEX(BA!M2:M46,MATCH('Match Analyzer BA'!$B$23,BA!$A$2:$A$46,0))</f>
        <v>-</v>
      </c>
      <c r="O23" s="13">
        <f>INDEX(BA!V2:V46,MATCH('Match Analyzer BA'!$B$23,BA!$A$2:$A$46,0))</f>
        <v>0</v>
      </c>
      <c r="P23" s="26">
        <f>INDEX(BA!Q2:Q46,MATCH('Match Analyzer BA'!$B$23,BA!$A$2:$A$46,0))</f>
        <v>0</v>
      </c>
      <c r="Q23" s="26">
        <f>INDEX(BA!U2:U46,MATCH('Match Analyzer BA'!$B$23,BA!$A$2:$A$46,0))</f>
        <v>0</v>
      </c>
      <c r="R23" s="26">
        <f>INDEX(BA!AB2:AB46,MATCH('Match Analyzer BA'!$B$23,BA!$A$2:$A$46,0))</f>
        <v>0</v>
      </c>
      <c r="S23" s="26">
        <f>INDEX(BA!T2:T46,MATCH('Match Analyzer BA'!$B$23,BA!$A$2:$A$46,0))</f>
        <v>0</v>
      </c>
      <c r="T23" s="26">
        <f>INDEX(BA!AD2:AD46,MATCH('Match Analyzer BA'!$B$23,BA!$A$2:$A$46,0))</f>
        <v>0</v>
      </c>
      <c r="U23" s="26">
        <f>INDEX(BA!AA2:AA46,MATCH('Match Analyzer BA'!$B$23,BA!$A$2:$A$46,0))</f>
        <v>0</v>
      </c>
      <c r="V23" s="26">
        <f>INDEX(BA!AF2:AF46,MATCH('Match Analyzer BA'!$B$23,BA!$A$2:$A$46,0))</f>
        <v>0</v>
      </c>
      <c r="W23" s="26">
        <f>INDEX(BA!P2:P46,MATCH('Match Analyzer BA'!$B$23,BA!$A$2:$A$46,0))</f>
        <v>0</v>
      </c>
      <c r="X23" s="26">
        <f>INDEX(BA!AE2:AE46,MATCH('Match Analyzer BA'!$B$23,BA!$A$2:$A$46,0))</f>
        <v>0</v>
      </c>
      <c r="Y23" s="26">
        <f>INDEX(BA!W2:W46,MATCH('Match Analyzer BA'!$B$23,BA!$A$2:$A$46,0))</f>
        <v>0</v>
      </c>
      <c r="Z23" s="26">
        <f>INDEX(BA!O2:O46,MATCH('Match Analyzer BA'!$B$23,BA!$A$2:$A$46,0))</f>
        <v>0</v>
      </c>
      <c r="AA23" s="26">
        <f>INDEX(BA!X2:X46,MATCH('Match Analyzer BA'!$B$23,BA!$A$2:$A$46,0))</f>
        <v>0</v>
      </c>
      <c r="AB23" s="26">
        <f>INDEX(BA!Z2:Z46,MATCH('Match Analyzer BA'!$B$23,BA!$A$2:$A$46,0))</f>
        <v>0</v>
      </c>
      <c r="AC23" s="26">
        <f>INDEX(BA!N2:N46,MATCH('Match Analyzer BA'!$B$23,BA!$A$2:$A$46,0))</f>
        <v>0</v>
      </c>
      <c r="AD23" s="26">
        <f>INDEX(BA!Y2:Y46,MATCH('Match Analyzer BA'!$B$23,BA!$A$2:$A$46,0))</f>
        <v>0</v>
      </c>
      <c r="AE23" s="26">
        <f>INDEX(BA!AH2:AH46,MATCH('Match Analyzer BA'!$B$23,BA!$A$2:$A$46,0))</f>
        <v>0</v>
      </c>
      <c r="AF23" s="26">
        <f>INDEX(BA!AC2:AC46,MATCH('Match Analyzer BA'!$B$23,BA!$A$2:$A$46,0))</f>
        <v>0</v>
      </c>
      <c r="AG23" s="26">
        <f>INDEX(BA!S2:S46,MATCH('Match Analyzer BA'!$B$23,BA!$A$2:$A$46,0))</f>
        <v>0</v>
      </c>
      <c r="AH23" s="14">
        <f>INDEX(BA!R2:R46,MATCH('Match Analyzer BA'!$B$23,BA!$A$2:$A$46,0))</f>
        <v>0</v>
      </c>
    </row>
    <row r="24" spans="1:34" ht="15.75" thickBot="1" x14ac:dyDescent="0.3">
      <c r="A24" s="89"/>
      <c r="B24" s="7" t="s">
        <v>80</v>
      </c>
      <c r="C24" s="17">
        <f>INDEX(BA!B2:B46,MATCH('Match Analyzer BA'!$B$24,BA!$A$2:$A$46,0))</f>
        <v>0</v>
      </c>
      <c r="D24" s="60">
        <f>INDEX('Old Bow'!E2:E37, MATCH($B$24, 'Old Bow'!$A$2:$A$37, 0))</f>
        <v>0</v>
      </c>
      <c r="E24" s="18">
        <f>INDEX('Old Bow'!F2:F37, MATCH($B$24, 'Old Bow'!$A$2:$A$37, 0))</f>
        <v>0</v>
      </c>
      <c r="F24" s="17">
        <f>INDEX('Old Bow'!G2:G37, MATCH($B$24, 'Old Bow'!$A$2:$A$37, 0))</f>
        <v>0</v>
      </c>
      <c r="G24" s="29">
        <f>INDEX('Old Bow'!H2:H37, MATCH($B$24, 'Old Bow'!$A$2:$A$37, 0))</f>
        <v>0</v>
      </c>
      <c r="H24" s="30" t="str">
        <f>INDEX('Old Bow'!I2:I37, MATCH($B$24, 'Old Bow'!$A$2:$A$37, 0))</f>
        <v>-</v>
      </c>
      <c r="I24" s="17">
        <f>INDEX('Old Bow'!J2:J37, MATCH($B$24, 'Old Bow'!$A$2:$A$37, 0))</f>
        <v>0</v>
      </c>
      <c r="J24" s="29">
        <f>INDEX('Old Bow'!K2:K37, MATCH($B$24, 'Old Bow'!$A$2:$A$37, 0))</f>
        <v>0</v>
      </c>
      <c r="K24" s="30" t="str">
        <f>INDEX('Old Bow'!L2:L37, MATCH($B$24, 'Old Bow'!$A$2:$A$37, 0))</f>
        <v>-</v>
      </c>
      <c r="L24" s="17">
        <f>INDEX('Old Bow'!M2:M37, MATCH($B$24, 'Old Bow'!$A$2:$A$37, 0))</f>
        <v>0</v>
      </c>
      <c r="M24" s="29">
        <f>INDEX('Old Bow'!N2:N37, MATCH($B$24, 'Old Bow'!$A$2:$A$37, 0))</f>
        <v>0</v>
      </c>
      <c r="N24" s="30" t="str">
        <f>INDEX('Old Bow'!O2:O37, MATCH($B$24, 'Old Bow'!$A$2:$A$37, 0))</f>
        <v>-</v>
      </c>
      <c r="O24" s="17">
        <f>INDEX('Old Bow'!AA2:AA37, MATCH($B$24, 'Old Bow'!$A$2:$A$37, 0))</f>
        <v>0</v>
      </c>
      <c r="P24" s="29">
        <f>INDEX('Old Bow'!R2:R37, MATCH($B$24, 'Old Bow'!$A$2:$A$37, 0))</f>
        <v>0</v>
      </c>
      <c r="Q24" s="29">
        <f>INDEX('Old Bow'!AC2:AC37, MATCH($B$24, 'Old Bow'!$A$2:$A$37, 0))</f>
        <v>0</v>
      </c>
      <c r="R24" s="29">
        <f>INDEX('Old Bow'!Q2:Q37, MATCH($B$24, 'Old Bow'!$A$2:$A$37, 0))</f>
        <v>0</v>
      </c>
      <c r="S24" s="29">
        <f>INDEX('Old Bow'!AB2:AB37, MATCH($B$24, 'Old Bow'!$A$2:$A$37, 0))</f>
        <v>0</v>
      </c>
      <c r="T24" s="29">
        <f>INDEX('Old Bow'!W2:W37, MATCH($B$24, 'Old Bow'!$A$2:$A$37, 0))</f>
        <v>0</v>
      </c>
      <c r="U24" s="29">
        <f>INDEX('Old Bow'!U2:U37, MATCH($B$24, 'Old Bow'!$A$2:$A$37, 0))</f>
        <v>0</v>
      </c>
      <c r="V24" s="29">
        <f>INDEX('Old Bow'!S2:S37, MATCH($B$24, 'Old Bow'!$A$2:$A$37, 0))</f>
        <v>0</v>
      </c>
      <c r="W24" s="29">
        <f>INDEX('Old Bow'!V2:V37, MATCH($B$24, 'Old Bow'!$A$2:$A$37, 0))</f>
        <v>0</v>
      </c>
      <c r="X24" s="29">
        <f>INDEX('Old Bow'!AD2:AD37, MATCH($B$24, 'Old Bow'!$A$2:$A$37, 0))</f>
        <v>0</v>
      </c>
      <c r="Y24" s="29">
        <f>INDEX('Old Bow'!P2:P37, MATCH($B$24, 'Old Bow'!$A$2:$A$37, 0))</f>
        <v>0</v>
      </c>
      <c r="Z24" s="29">
        <f>INDEX('Old Bow'!T2:T37, MATCH($B$24, 'Old Bow'!$A$2:$A$37, 0))</f>
        <v>0</v>
      </c>
      <c r="AA24" s="29">
        <f>INDEX('Old Bow'!Z2:Z37, MATCH($B$24, 'Old Bow'!$A$2:$A$37, 0))</f>
        <v>0</v>
      </c>
      <c r="AB24" s="29">
        <f>INDEX('Old Bow'!Y2:Y37, MATCH($B$24, 'Old Bow'!$A$2:$A$37, 0))</f>
        <v>0</v>
      </c>
      <c r="AC24" s="29">
        <f>INDEX('Old Bow'!X2:X37, MATCH($B$24, 'Old Bow'!$A$2:$A$37, 0))</f>
        <v>0</v>
      </c>
      <c r="AD24" s="29" t="e">
        <f>INDEX('Old Bow'!#REF!, MATCH($B$24, 'Old Bow'!$A$2:$A$37, 0))</f>
        <v>#REF!</v>
      </c>
      <c r="AE24" s="29">
        <f>INDEX('Old Bow'!AF2:AF37, MATCH($B$24, 'Old Bow'!$A$2:$A$37, 0))</f>
        <v>0</v>
      </c>
      <c r="AF24" s="29">
        <f>INDEX('Old Bow'!AG2:AG37, MATCH($B$24, 'Old Bow'!$A$2:$A$37, 0))</f>
        <v>0</v>
      </c>
      <c r="AG24" s="29">
        <f>INDEX('Old Bow'!AH2:AH37, MATCH($B$24, 'Old Bow'!$A$2:$A$37, 0))</f>
        <v>0</v>
      </c>
      <c r="AH24" s="18">
        <f>INDEX('Old Bow'!AI2:AI37, MATCH($B$24, 'Old Bow'!$A$2:$A$37, 0))</f>
        <v>0</v>
      </c>
    </row>
    <row r="25" spans="1:34" x14ac:dyDescent="0.25">
      <c r="D25" s="8">
        <f>SUM(D17:D24)</f>
        <v>88.506664388243351</v>
      </c>
      <c r="H25" s="9">
        <f>AVERAGE(H17:H24)</f>
        <v>0.42546707678286627</v>
      </c>
      <c r="I25" s="1"/>
      <c r="J25" s="1"/>
      <c r="K25" s="9">
        <f>AVERAGE(K17:K24)</f>
        <v>0.46641436226331279</v>
      </c>
      <c r="N25" s="9">
        <f>AVERAGE(N17:N24)</f>
        <v>0.48368152570681344</v>
      </c>
      <c r="O25" s="5">
        <f>SUM(O17:O24)</f>
        <v>3</v>
      </c>
      <c r="P25" s="5">
        <f t="shared" ref="P25:AH25" si="1">SUM(P17:P24)</f>
        <v>8</v>
      </c>
      <c r="Q25" s="5">
        <f t="shared" si="1"/>
        <v>6</v>
      </c>
      <c r="R25" s="5">
        <f t="shared" si="1"/>
        <v>20</v>
      </c>
      <c r="S25" s="5">
        <f t="shared" si="1"/>
        <v>5</v>
      </c>
      <c r="T25" s="5">
        <f t="shared" si="1"/>
        <v>15</v>
      </c>
      <c r="U25" s="5">
        <f t="shared" si="1"/>
        <v>8</v>
      </c>
      <c r="V25" s="5">
        <f t="shared" si="1"/>
        <v>11</v>
      </c>
      <c r="W25" s="5">
        <f t="shared" si="1"/>
        <v>7</v>
      </c>
      <c r="X25" s="5">
        <f t="shared" si="1"/>
        <v>15</v>
      </c>
      <c r="Y25" s="5">
        <f t="shared" si="1"/>
        <v>9</v>
      </c>
      <c r="Z25" s="5">
        <f t="shared" si="1"/>
        <v>13</v>
      </c>
      <c r="AA25" s="5">
        <f t="shared" si="1"/>
        <v>5</v>
      </c>
      <c r="AB25" s="5">
        <f t="shared" si="1"/>
        <v>3</v>
      </c>
      <c r="AC25" s="5">
        <f t="shared" si="1"/>
        <v>2</v>
      </c>
      <c r="AD25" s="5" t="e">
        <f t="shared" si="1"/>
        <v>#REF!</v>
      </c>
      <c r="AE25" s="5">
        <f t="shared" si="1"/>
        <v>3</v>
      </c>
      <c r="AF25" s="5">
        <f t="shared" si="1"/>
        <v>2</v>
      </c>
      <c r="AG25" s="5">
        <f t="shared" si="1"/>
        <v>1</v>
      </c>
      <c r="AH25" s="5">
        <f t="shared" si="1"/>
        <v>1</v>
      </c>
    </row>
    <row r="28" spans="1:34" x14ac:dyDescent="0.25">
      <c r="B28" s="19"/>
      <c r="C28" s="19"/>
      <c r="D28" s="19"/>
    </row>
    <row r="29" spans="1:34" ht="15.75" thickBot="1" x14ac:dyDescent="0.3">
      <c r="B29" s="2"/>
      <c r="C29" s="61" t="s">
        <v>81</v>
      </c>
      <c r="D29" s="62" t="s">
        <v>82</v>
      </c>
    </row>
    <row r="30" spans="1:34" x14ac:dyDescent="0.25">
      <c r="B30" s="12" t="s">
        <v>36</v>
      </c>
      <c r="C30" s="13" t="str">
        <f>IF(D25&gt;D11, "","✔")</f>
        <v/>
      </c>
      <c r="D30" s="14" t="str">
        <f>IF(C30="✔", "", "✔")</f>
        <v>✔</v>
      </c>
    </row>
    <row r="31" spans="1:34" x14ac:dyDescent="0.25">
      <c r="B31" s="15" t="s">
        <v>83</v>
      </c>
      <c r="C31" s="13" t="str">
        <f>IF(H25&gt;H11, "", "✔")</f>
        <v>✔</v>
      </c>
      <c r="D31" s="14" t="str">
        <f>IF(C31="✔", "", "✔")</f>
        <v/>
      </c>
    </row>
    <row r="32" spans="1:34" x14ac:dyDescent="0.25">
      <c r="B32" s="15" t="s">
        <v>84</v>
      </c>
      <c r="C32" s="13" t="str">
        <f>IF(K25&gt;K11, "", "✔")</f>
        <v>✔</v>
      </c>
      <c r="D32" s="14" t="str">
        <f>IF(C32="✔", "", "✔")</f>
        <v/>
      </c>
    </row>
    <row r="33" spans="2:4" x14ac:dyDescent="0.25">
      <c r="B33" s="15" t="s">
        <v>85</v>
      </c>
      <c r="C33" s="13" t="str">
        <f>IF(N25&gt;N11,"","✔")</f>
        <v>✔</v>
      </c>
      <c r="D33" s="14" t="str">
        <f>IF(C33="✔", "", "✔")</f>
        <v/>
      </c>
    </row>
    <row r="34" spans="2:4" ht="18.75" customHeight="1" x14ac:dyDescent="0.25">
      <c r="B34" s="15" t="s">
        <v>86</v>
      </c>
      <c r="C34" s="13" t="str">
        <f>INDEX(O2:AC2, MATCH(LARGE(O11:AC11, 1), O11:AC11, 0))</f>
        <v>Presidio</v>
      </c>
      <c r="D34" s="14" t="str">
        <f>INDEX(O16:AC16, MATCH(LARGE(O25:AC25, 1), O25:AC25, 0))</f>
        <v>Presidio</v>
      </c>
    </row>
    <row r="35" spans="2:4" x14ac:dyDescent="0.25">
      <c r="B35" s="15" t="s">
        <v>87</v>
      </c>
      <c r="C35" s="13" t="str">
        <f>INDEX(O2:AC2, MATCH(LARGE(O11:AC11, 2), O11:AC11, 0))</f>
        <v>Presidio</v>
      </c>
      <c r="D35" s="14" t="str">
        <f>INDEX(O16:AC16, MATCH(LARGE(O25:AC25, 2), O25:AC25, 0))</f>
        <v>Rocket Facility</v>
      </c>
    </row>
    <row r="36" spans="2:4" ht="15.75" thickBot="1" x14ac:dyDescent="0.3">
      <c r="B36" s="16" t="s">
        <v>88</v>
      </c>
      <c r="C36" s="17" t="str">
        <f>INDEX(O2:AC2, MATCH(LARGE(O11:AC11, 3), O11:AC11, 0))</f>
        <v>Streets of Milan</v>
      </c>
      <c r="D36" s="18" t="str">
        <f>INDEX(O16:AC16, MATCH(LARGE(O25:AC25, 3), O25:AC25, 0))</f>
        <v>Rocket Facility</v>
      </c>
    </row>
  </sheetData>
  <mergeCells count="12">
    <mergeCell ref="O1:AC1"/>
    <mergeCell ref="A3:A10"/>
    <mergeCell ref="A17:A24"/>
    <mergeCell ref="C1:E1"/>
    <mergeCell ref="F1:H1"/>
    <mergeCell ref="I1:K1"/>
    <mergeCell ref="L1:N1"/>
    <mergeCell ref="C15:E15"/>
    <mergeCell ref="F15:H15"/>
    <mergeCell ref="I15:K15"/>
    <mergeCell ref="L15:N15"/>
    <mergeCell ref="O15:AC15"/>
  </mergeCells>
  <conditionalFormatting sqref="O11:AH11">
    <cfRule type="colorScale" priority="2">
      <colorScale>
        <cfvo type="min"/>
        <cfvo type="max"/>
        <color rgb="FFFCFCFF"/>
        <color rgb="FF63BE7B"/>
      </colorScale>
    </cfRule>
  </conditionalFormatting>
  <conditionalFormatting sqref="O25:AH25">
    <cfRule type="colorScale" priority="1">
      <colorScale>
        <cfvo type="min"/>
        <cfvo type="max"/>
        <color rgb="FFFCFCFF"/>
        <color rgb="FF63BE7B"/>
      </colorScale>
    </cfRule>
  </conditionalFormatting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promptTitle="Team Builder" prompt="Select Player name from drop down list" xr:uid="{E3F0B27D-B9F0-4BB5-8456-75066D0F630B}">
          <x14:formula1>
            <xm:f>BA!$A$2:$A$46</xm:f>
          </x14:formula1>
          <xm:sqref>B17:B24</xm:sqref>
        </x14:dataValidation>
        <x14:dataValidation type="list" allowBlank="1" showErrorMessage="1" promptTitle="Select Player Name" prompt="Select Player Name" xr:uid="{7CF85145-1224-4D7F-A47C-6F9DFE0593DF}">
          <x14:formula1>
            <xm:f>BA!$A$2:$A$46</xm:f>
          </x14:formula1>
          <xm:sqref>B3:B10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Old Bow v2</vt:lpstr>
      <vt:lpstr>Old Bow</vt:lpstr>
      <vt:lpstr>Old Bow comments</vt:lpstr>
      <vt:lpstr>Match Analyzer Old Bow</vt:lpstr>
      <vt:lpstr>OB History</vt:lpstr>
      <vt:lpstr>BA v2</vt:lpstr>
      <vt:lpstr>BA</vt:lpstr>
      <vt:lpstr>BA History</vt:lpstr>
      <vt:lpstr>BA comments</vt:lpstr>
      <vt:lpstr>Match Analyzer BA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Brett Miller</dc:creator>
  <cp:lastModifiedBy>Brett Miller</cp:lastModifiedBy>
  <dcterms:created xsi:type="dcterms:W3CDTF">2026-02-22T15:52:04Z</dcterms:created>
  <dcterms:modified xsi:type="dcterms:W3CDTF">2026-03-08T22:58:52Z</dcterms:modified>
</cp:coreProperties>
</file>