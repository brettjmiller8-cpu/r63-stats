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536F6CAD-144B-4BA9-93A1-928BAAF62D4F}" xr6:coauthVersionLast="47" xr6:coauthVersionMax="47" xr10:uidLastSave="{00000000-0000-0000-0000-000000000000}"/>
  <bookViews>
    <workbookView xWindow="-120" yWindow="-120" windowWidth="38640" windowHeight="21120" activeTab="11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History'!$A$1:$AJ$901</definedName>
    <definedName name="_xlnm._FilterDatabase" localSheetId="11" hidden="1">'BA History S2'!$A$1:$AJ$185</definedName>
    <definedName name="_xlnm._FilterDatabase" localSheetId="10" hidden="1">'BA S2'!$A$1:$AM$36</definedName>
    <definedName name="_xlnm._FilterDatabase" localSheetId="7" hidden="1">'BA v2'!$A$1:$AM$59</definedName>
    <definedName name="_xlnm._FilterDatabase" localSheetId="1" hidden="1">'OB History'!$A$1:$AD$778</definedName>
    <definedName name="_xlnm._FilterDatabase" localSheetId="3" hidden="1">'OB History S2'!$A$1:$AD$477</definedName>
    <definedName name="_xlnm._FilterDatabase" localSheetId="2" hidden="1">'OB Season 2'!$A$1:$AI$45</definedName>
    <definedName name="_xlnm._FilterDatabase" localSheetId="4" hidden="1">'Old Bow'!$A$1:$AD$37</definedName>
    <definedName name="_xlnm._FilterDatabase" localSheetId="0" hidden="1">'Old Bow v2'!$A$1:$AI$54</definedName>
    <definedName name="_xlnm._FilterDatabase" localSheetId="12" hidden="1">'Tourney History'!$A$1:$AD$159</definedName>
    <definedName name="_xlnm._FilterDatabase" localSheetId="13" hidden="1">'Tourney Stats'!$A$1:$AE$39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8" i="16" l="1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AG250" i="17"/>
  <c r="AH250" i="17"/>
  <c r="AI250" i="17"/>
  <c r="AJ250" i="17"/>
  <c r="AG251" i="17"/>
  <c r="AH251" i="17"/>
  <c r="AI251" i="17"/>
  <c r="AJ251" i="17"/>
  <c r="AG252" i="17"/>
  <c r="AH252" i="17"/>
  <c r="AI252" i="17"/>
  <c r="AJ252" i="17"/>
  <c r="AG253" i="17"/>
  <c r="AH253" i="17"/>
  <c r="AI253" i="17"/>
  <c r="AJ253" i="17"/>
  <c r="AG254" i="17"/>
  <c r="AH254" i="17"/>
  <c r="AI254" i="17"/>
  <c r="AJ254" i="17"/>
  <c r="AG255" i="17"/>
  <c r="AH255" i="17"/>
  <c r="AI255" i="17"/>
  <c r="AJ255" i="17"/>
  <c r="AG256" i="17"/>
  <c r="AH256" i="17"/>
  <c r="AI256" i="17"/>
  <c r="AJ256" i="17"/>
  <c r="AG257" i="17"/>
  <c r="AH257" i="17"/>
  <c r="AI257" i="17"/>
  <c r="AJ257" i="17"/>
  <c r="AG258" i="17"/>
  <c r="AH258" i="17"/>
  <c r="AI258" i="17"/>
  <c r="AJ258" i="17"/>
  <c r="AG259" i="17"/>
  <c r="AH259" i="17"/>
  <c r="AI259" i="17"/>
  <c r="AJ259" i="17"/>
  <c r="AG260" i="17"/>
  <c r="AH260" i="17"/>
  <c r="AI260" i="17"/>
  <c r="AJ260" i="17"/>
  <c r="AG261" i="17"/>
  <c r="AH261" i="17"/>
  <c r="AI261" i="17"/>
  <c r="AJ261" i="17"/>
  <c r="AG954" i="9"/>
  <c r="AH954" i="9"/>
  <c r="AI954" i="9"/>
  <c r="AJ954" i="9"/>
  <c r="AG955" i="9"/>
  <c r="AH955" i="9"/>
  <c r="AI955" i="9"/>
  <c r="AJ955" i="9"/>
  <c r="AG956" i="9"/>
  <c r="AH956" i="9"/>
  <c r="AI956" i="9"/>
  <c r="AJ956" i="9"/>
  <c r="AG957" i="9"/>
  <c r="AH957" i="9"/>
  <c r="AI957" i="9"/>
  <c r="AJ957" i="9"/>
  <c r="AG958" i="9"/>
  <c r="AH958" i="9"/>
  <c r="AI958" i="9"/>
  <c r="AJ958" i="9"/>
  <c r="AG959" i="9"/>
  <c r="AH959" i="9"/>
  <c r="AI959" i="9"/>
  <c r="AJ959" i="9"/>
  <c r="AG960" i="9"/>
  <c r="AH960" i="9"/>
  <c r="AI960" i="9"/>
  <c r="AJ960" i="9"/>
  <c r="AG961" i="9"/>
  <c r="AH961" i="9"/>
  <c r="AI961" i="9"/>
  <c r="AJ961" i="9"/>
  <c r="AG962" i="9"/>
  <c r="AH962" i="9"/>
  <c r="AI962" i="9"/>
  <c r="AJ962" i="9"/>
  <c r="AG963" i="9"/>
  <c r="AH963" i="9"/>
  <c r="AI963" i="9"/>
  <c r="AJ963" i="9"/>
  <c r="AG964" i="9"/>
  <c r="AH964" i="9"/>
  <c r="AI964" i="9"/>
  <c r="AJ964" i="9"/>
  <c r="AG965" i="9"/>
  <c r="AH965" i="9"/>
  <c r="AI965" i="9"/>
  <c r="AJ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R31" i="16"/>
  <c r="F31" i="16"/>
  <c r="G31" i="16"/>
  <c r="H31" i="16" a="1"/>
  <c r="H31" i="16" s="1"/>
  <c r="I31" i="16"/>
  <c r="J31" i="16"/>
  <c r="K31" i="16"/>
  <c r="L31" i="16"/>
  <c r="M31" i="16" s="1"/>
  <c r="N31" i="16"/>
  <c r="O31" i="16"/>
  <c r="P31" i="16" s="1"/>
  <c r="Q31" i="16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F52" i="12"/>
  <c r="G52" i="12"/>
  <c r="H52" i="12" a="1"/>
  <c r="H52" i="12" s="1"/>
  <c r="I52" i="12"/>
  <c r="J52" i="12"/>
  <c r="K52" i="12"/>
  <c r="L52" i="12"/>
  <c r="M52" i="12" s="1"/>
  <c r="N52" i="12"/>
  <c r="O52" i="12"/>
  <c r="P52" i="12" s="1"/>
  <c r="Q52" i="12"/>
  <c r="AG234" i="17"/>
  <c r="AH234" i="17"/>
  <c r="AI234" i="17"/>
  <c r="AJ234" i="17"/>
  <c r="AG235" i="17"/>
  <c r="AH235" i="17"/>
  <c r="AI235" i="17"/>
  <c r="AJ235" i="17"/>
  <c r="AG236" i="17"/>
  <c r="AH236" i="17"/>
  <c r="AI236" i="17"/>
  <c r="AJ236" i="17"/>
  <c r="AG237" i="17"/>
  <c r="AH237" i="17"/>
  <c r="AI237" i="17"/>
  <c r="AJ237" i="17"/>
  <c r="AG238" i="17"/>
  <c r="AH238" i="17"/>
  <c r="AI238" i="17"/>
  <c r="AJ238" i="17"/>
  <c r="AG239" i="17"/>
  <c r="AH239" i="17"/>
  <c r="AI239" i="17"/>
  <c r="AJ239" i="17"/>
  <c r="AG240" i="17"/>
  <c r="AH240" i="17"/>
  <c r="AI240" i="17"/>
  <c r="AJ240" i="17"/>
  <c r="AG241" i="17"/>
  <c r="AH241" i="17"/>
  <c r="AI241" i="17"/>
  <c r="AJ241" i="17"/>
  <c r="AG242" i="17"/>
  <c r="AH242" i="17"/>
  <c r="AI242" i="17"/>
  <c r="AJ242" i="17"/>
  <c r="AG243" i="17"/>
  <c r="AH243" i="17"/>
  <c r="AI243" i="17"/>
  <c r="AJ243" i="17"/>
  <c r="AG244" i="17"/>
  <c r="AH244" i="17"/>
  <c r="AI244" i="17"/>
  <c r="AJ244" i="17"/>
  <c r="AG245" i="17"/>
  <c r="AH245" i="17"/>
  <c r="AI245" i="17"/>
  <c r="AJ245" i="17"/>
  <c r="AG246" i="17"/>
  <c r="AH246" i="17"/>
  <c r="AI246" i="17"/>
  <c r="AJ246" i="17"/>
  <c r="AG247" i="17"/>
  <c r="AH247" i="17"/>
  <c r="AI247" i="17"/>
  <c r="AJ247" i="17"/>
  <c r="AG248" i="17"/>
  <c r="AH248" i="17"/>
  <c r="AI248" i="17"/>
  <c r="AJ248" i="17"/>
  <c r="AG249" i="17"/>
  <c r="AH249" i="17"/>
  <c r="AI249" i="17"/>
  <c r="AJ249" i="17"/>
  <c r="AG938" i="9"/>
  <c r="AH938" i="9"/>
  <c r="AI938" i="9"/>
  <c r="AJ938" i="9"/>
  <c r="AG939" i="9"/>
  <c r="AH939" i="9"/>
  <c r="AI939" i="9"/>
  <c r="AJ939" i="9"/>
  <c r="AG940" i="9"/>
  <c r="AH940" i="9"/>
  <c r="AI940" i="9"/>
  <c r="AJ940" i="9"/>
  <c r="AG941" i="9"/>
  <c r="AH941" i="9"/>
  <c r="AI941" i="9"/>
  <c r="AJ941" i="9"/>
  <c r="AG942" i="9"/>
  <c r="AH942" i="9"/>
  <c r="AI942" i="9"/>
  <c r="AJ942" i="9"/>
  <c r="AG943" i="9"/>
  <c r="AH943" i="9"/>
  <c r="AI943" i="9"/>
  <c r="AJ943" i="9"/>
  <c r="AG944" i="9"/>
  <c r="AH944" i="9"/>
  <c r="AI944" i="9"/>
  <c r="AJ944" i="9"/>
  <c r="AG945" i="9"/>
  <c r="AH945" i="9"/>
  <c r="AI945" i="9"/>
  <c r="AJ945" i="9"/>
  <c r="AG946" i="9"/>
  <c r="AH946" i="9"/>
  <c r="AI946" i="9"/>
  <c r="AJ946" i="9"/>
  <c r="AG947" i="9"/>
  <c r="AH947" i="9"/>
  <c r="AI947" i="9"/>
  <c r="AJ947" i="9"/>
  <c r="AG948" i="9"/>
  <c r="AH948" i="9"/>
  <c r="AI948" i="9"/>
  <c r="AJ948" i="9"/>
  <c r="AG949" i="9"/>
  <c r="AH949" i="9"/>
  <c r="AI949" i="9"/>
  <c r="AJ949" i="9"/>
  <c r="AG950" i="9"/>
  <c r="AH950" i="9"/>
  <c r="AI950" i="9"/>
  <c r="AJ950" i="9"/>
  <c r="AG951" i="9"/>
  <c r="AH951" i="9"/>
  <c r="AI951" i="9"/>
  <c r="AJ951" i="9"/>
  <c r="AG952" i="9"/>
  <c r="AH952" i="9"/>
  <c r="AI952" i="9"/>
  <c r="AJ952" i="9"/>
  <c r="AG953" i="9"/>
  <c r="AH953" i="9"/>
  <c r="AI953" i="9"/>
  <c r="AJ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T33" i="11"/>
  <c r="H33" i="11"/>
  <c r="I33" i="11"/>
  <c r="J33" i="11" a="1"/>
  <c r="J33" i="11" s="1"/>
  <c r="K33" i="11"/>
  <c r="L33" i="11"/>
  <c r="M33" i="11"/>
  <c r="N33" i="11"/>
  <c r="O33" i="11" s="1"/>
  <c r="P33" i="11"/>
  <c r="Q33" i="11"/>
  <c r="R33" i="11" s="1"/>
  <c r="S33" i="1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G222" i="17"/>
  <c r="AH222" i="17"/>
  <c r="AI222" i="17"/>
  <c r="AJ222" i="17"/>
  <c r="AG223" i="17"/>
  <c r="AH223" i="17"/>
  <c r="AI223" i="17"/>
  <c r="AJ223" i="17"/>
  <c r="AG224" i="17"/>
  <c r="AH224" i="17"/>
  <c r="AI224" i="17"/>
  <c r="AJ224" i="17"/>
  <c r="AG225" i="17"/>
  <c r="AH225" i="17"/>
  <c r="AI225" i="17"/>
  <c r="AJ225" i="17"/>
  <c r="AG226" i="17"/>
  <c r="AH226" i="17"/>
  <c r="AI226" i="17"/>
  <c r="AJ226" i="17"/>
  <c r="AG227" i="17"/>
  <c r="AH227" i="17"/>
  <c r="AI227" i="17"/>
  <c r="AJ227" i="17"/>
  <c r="AG228" i="17"/>
  <c r="AH228" i="17"/>
  <c r="AI228" i="17"/>
  <c r="AJ228" i="17"/>
  <c r="AG229" i="17"/>
  <c r="AH229" i="17"/>
  <c r="AI229" i="17"/>
  <c r="AJ229" i="17"/>
  <c r="AG230" i="17"/>
  <c r="AH230" i="17"/>
  <c r="AI230" i="17"/>
  <c r="AJ230" i="17"/>
  <c r="AG231" i="17"/>
  <c r="AH231" i="17"/>
  <c r="AI231" i="17"/>
  <c r="AJ231" i="17"/>
  <c r="AG232" i="17"/>
  <c r="AH232" i="17"/>
  <c r="AI232" i="17"/>
  <c r="AJ232" i="17"/>
  <c r="AG233" i="17"/>
  <c r="AH233" i="17"/>
  <c r="AI233" i="17"/>
  <c r="AJ233" i="17"/>
  <c r="AG926" i="9"/>
  <c r="AH926" i="9"/>
  <c r="AI926" i="9"/>
  <c r="AJ926" i="9"/>
  <c r="AG927" i="9"/>
  <c r="AH927" i="9"/>
  <c r="AI927" i="9"/>
  <c r="AJ927" i="9"/>
  <c r="AG928" i="9"/>
  <c r="AH928" i="9"/>
  <c r="AI928" i="9"/>
  <c r="AJ928" i="9"/>
  <c r="AG929" i="9"/>
  <c r="AH929" i="9"/>
  <c r="AI929" i="9"/>
  <c r="AJ929" i="9"/>
  <c r="AG930" i="9"/>
  <c r="AH930" i="9"/>
  <c r="AI930" i="9"/>
  <c r="AJ930" i="9"/>
  <c r="AG931" i="9"/>
  <c r="AH931" i="9"/>
  <c r="AI931" i="9"/>
  <c r="AJ931" i="9"/>
  <c r="AG932" i="9"/>
  <c r="AH932" i="9"/>
  <c r="AI932" i="9"/>
  <c r="AJ932" i="9"/>
  <c r="AG933" i="9"/>
  <c r="AH933" i="9"/>
  <c r="AI933" i="9"/>
  <c r="AJ933" i="9"/>
  <c r="AG934" i="9"/>
  <c r="AH934" i="9"/>
  <c r="AI934" i="9"/>
  <c r="AJ934" i="9"/>
  <c r="AG935" i="9"/>
  <c r="AH935" i="9"/>
  <c r="AI935" i="9"/>
  <c r="AJ935" i="9"/>
  <c r="AG936" i="9"/>
  <c r="AH936" i="9"/>
  <c r="AI936" i="9"/>
  <c r="AJ936" i="9"/>
  <c r="AG937" i="9"/>
  <c r="AH937" i="9"/>
  <c r="AI937" i="9"/>
  <c r="AJ937" i="9"/>
  <c r="AG914" i="9"/>
  <c r="AH914" i="9"/>
  <c r="AI914" i="9"/>
  <c r="AJ914" i="9"/>
  <c r="AG915" i="9"/>
  <c r="AH915" i="9"/>
  <c r="AI915" i="9"/>
  <c r="AJ915" i="9"/>
  <c r="AG916" i="9"/>
  <c r="AH916" i="9"/>
  <c r="AI916" i="9"/>
  <c r="AJ916" i="9"/>
  <c r="AG917" i="9"/>
  <c r="AH917" i="9"/>
  <c r="AI917" i="9"/>
  <c r="AJ917" i="9"/>
  <c r="AG918" i="9"/>
  <c r="AH918" i="9"/>
  <c r="AI918" i="9"/>
  <c r="AJ918" i="9"/>
  <c r="AG919" i="9"/>
  <c r="AH919" i="9"/>
  <c r="AI919" i="9"/>
  <c r="AJ919" i="9"/>
  <c r="AG920" i="9"/>
  <c r="AH920" i="9"/>
  <c r="AI920" i="9"/>
  <c r="AJ920" i="9"/>
  <c r="AG921" i="9"/>
  <c r="AH921" i="9"/>
  <c r="AI921" i="9"/>
  <c r="AJ921" i="9"/>
  <c r="AG922" i="9"/>
  <c r="AH922" i="9"/>
  <c r="AI922" i="9"/>
  <c r="AJ922" i="9"/>
  <c r="AG923" i="9"/>
  <c r="AH923" i="9"/>
  <c r="AI923" i="9"/>
  <c r="AJ923" i="9"/>
  <c r="AG924" i="9"/>
  <c r="AH924" i="9"/>
  <c r="AI924" i="9"/>
  <c r="AJ924" i="9"/>
  <c r="AG925" i="9"/>
  <c r="AH925" i="9"/>
  <c r="AI925" i="9"/>
  <c r="AJ925" i="9"/>
  <c r="AG210" i="17"/>
  <c r="AH210" i="17"/>
  <c r="AI210" i="17"/>
  <c r="AJ210" i="17"/>
  <c r="AG211" i="17"/>
  <c r="AH211" i="17"/>
  <c r="AI211" i="17"/>
  <c r="AJ211" i="17"/>
  <c r="AG212" i="17"/>
  <c r="AH212" i="17"/>
  <c r="AI212" i="17"/>
  <c r="AJ212" i="17"/>
  <c r="AG213" i="17"/>
  <c r="AH213" i="17"/>
  <c r="AI213" i="17"/>
  <c r="AJ213" i="17"/>
  <c r="AG214" i="17"/>
  <c r="AH214" i="17"/>
  <c r="AI214" i="17"/>
  <c r="AJ214" i="17"/>
  <c r="AG215" i="17"/>
  <c r="AH215" i="17"/>
  <c r="AI215" i="17"/>
  <c r="AJ215" i="17"/>
  <c r="AG216" i="17"/>
  <c r="AH216" i="17"/>
  <c r="AI216" i="17"/>
  <c r="AJ216" i="17"/>
  <c r="AG217" i="17"/>
  <c r="AH217" i="17"/>
  <c r="AI217" i="17"/>
  <c r="AJ217" i="17"/>
  <c r="AG218" i="17"/>
  <c r="AH218" i="17"/>
  <c r="AI218" i="17"/>
  <c r="AJ218" i="17"/>
  <c r="AG219" i="17"/>
  <c r="AH219" i="17"/>
  <c r="AI219" i="17"/>
  <c r="AJ219" i="17"/>
  <c r="AG220" i="17"/>
  <c r="AH220" i="17"/>
  <c r="AI220" i="17"/>
  <c r="AJ220" i="17"/>
  <c r="AG221" i="17"/>
  <c r="AH221" i="17"/>
  <c r="AI221" i="17"/>
  <c r="AJ221" i="17"/>
  <c r="AG198" i="17"/>
  <c r="AH198" i="17"/>
  <c r="AI198" i="17"/>
  <c r="AJ198" i="17"/>
  <c r="AG199" i="17"/>
  <c r="AH199" i="17"/>
  <c r="AI199" i="17"/>
  <c r="AJ199" i="17"/>
  <c r="AG200" i="17"/>
  <c r="AH200" i="17"/>
  <c r="AI200" i="17"/>
  <c r="AJ200" i="17"/>
  <c r="AG201" i="17"/>
  <c r="AH201" i="17"/>
  <c r="AI201" i="17"/>
  <c r="AJ201" i="17"/>
  <c r="AG202" i="17"/>
  <c r="AH202" i="17"/>
  <c r="AI202" i="17"/>
  <c r="AJ202" i="17"/>
  <c r="AG203" i="17"/>
  <c r="AH203" i="17"/>
  <c r="AI203" i="17"/>
  <c r="AJ203" i="17"/>
  <c r="AG204" i="17"/>
  <c r="AH204" i="17"/>
  <c r="AI204" i="17"/>
  <c r="AJ204" i="17"/>
  <c r="AG205" i="17"/>
  <c r="AH205" i="17"/>
  <c r="AI205" i="17"/>
  <c r="AJ205" i="17"/>
  <c r="AG206" i="17"/>
  <c r="AH206" i="17"/>
  <c r="AI206" i="17"/>
  <c r="AJ206" i="17"/>
  <c r="AG207" i="17"/>
  <c r="AH207" i="17"/>
  <c r="AI207" i="17"/>
  <c r="AJ207" i="17"/>
  <c r="AG208" i="17"/>
  <c r="AH208" i="17"/>
  <c r="AI208" i="17"/>
  <c r="AJ208" i="17"/>
  <c r="AG209" i="17"/>
  <c r="AH209" i="17"/>
  <c r="AI209" i="17"/>
  <c r="AJ209" i="17"/>
  <c r="AG902" i="9"/>
  <c r="AH902" i="9"/>
  <c r="AI902" i="9"/>
  <c r="AJ902" i="9"/>
  <c r="AG903" i="9"/>
  <c r="AH903" i="9"/>
  <c r="AI903" i="9"/>
  <c r="AJ903" i="9"/>
  <c r="AG904" i="9"/>
  <c r="AH904" i="9"/>
  <c r="AI904" i="9"/>
  <c r="AJ904" i="9"/>
  <c r="AG905" i="9"/>
  <c r="AH905" i="9"/>
  <c r="AI905" i="9"/>
  <c r="AJ905" i="9"/>
  <c r="AG906" i="9"/>
  <c r="AH906" i="9"/>
  <c r="AI906" i="9"/>
  <c r="AJ906" i="9"/>
  <c r="AG907" i="9"/>
  <c r="AH907" i="9"/>
  <c r="AI907" i="9"/>
  <c r="AJ907" i="9"/>
  <c r="AG908" i="9"/>
  <c r="AH908" i="9"/>
  <c r="AI908" i="9"/>
  <c r="AJ908" i="9"/>
  <c r="AG909" i="9"/>
  <c r="AH909" i="9"/>
  <c r="AI909" i="9"/>
  <c r="AJ909" i="9"/>
  <c r="AG910" i="9"/>
  <c r="AH910" i="9"/>
  <c r="AI910" i="9"/>
  <c r="AJ910" i="9"/>
  <c r="AG911" i="9"/>
  <c r="AH911" i="9"/>
  <c r="AI911" i="9"/>
  <c r="AJ911" i="9"/>
  <c r="AG912" i="9"/>
  <c r="AH912" i="9"/>
  <c r="AI912" i="9"/>
  <c r="AJ912" i="9"/>
  <c r="AG913" i="9"/>
  <c r="AH913" i="9"/>
  <c r="AI913" i="9"/>
  <c r="AJ913" i="9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T42" i="13"/>
  <c r="H42" i="13"/>
  <c r="I42" i="13"/>
  <c r="J42" i="13" a="1"/>
  <c r="J42" i="13" s="1"/>
  <c r="K42" i="13"/>
  <c r="L42" i="13"/>
  <c r="N42" i="13"/>
  <c r="O42" i="13" s="1"/>
  <c r="Q42" i="13"/>
  <c r="R42" i="13" s="1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N14" i="13"/>
  <c r="O14" i="13" s="1"/>
  <c r="Q14" i="13"/>
  <c r="R14" i="13" s="1"/>
  <c r="S14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M2" i="13"/>
  <c r="N2" i="13"/>
  <c r="O2" i="13" s="1"/>
  <c r="Q2" i="13"/>
  <c r="R2" i="13" s="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T50" i="11"/>
  <c r="H50" i="11"/>
  <c r="I50" i="11"/>
  <c r="J50" i="11" a="1"/>
  <c r="J50" i="11" s="1"/>
  <c r="K50" i="11"/>
  <c r="L50" i="11"/>
  <c r="M50" i="11"/>
  <c r="N50" i="11"/>
  <c r="O50" i="11" s="1"/>
  <c r="P50" i="11"/>
  <c r="Q50" i="11"/>
  <c r="R50" i="11" s="1"/>
  <c r="S50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T14" i="11"/>
  <c r="H14" i="11"/>
  <c r="I14" i="11"/>
  <c r="J14" i="11" a="1"/>
  <c r="J14" i="11" s="1"/>
  <c r="K14" i="11"/>
  <c r="L14" i="11"/>
  <c r="M14" i="11"/>
  <c r="N14" i="11"/>
  <c r="O14" i="11" s="1"/>
  <c r="P14" i="11"/>
  <c r="Q14" i="11"/>
  <c r="R14" i="11" s="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T2" i="11"/>
  <c r="H2" i="11"/>
  <c r="I2" i="11"/>
  <c r="J2" i="11" a="1"/>
  <c r="J2" i="11" s="1"/>
  <c r="K2" i="11"/>
  <c r="L2" i="11"/>
  <c r="M2" i="11"/>
  <c r="N2" i="11"/>
  <c r="O2" i="11" s="1"/>
  <c r="P2" i="11"/>
  <c r="Q2" i="11"/>
  <c r="R2" i="11" s="1"/>
  <c r="S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4" i="13" s="1"/>
  <c r="AC306" i="15"/>
  <c r="AD306" i="15"/>
  <c r="M14" i="13" s="1"/>
  <c r="AA307" i="15"/>
  <c r="AB307" i="15"/>
  <c r="AC307" i="15"/>
  <c r="AD307" i="15"/>
  <c r="AA308" i="15"/>
  <c r="AB308" i="15"/>
  <c r="AC308" i="15"/>
  <c r="AD308" i="15"/>
  <c r="AA309" i="15"/>
  <c r="AB309" i="15"/>
  <c r="P42" i="13" s="1"/>
  <c r="AC309" i="15"/>
  <c r="S42" i="13" s="1"/>
  <c r="AD309" i="15"/>
  <c r="M42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AC786" i="10"/>
  <c r="AD786" i="10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S14" i="11" s="1"/>
  <c r="AD791" i="10"/>
  <c r="AA792" i="10"/>
  <c r="AB792" i="10"/>
  <c r="AC792" i="10"/>
  <c r="AD792" i="10"/>
  <c r="AA793" i="10"/>
  <c r="AB793" i="10"/>
  <c r="AC793" i="10"/>
  <c r="AD793" i="10"/>
  <c r="AA794" i="10"/>
  <c r="AB794" i="10"/>
  <c r="AC794" i="10"/>
  <c r="AD794" i="10"/>
  <c r="Q35" i="19"/>
  <c r="R35" i="19"/>
  <c r="S35" i="19"/>
  <c r="T35" i="19"/>
  <c r="U35" i="19"/>
  <c r="V35" i="19"/>
  <c r="W35" i="19"/>
  <c r="X35" i="19"/>
  <c r="Y35" i="19"/>
  <c r="Z35" i="19"/>
  <c r="AA35" i="19"/>
  <c r="AB35" i="19"/>
  <c r="AC35" i="19"/>
  <c r="AD35" i="19"/>
  <c r="AE35" i="19"/>
  <c r="P35" i="19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D32" i="19"/>
  <c r="E32" i="19"/>
  <c r="F32" i="19" a="1"/>
  <c r="F32" i="19" s="1"/>
  <c r="G32" i="19"/>
  <c r="H32" i="19"/>
  <c r="I32" i="19"/>
  <c r="J32" i="19"/>
  <c r="K32" i="19" s="1"/>
  <c r="L32" i="19"/>
  <c r="M32" i="19"/>
  <c r="N32" i="19" s="1"/>
  <c r="O3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G186" i="17"/>
  <c r="AH186" i="17"/>
  <c r="AI186" i="17"/>
  <c r="AJ186" i="17"/>
  <c r="AG187" i="17"/>
  <c r="AH187" i="17"/>
  <c r="AI187" i="17"/>
  <c r="AJ187" i="17"/>
  <c r="AG188" i="17"/>
  <c r="AH188" i="17"/>
  <c r="AI188" i="17"/>
  <c r="AJ188" i="17"/>
  <c r="AG189" i="17"/>
  <c r="AH189" i="17"/>
  <c r="AI189" i="17"/>
  <c r="AJ189" i="17"/>
  <c r="AG190" i="17"/>
  <c r="AH190" i="17"/>
  <c r="AI190" i="17"/>
  <c r="AJ190" i="17"/>
  <c r="AG191" i="17"/>
  <c r="AH191" i="17"/>
  <c r="AI191" i="17"/>
  <c r="AJ191" i="17"/>
  <c r="AG192" i="17"/>
  <c r="AH192" i="17"/>
  <c r="AI192" i="17"/>
  <c r="AJ192" i="17"/>
  <c r="AG193" i="17"/>
  <c r="AH193" i="17"/>
  <c r="AI193" i="17"/>
  <c r="AJ193" i="17"/>
  <c r="AG194" i="17"/>
  <c r="AH194" i="17"/>
  <c r="AI194" i="17"/>
  <c r="AJ194" i="17"/>
  <c r="AG195" i="17"/>
  <c r="AH195" i="17"/>
  <c r="AI195" i="17"/>
  <c r="AJ195" i="17"/>
  <c r="AG196" i="17"/>
  <c r="AH196" i="17"/>
  <c r="AI196" i="17"/>
  <c r="AJ196" i="17"/>
  <c r="AG197" i="17"/>
  <c r="AH197" i="17"/>
  <c r="AI197" i="17"/>
  <c r="AJ197" i="17"/>
  <c r="AG890" i="9"/>
  <c r="AH890" i="9"/>
  <c r="AI890" i="9"/>
  <c r="AJ890" i="9"/>
  <c r="AG891" i="9"/>
  <c r="AH891" i="9"/>
  <c r="AI891" i="9"/>
  <c r="AJ891" i="9"/>
  <c r="AG892" i="9"/>
  <c r="AH892" i="9"/>
  <c r="AI892" i="9"/>
  <c r="AJ892" i="9"/>
  <c r="AG893" i="9"/>
  <c r="AH893" i="9"/>
  <c r="AI893" i="9"/>
  <c r="AJ893" i="9"/>
  <c r="AG894" i="9"/>
  <c r="AH894" i="9"/>
  <c r="AI894" i="9"/>
  <c r="AJ894" i="9"/>
  <c r="AG895" i="9"/>
  <c r="AH895" i="9"/>
  <c r="AI895" i="9"/>
  <c r="AJ895" i="9"/>
  <c r="AG896" i="9"/>
  <c r="AH896" i="9"/>
  <c r="AI896" i="9"/>
  <c r="AJ896" i="9"/>
  <c r="AG897" i="9"/>
  <c r="AH897" i="9"/>
  <c r="AI897" i="9"/>
  <c r="AJ897" i="9"/>
  <c r="AG898" i="9"/>
  <c r="AH898" i="9"/>
  <c r="AI898" i="9"/>
  <c r="AJ898" i="9"/>
  <c r="AG899" i="9"/>
  <c r="AH899" i="9"/>
  <c r="AI899" i="9"/>
  <c r="AJ899" i="9"/>
  <c r="AG900" i="9"/>
  <c r="AH900" i="9"/>
  <c r="AI900" i="9"/>
  <c r="AJ900" i="9"/>
  <c r="AG901" i="9"/>
  <c r="AH901" i="9"/>
  <c r="AI901" i="9"/>
  <c r="AJ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T30" i="13"/>
  <c r="T32" i="13"/>
  <c r="H30" i="13"/>
  <c r="I30" i="13"/>
  <c r="J30" i="13" a="1"/>
  <c r="J30" i="13" s="1"/>
  <c r="K30" i="13"/>
  <c r="L30" i="13"/>
  <c r="M30" i="13"/>
  <c r="N30" i="13"/>
  <c r="O30" i="13" s="1"/>
  <c r="P30" i="13"/>
  <c r="Q30" i="13"/>
  <c r="R30" i="13" s="1"/>
  <c r="S30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T37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T45" i="11"/>
  <c r="H45" i="11"/>
  <c r="I45" i="11"/>
  <c r="J45" i="11" a="1"/>
  <c r="J45" i="11" s="1"/>
  <c r="K45" i="11"/>
  <c r="L45" i="11"/>
  <c r="M45" i="11"/>
  <c r="N45" i="11"/>
  <c r="O45" i="11" s="1"/>
  <c r="P45" i="11"/>
  <c r="Q45" i="11"/>
  <c r="R45" i="11" s="1"/>
  <c r="S45" i="11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G878" i="9"/>
  <c r="AH878" i="9"/>
  <c r="AI878" i="9"/>
  <c r="AJ878" i="9"/>
  <c r="AG879" i="9"/>
  <c r="AH879" i="9"/>
  <c r="AI879" i="9"/>
  <c r="AJ879" i="9"/>
  <c r="AG880" i="9"/>
  <c r="AH880" i="9"/>
  <c r="AI880" i="9"/>
  <c r="AJ880" i="9"/>
  <c r="AG881" i="9"/>
  <c r="AH881" i="9"/>
  <c r="AI881" i="9"/>
  <c r="AJ881" i="9"/>
  <c r="AG882" i="9"/>
  <c r="AH882" i="9"/>
  <c r="AI882" i="9"/>
  <c r="AJ882" i="9"/>
  <c r="AG883" i="9"/>
  <c r="AH883" i="9"/>
  <c r="AI883" i="9"/>
  <c r="AJ883" i="9"/>
  <c r="AG884" i="9"/>
  <c r="AH884" i="9"/>
  <c r="AI884" i="9"/>
  <c r="AJ884" i="9"/>
  <c r="AG885" i="9"/>
  <c r="AH885" i="9"/>
  <c r="AI885" i="9"/>
  <c r="AJ885" i="9"/>
  <c r="AG886" i="9"/>
  <c r="AH886" i="9"/>
  <c r="AI886" i="9"/>
  <c r="AJ886" i="9"/>
  <c r="AG887" i="9"/>
  <c r="AH887" i="9"/>
  <c r="AI887" i="9"/>
  <c r="AJ887" i="9"/>
  <c r="AG888" i="9"/>
  <c r="AH888" i="9"/>
  <c r="AI888" i="9"/>
  <c r="AJ888" i="9"/>
  <c r="AG889" i="9"/>
  <c r="AH889" i="9"/>
  <c r="AI889" i="9"/>
  <c r="AJ889" i="9"/>
  <c r="AG174" i="17"/>
  <c r="AH174" i="17"/>
  <c r="AI174" i="17"/>
  <c r="AJ174" i="17"/>
  <c r="AG175" i="17"/>
  <c r="AH175" i="17"/>
  <c r="AI175" i="17"/>
  <c r="AJ175" i="17"/>
  <c r="AG176" i="17"/>
  <c r="AH176" i="17"/>
  <c r="AI176" i="17"/>
  <c r="AJ176" i="17"/>
  <c r="AG177" i="17"/>
  <c r="AH177" i="17"/>
  <c r="AI177" i="17"/>
  <c r="AJ177" i="17"/>
  <c r="AG178" i="17"/>
  <c r="AH178" i="17"/>
  <c r="AI178" i="17"/>
  <c r="AJ178" i="17"/>
  <c r="AG179" i="17"/>
  <c r="AH179" i="17"/>
  <c r="AI179" i="17"/>
  <c r="AJ179" i="17"/>
  <c r="AG180" i="17"/>
  <c r="AH180" i="17"/>
  <c r="AI180" i="17"/>
  <c r="AJ180" i="17"/>
  <c r="AG181" i="17"/>
  <c r="AH181" i="17"/>
  <c r="AI181" i="17"/>
  <c r="AJ181" i="17"/>
  <c r="AG182" i="17"/>
  <c r="AH182" i="17"/>
  <c r="AI182" i="17"/>
  <c r="AJ182" i="17"/>
  <c r="AG183" i="17"/>
  <c r="AH183" i="17"/>
  <c r="AI183" i="17"/>
  <c r="AJ183" i="17"/>
  <c r="AG184" i="17"/>
  <c r="AH184" i="17"/>
  <c r="AI184" i="17"/>
  <c r="AJ184" i="17"/>
  <c r="AG185" i="17"/>
  <c r="AH185" i="17"/>
  <c r="AI185" i="17"/>
  <c r="AJ185" i="17"/>
  <c r="AG162" i="17"/>
  <c r="AH162" i="17"/>
  <c r="AI162" i="17"/>
  <c r="AJ162" i="17"/>
  <c r="AG163" i="17"/>
  <c r="AH163" i="17"/>
  <c r="AI163" i="17"/>
  <c r="AJ163" i="17"/>
  <c r="AG164" i="17"/>
  <c r="AH164" i="17"/>
  <c r="AI164" i="17"/>
  <c r="AJ164" i="17"/>
  <c r="AG165" i="17"/>
  <c r="AH165" i="17"/>
  <c r="AI165" i="17"/>
  <c r="AJ165" i="17"/>
  <c r="AG166" i="17"/>
  <c r="AH166" i="17"/>
  <c r="AI166" i="17"/>
  <c r="AJ166" i="17"/>
  <c r="AG167" i="17"/>
  <c r="AH167" i="17"/>
  <c r="AI167" i="17"/>
  <c r="AJ167" i="17"/>
  <c r="AG168" i="17"/>
  <c r="AH168" i="17"/>
  <c r="AI168" i="17"/>
  <c r="AJ168" i="17"/>
  <c r="AG169" i="17"/>
  <c r="AH169" i="17"/>
  <c r="AI169" i="17"/>
  <c r="AJ169" i="17"/>
  <c r="AG170" i="17"/>
  <c r="AH170" i="17"/>
  <c r="AI170" i="17"/>
  <c r="AJ170" i="17"/>
  <c r="AG171" i="17"/>
  <c r="AH171" i="17"/>
  <c r="AI171" i="17"/>
  <c r="AJ171" i="17"/>
  <c r="AG172" i="17"/>
  <c r="AH172" i="17"/>
  <c r="AI172" i="17"/>
  <c r="AJ172" i="17"/>
  <c r="AG173" i="17"/>
  <c r="AH173" i="17"/>
  <c r="AI173" i="17"/>
  <c r="AJ173" i="17"/>
  <c r="AG866" i="9"/>
  <c r="AH866" i="9"/>
  <c r="AI866" i="9"/>
  <c r="AJ866" i="9"/>
  <c r="AG867" i="9"/>
  <c r="AH867" i="9"/>
  <c r="AI867" i="9"/>
  <c r="AJ867" i="9"/>
  <c r="AG868" i="9"/>
  <c r="AH868" i="9"/>
  <c r="AI868" i="9"/>
  <c r="AJ868" i="9"/>
  <c r="AG869" i="9"/>
  <c r="AH869" i="9"/>
  <c r="AI869" i="9"/>
  <c r="AJ869" i="9"/>
  <c r="AG870" i="9"/>
  <c r="AH870" i="9"/>
  <c r="AI870" i="9"/>
  <c r="AJ870" i="9"/>
  <c r="AG871" i="9"/>
  <c r="AH871" i="9"/>
  <c r="AI871" i="9"/>
  <c r="AJ871" i="9"/>
  <c r="AG872" i="9"/>
  <c r="AH872" i="9"/>
  <c r="AI872" i="9"/>
  <c r="AJ872" i="9"/>
  <c r="AG873" i="9"/>
  <c r="AH873" i="9"/>
  <c r="AI873" i="9"/>
  <c r="AJ873" i="9"/>
  <c r="AG874" i="9"/>
  <c r="AH874" i="9"/>
  <c r="AI874" i="9"/>
  <c r="AJ874" i="9"/>
  <c r="AG875" i="9"/>
  <c r="AH875" i="9"/>
  <c r="AI875" i="9"/>
  <c r="AJ875" i="9"/>
  <c r="AG876" i="9"/>
  <c r="AH876" i="9"/>
  <c r="AI876" i="9"/>
  <c r="AJ876" i="9"/>
  <c r="AG877" i="9"/>
  <c r="AH877" i="9"/>
  <c r="AI877" i="9"/>
  <c r="AJ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G150" i="17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R27" i="16"/>
  <c r="F27" i="16"/>
  <c r="G27" i="16"/>
  <c r="H27" i="16" a="1"/>
  <c r="H27" i="16" s="1"/>
  <c r="I27" i="16"/>
  <c r="J27" i="16"/>
  <c r="K27" i="16"/>
  <c r="L27" i="16"/>
  <c r="M27" i="16" s="1"/>
  <c r="N27" i="16"/>
  <c r="O27" i="16"/>
  <c r="P27" i="16" s="1"/>
  <c r="Q27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T44" i="13"/>
  <c r="H44" i="13"/>
  <c r="I44" i="13"/>
  <c r="J44" i="13" a="1"/>
  <c r="J44" i="13" s="1"/>
  <c r="K44" i="13"/>
  <c r="L44" i="13"/>
  <c r="M44" i="13"/>
  <c r="N44" i="13"/>
  <c r="O44" i="13" s="1"/>
  <c r="P44" i="13"/>
  <c r="Q44" i="13"/>
  <c r="R44" i="13" s="1"/>
  <c r="S44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Q34" i="16" s="1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N11" i="16" s="1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L33" i="16"/>
  <c r="R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R34" i="16"/>
  <c r="AJ2" i="17"/>
  <c r="AH2" i="17"/>
  <c r="AG2" i="17"/>
  <c r="F34" i="16"/>
  <c r="G34" i="16"/>
  <c r="H34" i="16" a="1"/>
  <c r="H34" i="16" s="1"/>
  <c r="I34" i="16"/>
  <c r="J34" i="16"/>
  <c r="L34" i="16"/>
  <c r="M34" i="16" s="1"/>
  <c r="O34" i="16"/>
  <c r="P34" i="16" s="1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R9" i="16"/>
  <c r="F9" i="16"/>
  <c r="G9" i="16"/>
  <c r="H9" i="16" a="1"/>
  <c r="H9" i="16" s="1"/>
  <c r="I9" i="16"/>
  <c r="J9" i="16"/>
  <c r="K9" i="16"/>
  <c r="L9" i="16"/>
  <c r="M9" i="16" s="1"/>
  <c r="N9" i="16"/>
  <c r="O9" i="16"/>
  <c r="P9" i="16" s="1"/>
  <c r="Q9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R13" i="16"/>
  <c r="F13" i="16"/>
  <c r="G13" i="16"/>
  <c r="H13" i="16" a="1"/>
  <c r="H13" i="16" s="1"/>
  <c r="I13" i="16"/>
  <c r="J13" i="16"/>
  <c r="K13" i="16"/>
  <c r="L13" i="16"/>
  <c r="M13" i="16" s="1"/>
  <c r="N13" i="16"/>
  <c r="O13" i="16"/>
  <c r="P13" i="16" s="1"/>
  <c r="Q13" i="16"/>
  <c r="N34" i="16"/>
  <c r="K34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R11" i="16"/>
  <c r="F11" i="16"/>
  <c r="G11" i="16"/>
  <c r="H11" i="16" a="1"/>
  <c r="H11" i="16" s="1"/>
  <c r="I11" i="16"/>
  <c r="J11" i="16"/>
  <c r="K11" i="16"/>
  <c r="L11" i="16"/>
  <c r="M11" i="16" s="1"/>
  <c r="O11" i="16"/>
  <c r="P11" i="16" s="1"/>
  <c r="Q11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9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Q18" i="16"/>
  <c r="F19" i="16"/>
  <c r="G19" i="16"/>
  <c r="H19" i="16" a="1"/>
  <c r="H19" i="16" s="1"/>
  <c r="I19" i="16"/>
  <c r="J19" i="16"/>
  <c r="L19" i="16"/>
  <c r="M19" i="16" s="1"/>
  <c r="N19" i="16"/>
  <c r="O19" i="16"/>
  <c r="P19" i="16" s="1"/>
  <c r="Q19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R20" i="16"/>
  <c r="F20" i="16"/>
  <c r="G20" i="16"/>
  <c r="H20" i="16" a="1"/>
  <c r="H20" i="16" s="1"/>
  <c r="I20" i="16"/>
  <c r="J20" i="16"/>
  <c r="K20" i="16"/>
  <c r="L20" i="16"/>
  <c r="M20" i="16" s="1"/>
  <c r="N20" i="16"/>
  <c r="O20" i="16"/>
  <c r="P20" i="16" s="1"/>
  <c r="Q20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T22" i="13"/>
  <c r="H22" i="13"/>
  <c r="I22" i="13"/>
  <c r="J22" i="13" a="1"/>
  <c r="J22" i="13" s="1"/>
  <c r="K22" i="13"/>
  <c r="L22" i="13"/>
  <c r="M22" i="13"/>
  <c r="N22" i="13"/>
  <c r="O22" i="13" s="1"/>
  <c r="P22" i="13"/>
  <c r="Q22" i="13"/>
  <c r="R22" i="13" s="1"/>
  <c r="S22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T21" i="13"/>
  <c r="T20" i="13"/>
  <c r="T19" i="13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R24" i="16"/>
  <c r="F24" i="16"/>
  <c r="G24" i="16"/>
  <c r="H24" i="16" a="1"/>
  <c r="H24" i="16" s="1"/>
  <c r="I24" i="16"/>
  <c r="J24" i="16"/>
  <c r="K24" i="16"/>
  <c r="L24" i="16"/>
  <c r="M24" i="16" s="1"/>
  <c r="N24" i="16"/>
  <c r="O24" i="16"/>
  <c r="P24" i="16" s="1"/>
  <c r="Q24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R17" i="16"/>
  <c r="F17" i="16"/>
  <c r="G17" i="16"/>
  <c r="H17" i="16" a="1"/>
  <c r="H17" i="16" s="1"/>
  <c r="I17" i="16"/>
  <c r="J17" i="16"/>
  <c r="L17" i="16"/>
  <c r="M17" i="16" s="1"/>
  <c r="O17" i="16"/>
  <c r="P17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Q18" i="12" s="1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7" i="16"/>
  <c r="Q17" i="16"/>
  <c r="K17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Q28" i="19"/>
  <c r="R28" i="19"/>
  <c r="S28" i="19"/>
  <c r="T28" i="19"/>
  <c r="U28" i="19"/>
  <c r="V28" i="19"/>
  <c r="W28" i="19"/>
  <c r="X28" i="19"/>
  <c r="Y28" i="19"/>
  <c r="Z28" i="19"/>
  <c r="AA28" i="19"/>
  <c r="AB28" i="19"/>
  <c r="AC28" i="19"/>
  <c r="AD28" i="19"/>
  <c r="AE28" i="19"/>
  <c r="P28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P15" i="19"/>
  <c r="Q12" i="19"/>
  <c r="R12" i="19"/>
  <c r="S12" i="19"/>
  <c r="T12" i="19"/>
  <c r="U12" i="19"/>
  <c r="V12" i="19"/>
  <c r="W12" i="19"/>
  <c r="X12" i="19"/>
  <c r="Y12" i="19"/>
  <c r="Z12" i="19"/>
  <c r="AA12" i="19"/>
  <c r="AB12" i="19"/>
  <c r="AC12" i="19"/>
  <c r="AD12" i="19"/>
  <c r="AE12" i="19"/>
  <c r="P12" i="19"/>
  <c r="D4" i="19"/>
  <c r="D3" i="19"/>
  <c r="E4" i="19"/>
  <c r="F4" i="19" a="1"/>
  <c r="F4" i="19" s="1"/>
  <c r="G4" i="19"/>
  <c r="H4" i="19"/>
  <c r="J4" i="19"/>
  <c r="K4" i="19" s="1"/>
  <c r="M4" i="19"/>
  <c r="N4" i="19" s="1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J7" i="19"/>
  <c r="K7" i="19" s="1"/>
  <c r="M7" i="19"/>
  <c r="N7" i="19"/>
  <c r="D8" i="19"/>
  <c r="E8" i="19"/>
  <c r="F8" i="19" a="1"/>
  <c r="F8" i="19" s="1"/>
  <c r="G8" i="19"/>
  <c r="H8" i="19"/>
  <c r="J8" i="19"/>
  <c r="K8" i="19" s="1"/>
  <c r="M8" i="19"/>
  <c r="N8" i="19" s="1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D16" i="19"/>
  <c r="E16" i="19"/>
  <c r="F16" i="19" a="1"/>
  <c r="F16" i="19" s="1"/>
  <c r="G16" i="19"/>
  <c r="H16" i="19"/>
  <c r="J16" i="19"/>
  <c r="K16" i="19" s="1"/>
  <c r="M16" i="19"/>
  <c r="N16" i="19" s="1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/>
  <c r="D19" i="19"/>
  <c r="E19" i="19"/>
  <c r="F19" i="19" a="1"/>
  <c r="F19" i="19" s="1"/>
  <c r="G19" i="19"/>
  <c r="H19" i="19"/>
  <c r="J19" i="19"/>
  <c r="K19" i="19" s="1"/>
  <c r="M19" i="19"/>
  <c r="N19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I21" i="19"/>
  <c r="J21" i="19"/>
  <c r="K21" i="19" s="1"/>
  <c r="L21" i="19"/>
  <c r="M21" i="19"/>
  <c r="N21" i="19" s="1"/>
  <c r="O21" i="19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J23" i="19"/>
  <c r="K23" i="19"/>
  <c r="M23" i="19"/>
  <c r="N23" i="19" s="1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 s="1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J28" i="19"/>
  <c r="K28" i="19" s="1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 s="1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/>
  <c r="O36" i="19"/>
  <c r="D37" i="19"/>
  <c r="E37" i="19"/>
  <c r="F37" i="19" a="1"/>
  <c r="F37" i="19" s="1"/>
  <c r="G37" i="19"/>
  <c r="H37" i="19"/>
  <c r="J37" i="19"/>
  <c r="K37" i="19" s="1"/>
  <c r="L37" i="19"/>
  <c r="M37" i="19"/>
  <c r="N37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I39" i="19"/>
  <c r="J39" i="19"/>
  <c r="K39" i="19" s="1"/>
  <c r="L39" i="19"/>
  <c r="M39" i="19"/>
  <c r="N39" i="19" s="1"/>
  <c r="O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L25" i="19"/>
  <c r="O25" i="19"/>
  <c r="I25" i="19"/>
  <c r="O34" i="19"/>
  <c r="I34" i="19"/>
  <c r="L7" i="19"/>
  <c r="O7" i="19"/>
  <c r="I7" i="19"/>
  <c r="O37" i="19"/>
  <c r="I37" i="19"/>
  <c r="L4" i="19"/>
  <c r="O4" i="19"/>
  <c r="I4" i="19"/>
  <c r="L16" i="19"/>
  <c r="O16" i="19"/>
  <c r="I16" i="19"/>
  <c r="L19" i="19"/>
  <c r="O19" i="19"/>
  <c r="I19" i="19"/>
  <c r="L28" i="19"/>
  <c r="I28" i="19"/>
  <c r="L29" i="19"/>
  <c r="O29" i="19"/>
  <c r="I29" i="19"/>
  <c r="L31" i="19"/>
  <c r="O31" i="19"/>
  <c r="I31" i="19"/>
  <c r="L30" i="19"/>
  <c r="O30" i="19"/>
  <c r="I30" i="19"/>
  <c r="L11" i="19"/>
  <c r="O11" i="19"/>
  <c r="I11" i="19"/>
  <c r="L8" i="19"/>
  <c r="O8" i="19"/>
  <c r="I8" i="19"/>
  <c r="L23" i="19"/>
  <c r="O23" i="19"/>
  <c r="I23" i="19"/>
  <c r="L22" i="19"/>
  <c r="O22" i="19"/>
  <c r="I22" i="19"/>
  <c r="L27" i="19"/>
  <c r="O27" i="19"/>
  <c r="I27" i="19"/>
  <c r="L18" i="19"/>
  <c r="O18" i="19"/>
  <c r="I18" i="19"/>
  <c r="L13" i="19"/>
  <c r="O13" i="19"/>
  <c r="I13" i="19"/>
  <c r="L12" i="19"/>
  <c r="O12" i="19"/>
  <c r="I12" i="19"/>
  <c r="L26" i="19"/>
  <c r="O26" i="19"/>
  <c r="I26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T3" i="11"/>
  <c r="T3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T46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T45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T21" i="11"/>
  <c r="H21" i="11"/>
  <c r="I21" i="11"/>
  <c r="J21" i="11" a="1"/>
  <c r="J21" i="11" s="1"/>
  <c r="K21" i="11"/>
  <c r="L21" i="11"/>
  <c r="M21" i="11"/>
  <c r="N21" i="11"/>
  <c r="O21" i="11" s="1"/>
  <c r="P21" i="11"/>
  <c r="Q21" i="11"/>
  <c r="R21" i="11" s="1"/>
  <c r="S21" i="11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T23" i="13"/>
  <c r="H23" i="13"/>
  <c r="I23" i="13"/>
  <c r="J23" i="13" a="1"/>
  <c r="J23" i="13" s="1"/>
  <c r="K23" i="13"/>
  <c r="L23" i="13"/>
  <c r="M23" i="13"/>
  <c r="N23" i="13"/>
  <c r="O23" i="13" s="1"/>
  <c r="P23" i="13"/>
  <c r="Q23" i="13"/>
  <c r="R23" i="13" s="1"/>
  <c r="S23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T8" i="13"/>
  <c r="H8" i="13"/>
  <c r="I8" i="13"/>
  <c r="J8" i="13" a="1"/>
  <c r="J8" i="13" s="1"/>
  <c r="K8" i="13"/>
  <c r="L8" i="13"/>
  <c r="N8" i="13"/>
  <c r="O8" i="13" s="1"/>
  <c r="Q8" i="13"/>
  <c r="R8" i="13" s="1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H15" i="13"/>
  <c r="I15" i="13"/>
  <c r="J15" i="13" a="1"/>
  <c r="J15" i="13" s="1"/>
  <c r="K15" i="13"/>
  <c r="L15" i="13"/>
  <c r="N15" i="13"/>
  <c r="O15" i="13" s="1"/>
  <c r="Q15" i="13"/>
  <c r="R15" i="13" s="1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H17" i="13"/>
  <c r="I17" i="13"/>
  <c r="J17" i="13" a="1"/>
  <c r="J17" i="13" s="1"/>
  <c r="K17" i="13"/>
  <c r="L17" i="13"/>
  <c r="N17" i="13"/>
  <c r="O17" i="13" s="1"/>
  <c r="Q17" i="13"/>
  <c r="R17" i="13" s="1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H21" i="13"/>
  <c r="I21" i="13"/>
  <c r="J21" i="13" a="1"/>
  <c r="J21" i="13" s="1"/>
  <c r="K21" i="13"/>
  <c r="L21" i="13"/>
  <c r="M21" i="13"/>
  <c r="N21" i="13"/>
  <c r="O21" i="13" s="1"/>
  <c r="P21" i="13"/>
  <c r="Q21" i="13"/>
  <c r="R21" i="13" s="1"/>
  <c r="S21" i="13"/>
  <c r="H19" i="13"/>
  <c r="I19" i="13"/>
  <c r="J19" i="13" a="1"/>
  <c r="J19" i="13" s="1"/>
  <c r="K19" i="13"/>
  <c r="L19" i="13"/>
  <c r="N19" i="13"/>
  <c r="O19" i="13" s="1"/>
  <c r="Q19" i="13"/>
  <c r="R19" i="13" s="1"/>
  <c r="H24" i="13"/>
  <c r="I24" i="13"/>
  <c r="J24" i="13" a="1"/>
  <c r="J24" i="13" s="1"/>
  <c r="K24" i="13"/>
  <c r="L24" i="13"/>
  <c r="N24" i="13"/>
  <c r="O24" i="13" s="1"/>
  <c r="Q24" i="13"/>
  <c r="R24" i="13" s="1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H25" i="13"/>
  <c r="I25" i="13"/>
  <c r="J25" i="13" a="1"/>
  <c r="J25" i="13" s="1"/>
  <c r="K25" i="13"/>
  <c r="L25" i="13"/>
  <c r="N25" i="13"/>
  <c r="O25" i="13" s="1"/>
  <c r="Q25" i="13"/>
  <c r="R25" i="13" s="1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/>
  <c r="S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H33" i="13"/>
  <c r="I33" i="13"/>
  <c r="J33" i="13" a="1"/>
  <c r="J33" i="13" s="1"/>
  <c r="K33" i="13"/>
  <c r="L33" i="13"/>
  <c r="N33" i="13"/>
  <c r="O33" i="13" s="1"/>
  <c r="Q33" i="13"/>
  <c r="R33" i="13" s="1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N34" i="13"/>
  <c r="O34" i="13" s="1"/>
  <c r="Q34" i="13"/>
  <c r="R34" i="13" s="1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5" i="13"/>
  <c r="I35" i="13"/>
  <c r="J35" i="13" a="1"/>
  <c r="J35" i="13" s="1"/>
  <c r="K35" i="13"/>
  <c r="L35" i="13"/>
  <c r="N35" i="13"/>
  <c r="O35" i="13" s="1"/>
  <c r="Q35" i="13"/>
  <c r="R35" i="13" s="1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T10" i="13"/>
  <c r="H10" i="13"/>
  <c r="I10" i="13"/>
  <c r="J10" i="13" a="1"/>
  <c r="J10" i="13" s="1"/>
  <c r="K10" i="13"/>
  <c r="L10" i="13"/>
  <c r="M10" i="13"/>
  <c r="N10" i="13"/>
  <c r="O10" i="13" s="1"/>
  <c r="P10" i="13"/>
  <c r="Q10" i="13"/>
  <c r="R10" i="13" s="1"/>
  <c r="S10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8" i="13" s="1"/>
  <c r="AC71" i="15"/>
  <c r="S8" i="13" s="1"/>
  <c r="AD71" i="15"/>
  <c r="M8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46" i="13"/>
  <c r="I46" i="13"/>
  <c r="J46" i="13" a="1"/>
  <c r="J46" i="13" s="1"/>
  <c r="K46" i="13"/>
  <c r="L46" i="13"/>
  <c r="M46" i="13"/>
  <c r="N46" i="13"/>
  <c r="O46" i="13" s="1"/>
  <c r="P46" i="13"/>
  <c r="Q46" i="13"/>
  <c r="R46" i="13" s="1"/>
  <c r="S46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19" i="13" s="1"/>
  <c r="AC52" i="15"/>
  <c r="S19" i="13" s="1"/>
  <c r="AD52" i="15"/>
  <c r="M19" i="13" s="1"/>
  <c r="AA53" i="15"/>
  <c r="AB53" i="15"/>
  <c r="P34" i="13" s="1"/>
  <c r="AC53" i="15"/>
  <c r="S34" i="13" s="1"/>
  <c r="AD53" i="15"/>
  <c r="M34" i="13" s="1"/>
  <c r="AA54" i="15"/>
  <c r="AB54" i="15"/>
  <c r="P35" i="13" s="1"/>
  <c r="AC54" i="15"/>
  <c r="S35" i="13" s="1"/>
  <c r="AD54" i="15"/>
  <c r="M35" i="13" s="1"/>
  <c r="AA55" i="15"/>
  <c r="AB55" i="15"/>
  <c r="AC55" i="15"/>
  <c r="AD55" i="15"/>
  <c r="M9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T15" i="11"/>
  <c r="H15" i="11"/>
  <c r="I15" i="11"/>
  <c r="J15" i="11" a="1"/>
  <c r="J15" i="11" s="1"/>
  <c r="K15" i="11"/>
  <c r="L15" i="11"/>
  <c r="N15" i="11"/>
  <c r="O15" i="11" s="1"/>
  <c r="Q15" i="11"/>
  <c r="R15" i="11" s="1"/>
  <c r="S15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T40" i="11"/>
  <c r="H40" i="11"/>
  <c r="I40" i="11"/>
  <c r="J40" i="11" a="1"/>
  <c r="J40" i="11" s="1"/>
  <c r="K40" i="11"/>
  <c r="L40" i="11"/>
  <c r="M40" i="11"/>
  <c r="N40" i="11"/>
  <c r="O40" i="11" s="1"/>
  <c r="P40" i="11"/>
  <c r="Q40" i="11"/>
  <c r="R40" i="11" s="1"/>
  <c r="AF15" i="13"/>
  <c r="AG15" i="13"/>
  <c r="AH15" i="13"/>
  <c r="AI15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N11" i="13"/>
  <c r="O11" i="13" s="1"/>
  <c r="Q11" i="13"/>
  <c r="R11" i="13" s="1"/>
  <c r="AF33" i="13"/>
  <c r="AG33" i="13"/>
  <c r="AH33" i="13"/>
  <c r="AI33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33" i="13" s="1"/>
  <c r="AC31" i="15"/>
  <c r="S33" i="13" s="1"/>
  <c r="AD31" i="15"/>
  <c r="M33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24" i="13" s="1"/>
  <c r="AC37" i="15"/>
  <c r="S24" i="13" s="1"/>
  <c r="AD37" i="15"/>
  <c r="M24" i="13" s="1"/>
  <c r="AA38" i="15"/>
  <c r="AB38" i="15"/>
  <c r="AC38" i="15"/>
  <c r="AD38" i="15"/>
  <c r="AA39" i="15"/>
  <c r="AB39" i="15"/>
  <c r="AC39" i="15"/>
  <c r="AD39" i="15"/>
  <c r="AA40" i="15"/>
  <c r="AB40" i="15"/>
  <c r="P11" i="13" s="1"/>
  <c r="AC40" i="15"/>
  <c r="S11" i="13" s="1"/>
  <c r="AD40" i="15"/>
  <c r="M11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S40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38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17" i="13" s="1"/>
  <c r="AC23" i="15"/>
  <c r="S17" i="13" s="1"/>
  <c r="AD23" i="15"/>
  <c r="M17" i="13" s="1"/>
  <c r="AA24" i="15"/>
  <c r="AB24" i="15"/>
  <c r="AC24" i="15"/>
  <c r="AD24" i="15"/>
  <c r="AA25" i="15"/>
  <c r="AB25" i="15"/>
  <c r="P15" i="13" s="1"/>
  <c r="AC25" i="15"/>
  <c r="S15" i="13" s="1"/>
  <c r="AD25" i="15"/>
  <c r="M15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P15" i="11" s="1"/>
  <c r="AC510" i="10"/>
  <c r="AD510" i="10"/>
  <c r="M15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18" i="13" s="1"/>
  <c r="AC6" i="15"/>
  <c r="S18" i="13" s="1"/>
  <c r="AD6" i="15"/>
  <c r="M18" i="13" s="1"/>
  <c r="AA7" i="15"/>
  <c r="AB7" i="15"/>
  <c r="P6" i="13" s="1"/>
  <c r="AC7" i="15"/>
  <c r="AD7" i="15"/>
  <c r="M6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25" i="13" s="1"/>
  <c r="AC11" i="15"/>
  <c r="S25" i="13" s="1"/>
  <c r="AD11" i="15"/>
  <c r="M25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H36" i="16"/>
  <c r="AI36" i="16"/>
  <c r="AJ36" i="16"/>
  <c r="AK36" i="16"/>
  <c r="AL36" i="16"/>
  <c r="AM36" i="16"/>
  <c r="R36" i="16"/>
  <c r="R35" i="16"/>
  <c r="R32" i="16"/>
  <c r="R30" i="16"/>
  <c r="R29" i="16"/>
  <c r="R28" i="16"/>
  <c r="R26" i="16"/>
  <c r="R25" i="16"/>
  <c r="R23" i="16"/>
  <c r="R22" i="16"/>
  <c r="R21" i="16"/>
  <c r="R18" i="16"/>
  <c r="R16" i="16"/>
  <c r="R15" i="16"/>
  <c r="R14" i="16"/>
  <c r="R12" i="16"/>
  <c r="R10" i="16"/>
  <c r="R6" i="16"/>
  <c r="R5" i="16"/>
  <c r="R4" i="16"/>
  <c r="R3" i="16"/>
  <c r="R2" i="16"/>
  <c r="Q3" i="16"/>
  <c r="Q4" i="16"/>
  <c r="Q5" i="16"/>
  <c r="Q6" i="16"/>
  <c r="Q12" i="16"/>
  <c r="Q14" i="16"/>
  <c r="Q15" i="16"/>
  <c r="Q16" i="16"/>
  <c r="Q21" i="16"/>
  <c r="Q22" i="16"/>
  <c r="Q23" i="16"/>
  <c r="Q25" i="16"/>
  <c r="Q26" i="16"/>
  <c r="Q28" i="16"/>
  <c r="Q29" i="16"/>
  <c r="Q30" i="16"/>
  <c r="Q32" i="16"/>
  <c r="Q33" i="16"/>
  <c r="Q35" i="16"/>
  <c r="Q36" i="16"/>
  <c r="Q2" i="16"/>
  <c r="O3" i="16"/>
  <c r="P3" i="16" s="1"/>
  <c r="O4" i="16"/>
  <c r="P4" i="16" s="1"/>
  <c r="O5" i="16"/>
  <c r="P5" i="16" s="1"/>
  <c r="O6" i="16"/>
  <c r="P6" i="16" s="1"/>
  <c r="O10" i="16"/>
  <c r="P10" i="16" s="1"/>
  <c r="O12" i="16"/>
  <c r="P12" i="16" s="1"/>
  <c r="O14" i="16"/>
  <c r="P14" i="16" s="1"/>
  <c r="O15" i="16"/>
  <c r="P15" i="16" s="1"/>
  <c r="O16" i="16"/>
  <c r="P16" i="16" s="1"/>
  <c r="O18" i="16"/>
  <c r="P18" i="16" s="1"/>
  <c r="O21" i="16"/>
  <c r="P21" i="16" s="1"/>
  <c r="O22" i="16"/>
  <c r="P22" i="16" s="1"/>
  <c r="O23" i="16"/>
  <c r="P23" i="16" s="1"/>
  <c r="O25" i="16"/>
  <c r="P25" i="16" s="1"/>
  <c r="O26" i="16"/>
  <c r="P26" i="16" s="1"/>
  <c r="O28" i="16"/>
  <c r="P28" i="16" s="1"/>
  <c r="O29" i="16"/>
  <c r="P29" i="16" s="1"/>
  <c r="O30" i="16"/>
  <c r="P30" i="16" s="1"/>
  <c r="O32" i="16"/>
  <c r="P32" i="16" s="1"/>
  <c r="O33" i="16"/>
  <c r="P33" i="16" s="1"/>
  <c r="O35" i="16"/>
  <c r="P35" i="16" s="1"/>
  <c r="O36" i="16"/>
  <c r="P36" i="16" s="1"/>
  <c r="O2" i="16"/>
  <c r="P2" i="16" s="1"/>
  <c r="N3" i="16"/>
  <c r="N4" i="16"/>
  <c r="N5" i="16"/>
  <c r="N6" i="16"/>
  <c r="N12" i="16"/>
  <c r="N14" i="16"/>
  <c r="N15" i="16"/>
  <c r="N16" i="16"/>
  <c r="N18" i="16"/>
  <c r="N21" i="16"/>
  <c r="N22" i="16"/>
  <c r="N23" i="16"/>
  <c r="N25" i="16"/>
  <c r="N26" i="16"/>
  <c r="N28" i="16"/>
  <c r="N29" i="16"/>
  <c r="N30" i="16"/>
  <c r="N32" i="16"/>
  <c r="N33" i="16"/>
  <c r="N35" i="16"/>
  <c r="N36" i="16"/>
  <c r="N2" i="16"/>
  <c r="L3" i="16"/>
  <c r="M3" i="16" s="1"/>
  <c r="L4" i="16"/>
  <c r="M4" i="16" s="1"/>
  <c r="L5" i="16"/>
  <c r="M5" i="16" s="1"/>
  <c r="L6" i="16"/>
  <c r="M6" i="16" s="1"/>
  <c r="L10" i="16"/>
  <c r="M10" i="16" s="1"/>
  <c r="L12" i="16"/>
  <c r="M12" i="16" s="1"/>
  <c r="L14" i="16"/>
  <c r="M14" i="16" s="1"/>
  <c r="L15" i="16"/>
  <c r="M15" i="16" s="1"/>
  <c r="L16" i="16"/>
  <c r="M16" i="16" s="1"/>
  <c r="L18" i="16"/>
  <c r="M18" i="16" s="1"/>
  <c r="L21" i="16"/>
  <c r="M21" i="16" s="1"/>
  <c r="L22" i="16"/>
  <c r="M22" i="16" s="1"/>
  <c r="L23" i="16"/>
  <c r="M23" i="16" s="1"/>
  <c r="L25" i="16"/>
  <c r="M25" i="16" s="1"/>
  <c r="L26" i="16"/>
  <c r="M26" i="16" s="1"/>
  <c r="L28" i="16"/>
  <c r="M28" i="16" s="1"/>
  <c r="L29" i="16"/>
  <c r="M29" i="16" s="1"/>
  <c r="L30" i="16"/>
  <c r="M30" i="16" s="1"/>
  <c r="L32" i="16"/>
  <c r="M32" i="16" s="1"/>
  <c r="M33" i="16"/>
  <c r="L35" i="16"/>
  <c r="M35" i="16" s="1"/>
  <c r="L36" i="16"/>
  <c r="M36" i="16" s="1"/>
  <c r="L2" i="16"/>
  <c r="M2" i="16" s="1"/>
  <c r="K3" i="16"/>
  <c r="K4" i="16"/>
  <c r="K5" i="16"/>
  <c r="K6" i="16"/>
  <c r="K12" i="16"/>
  <c r="K14" i="16"/>
  <c r="K15" i="16"/>
  <c r="K16" i="16"/>
  <c r="K18" i="16"/>
  <c r="K21" i="16"/>
  <c r="K22" i="16"/>
  <c r="K23" i="16"/>
  <c r="K25" i="16"/>
  <c r="K26" i="16"/>
  <c r="K28" i="16"/>
  <c r="K29" i="16"/>
  <c r="K30" i="16"/>
  <c r="K32" i="16"/>
  <c r="K33" i="16"/>
  <c r="K35" i="16"/>
  <c r="K36" i="16"/>
  <c r="J3" i="16"/>
  <c r="J4" i="16"/>
  <c r="J5" i="16"/>
  <c r="J6" i="16"/>
  <c r="J10" i="16"/>
  <c r="J12" i="16"/>
  <c r="J14" i="16"/>
  <c r="J15" i="16"/>
  <c r="J16" i="16"/>
  <c r="J18" i="16"/>
  <c r="J21" i="16"/>
  <c r="J22" i="16"/>
  <c r="J23" i="16"/>
  <c r="J25" i="16"/>
  <c r="J26" i="16"/>
  <c r="J28" i="16"/>
  <c r="J29" i="16"/>
  <c r="J30" i="16"/>
  <c r="J32" i="16"/>
  <c r="J33" i="16"/>
  <c r="J35" i="16"/>
  <c r="J36" i="16"/>
  <c r="J2" i="16"/>
  <c r="I3" i="16"/>
  <c r="I4" i="16"/>
  <c r="I5" i="16"/>
  <c r="I6" i="16"/>
  <c r="I10" i="16"/>
  <c r="I12" i="16"/>
  <c r="I14" i="16"/>
  <c r="I15" i="16"/>
  <c r="I16" i="16"/>
  <c r="I18" i="16"/>
  <c r="I21" i="16"/>
  <c r="I22" i="16"/>
  <c r="I23" i="16"/>
  <c r="I25" i="16"/>
  <c r="I26" i="16"/>
  <c r="I28" i="16"/>
  <c r="I29" i="16"/>
  <c r="I30" i="16"/>
  <c r="I32" i="16"/>
  <c r="I33" i="16"/>
  <c r="I35" i="16"/>
  <c r="I36" i="16"/>
  <c r="I2" i="16"/>
  <c r="H3" i="16" a="1"/>
  <c r="H3" i="16" s="1"/>
  <c r="H4" i="16" a="1"/>
  <c r="H4" i="16" s="1"/>
  <c r="H5" i="16" a="1"/>
  <c r="H5" i="16" s="1"/>
  <c r="H6" i="16" a="1"/>
  <c r="H6" i="16" s="1"/>
  <c r="H10" i="16" a="1"/>
  <c r="H10" i="16" s="1"/>
  <c r="H12" i="16" a="1"/>
  <c r="H12" i="16" s="1"/>
  <c r="H14" i="16" a="1"/>
  <c r="H14" i="16" s="1"/>
  <c r="H15" i="16" a="1"/>
  <c r="H15" i="16" s="1"/>
  <c r="H16" i="16" a="1"/>
  <c r="H16" i="16" s="1"/>
  <c r="H18" i="16" a="1"/>
  <c r="H18" i="16" s="1"/>
  <c r="H21" i="16" a="1"/>
  <c r="H21" i="16" s="1"/>
  <c r="H22" i="16" a="1"/>
  <c r="H22" i="16" s="1"/>
  <c r="H23" i="16" a="1"/>
  <c r="H23" i="16" s="1"/>
  <c r="H25" i="16" a="1"/>
  <c r="H25" i="16" s="1"/>
  <c r="H26" i="16" a="1"/>
  <c r="H26" i="16" s="1"/>
  <c r="H28" i="16" a="1"/>
  <c r="H28" i="16" s="1"/>
  <c r="H29" i="16" a="1"/>
  <c r="H29" i="16" s="1"/>
  <c r="H30" i="16" a="1"/>
  <c r="H30" i="16" s="1"/>
  <c r="H32" i="16" a="1"/>
  <c r="H32" i="16" s="1"/>
  <c r="H33" i="16" a="1"/>
  <c r="H33" i="16" s="1"/>
  <c r="H35" i="16" a="1"/>
  <c r="H35" i="16" s="1"/>
  <c r="H36" i="16" a="1"/>
  <c r="H36" i="16" s="1"/>
  <c r="H2" i="16" a="1"/>
  <c r="H2" i="16" s="1"/>
  <c r="G3" i="16"/>
  <c r="G4" i="16"/>
  <c r="G5" i="16"/>
  <c r="G6" i="16"/>
  <c r="G10" i="16"/>
  <c r="G12" i="16"/>
  <c r="G14" i="16"/>
  <c r="G15" i="16"/>
  <c r="G16" i="16"/>
  <c r="G18" i="16"/>
  <c r="G21" i="16"/>
  <c r="G22" i="16"/>
  <c r="G23" i="16"/>
  <c r="G25" i="16"/>
  <c r="G26" i="16"/>
  <c r="G28" i="16"/>
  <c r="G29" i="16"/>
  <c r="G30" i="16"/>
  <c r="G32" i="16"/>
  <c r="G33" i="16"/>
  <c r="G35" i="16"/>
  <c r="G36" i="16"/>
  <c r="G2" i="16"/>
  <c r="F3" i="16"/>
  <c r="F4" i="16"/>
  <c r="F5" i="16"/>
  <c r="F6" i="16"/>
  <c r="F10" i="16"/>
  <c r="F12" i="16"/>
  <c r="F14" i="16"/>
  <c r="F15" i="16"/>
  <c r="F16" i="16"/>
  <c r="F18" i="16"/>
  <c r="F21" i="16"/>
  <c r="F22" i="16"/>
  <c r="F23" i="16"/>
  <c r="F25" i="16"/>
  <c r="F26" i="16"/>
  <c r="F28" i="16"/>
  <c r="F29" i="16"/>
  <c r="F30" i="16"/>
  <c r="F32" i="16"/>
  <c r="F33" i="16"/>
  <c r="F35" i="16"/>
  <c r="F36" i="16"/>
  <c r="F2" i="16"/>
  <c r="K10" i="16"/>
  <c r="Q10" i="16"/>
  <c r="N10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AF16" i="13"/>
  <c r="AG16" i="13"/>
  <c r="AH16" i="13"/>
  <c r="AI16" i="13"/>
  <c r="AF17" i="13"/>
  <c r="AG17" i="13"/>
  <c r="AH17" i="13"/>
  <c r="AI17" i="13"/>
  <c r="AF18" i="13"/>
  <c r="AG18" i="13"/>
  <c r="AH18" i="13"/>
  <c r="AI18" i="13"/>
  <c r="AF24" i="13"/>
  <c r="AG24" i="13"/>
  <c r="AH24" i="13"/>
  <c r="AI24" i="13"/>
  <c r="AF25" i="13"/>
  <c r="AG25" i="13"/>
  <c r="AH25" i="13"/>
  <c r="AI25" i="13"/>
  <c r="AF26" i="13"/>
  <c r="AG26" i="13"/>
  <c r="AH26" i="13"/>
  <c r="AI26" i="13"/>
  <c r="AF27" i="13"/>
  <c r="AG27" i="13"/>
  <c r="AH27" i="13"/>
  <c r="AI27" i="13"/>
  <c r="AF29" i="13"/>
  <c r="AG29" i="13"/>
  <c r="AH29" i="13"/>
  <c r="AI29" i="13"/>
  <c r="AF34" i="13"/>
  <c r="AG34" i="13"/>
  <c r="AH34" i="13"/>
  <c r="AI34" i="13"/>
  <c r="AF35" i="13"/>
  <c r="AG35" i="13"/>
  <c r="AH35" i="13"/>
  <c r="AI35" i="13"/>
  <c r="AF36" i="13"/>
  <c r="AG36" i="13"/>
  <c r="AH36" i="13"/>
  <c r="AI36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T43" i="13"/>
  <c r="T41" i="13"/>
  <c r="T40" i="13"/>
  <c r="T39" i="13"/>
  <c r="T38" i="13"/>
  <c r="T9" i="13"/>
  <c r="T7" i="13"/>
  <c r="T6" i="13"/>
  <c r="T5" i="13"/>
  <c r="S9" i="13"/>
  <c r="S38" i="13"/>
  <c r="S40" i="13"/>
  <c r="S41" i="13"/>
  <c r="Q5" i="13"/>
  <c r="R5" i="13" s="1"/>
  <c r="Q6" i="13"/>
  <c r="R6" i="13" s="1"/>
  <c r="Q7" i="13"/>
  <c r="R7" i="13" s="1"/>
  <c r="Q9" i="13"/>
  <c r="R9" i="13" s="1"/>
  <c r="Q38" i="13"/>
  <c r="R38" i="13" s="1"/>
  <c r="Q39" i="13"/>
  <c r="R39" i="13" s="1"/>
  <c r="Q40" i="13"/>
  <c r="R40" i="13" s="1"/>
  <c r="Q41" i="13"/>
  <c r="R41" i="13" s="1"/>
  <c r="Q43" i="13"/>
  <c r="R43" i="13" s="1"/>
  <c r="Q45" i="13"/>
  <c r="R45" i="13" s="1"/>
  <c r="N5" i="13"/>
  <c r="O5" i="13" s="1"/>
  <c r="N6" i="13"/>
  <c r="O6" i="13" s="1"/>
  <c r="N7" i="13"/>
  <c r="O7" i="13" s="1"/>
  <c r="N9" i="13"/>
  <c r="O9" i="13" s="1"/>
  <c r="N38" i="13"/>
  <c r="O38" i="13" s="1"/>
  <c r="N39" i="13"/>
  <c r="O39" i="13" s="1"/>
  <c r="N40" i="13"/>
  <c r="O40" i="13" s="1"/>
  <c r="N41" i="13"/>
  <c r="O41" i="13" s="1"/>
  <c r="N43" i="13"/>
  <c r="O43" i="13" s="1"/>
  <c r="N45" i="13"/>
  <c r="O45" i="13" s="1"/>
  <c r="M45" i="13"/>
  <c r="L5" i="13"/>
  <c r="L6" i="13"/>
  <c r="L7" i="13"/>
  <c r="L9" i="13"/>
  <c r="L38" i="13"/>
  <c r="L39" i="13"/>
  <c r="L40" i="13"/>
  <c r="L41" i="13"/>
  <c r="L43" i="13"/>
  <c r="L45" i="13"/>
  <c r="K5" i="13"/>
  <c r="K6" i="13"/>
  <c r="K7" i="13"/>
  <c r="K9" i="13"/>
  <c r="K38" i="13"/>
  <c r="K39" i="13"/>
  <c r="K40" i="13"/>
  <c r="K41" i="13"/>
  <c r="K43" i="13"/>
  <c r="K45" i="13"/>
  <c r="J5" i="13" a="1"/>
  <c r="J5" i="13" s="1"/>
  <c r="J6" i="13" a="1"/>
  <c r="J6" i="13" s="1"/>
  <c r="J7" i="13" a="1"/>
  <c r="J7" i="13" s="1"/>
  <c r="J9" i="13" a="1"/>
  <c r="J9" i="13" s="1"/>
  <c r="J38" i="13" a="1"/>
  <c r="J38" i="13" s="1"/>
  <c r="J39" i="13" a="1"/>
  <c r="J39" i="13" s="1"/>
  <c r="J40" i="13" a="1"/>
  <c r="J40" i="13" s="1"/>
  <c r="J41" i="13" a="1"/>
  <c r="J41" i="13" s="1"/>
  <c r="J43" i="13" a="1"/>
  <c r="J43" i="13" s="1"/>
  <c r="J45" i="13" a="1"/>
  <c r="J45" i="13" s="1"/>
  <c r="I5" i="13"/>
  <c r="I6" i="13"/>
  <c r="I7" i="13"/>
  <c r="I9" i="13"/>
  <c r="I38" i="13"/>
  <c r="I39" i="13"/>
  <c r="I40" i="13"/>
  <c r="I41" i="13"/>
  <c r="I43" i="13"/>
  <c r="I45" i="13"/>
  <c r="H5" i="13"/>
  <c r="H6" i="13"/>
  <c r="H7" i="13"/>
  <c r="H9" i="13"/>
  <c r="H38" i="13"/>
  <c r="H39" i="13"/>
  <c r="H40" i="13"/>
  <c r="H41" i="13"/>
  <c r="H43" i="13"/>
  <c r="H45" i="13"/>
  <c r="S6" i="13"/>
  <c r="P41" i="13"/>
  <c r="M41" i="13"/>
  <c r="P40" i="13"/>
  <c r="M40" i="13"/>
  <c r="P7" i="13"/>
  <c r="S7" i="13"/>
  <c r="M7" i="13"/>
  <c r="P43" i="13"/>
  <c r="S43" i="13"/>
  <c r="M43" i="13"/>
  <c r="P39" i="13"/>
  <c r="S39" i="13"/>
  <c r="M39" i="13"/>
  <c r="P9" i="13"/>
  <c r="P45" i="13"/>
  <c r="S45" i="13"/>
  <c r="P5" i="13"/>
  <c r="S5" i="13"/>
  <c r="M5" i="13"/>
  <c r="P38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20" i="12"/>
  <c r="Q22" i="12"/>
  <c r="Q37" i="12"/>
  <c r="Q38" i="12"/>
  <c r="Q42" i="12"/>
  <c r="Q43" i="12"/>
  <c r="Q45" i="12"/>
  <c r="Q46" i="12"/>
  <c r="Q50" i="12"/>
  <c r="Q53" i="12"/>
  <c r="Q54" i="12"/>
  <c r="Q56" i="12"/>
  <c r="Q57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3" i="12"/>
  <c r="N54" i="12"/>
  <c r="N56" i="12"/>
  <c r="N57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3" i="12"/>
  <c r="K54" i="12"/>
  <c r="K56" i="12"/>
  <c r="K57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9" i="12" s="1"/>
  <c r="AI52" i="9"/>
  <c r="Q59" i="12" s="1"/>
  <c r="AJ52" i="9"/>
  <c r="K59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8" i="12" s="1"/>
  <c r="AI102" i="9"/>
  <c r="Q58" i="12" s="1"/>
  <c r="AJ102" i="9"/>
  <c r="K58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5" i="12" s="1"/>
  <c r="AI564" i="9"/>
  <c r="Q55" i="12" s="1"/>
  <c r="AJ564" i="9"/>
  <c r="K55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1" i="12" s="1"/>
  <c r="AI678" i="9"/>
  <c r="Q51" i="12" s="1"/>
  <c r="AJ678" i="9"/>
  <c r="K51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P35" i="11" s="1"/>
  <c r="AC475" i="10"/>
  <c r="S35" i="11" s="1"/>
  <c r="AD475" i="10"/>
  <c r="M35" i="11" s="1"/>
  <c r="AA476" i="10"/>
  <c r="AB476" i="10"/>
  <c r="P4" i="11" s="1"/>
  <c r="AC476" i="10"/>
  <c r="S4" i="11" s="1"/>
  <c r="AD476" i="10"/>
  <c r="M4" i="11" s="1"/>
  <c r="AA477" i="10"/>
  <c r="AB477" i="10"/>
  <c r="P28" i="11" s="1"/>
  <c r="AC477" i="10"/>
  <c r="AD477" i="10"/>
  <c r="M28" i="11" s="1"/>
  <c r="AA478" i="10"/>
  <c r="AB478" i="10"/>
  <c r="P13" i="11" s="1"/>
  <c r="AC478" i="10"/>
  <c r="S13" i="11" s="1"/>
  <c r="AD478" i="10"/>
  <c r="M13" i="11" s="1"/>
  <c r="AA479" i="10"/>
  <c r="AB479" i="10"/>
  <c r="P22" i="11" s="1"/>
  <c r="AC479" i="10"/>
  <c r="S22" i="11" s="1"/>
  <c r="AD479" i="10"/>
  <c r="M22" i="11" s="1"/>
  <c r="AA480" i="10"/>
  <c r="AB480" i="10"/>
  <c r="P46" i="11" s="1"/>
  <c r="AC480" i="10"/>
  <c r="S46" i="11" s="1"/>
  <c r="AD480" i="10"/>
  <c r="M46" i="11" s="1"/>
  <c r="AA481" i="10"/>
  <c r="AB481" i="10"/>
  <c r="P32" i="11" s="1"/>
  <c r="AC481" i="10"/>
  <c r="AD481" i="10"/>
  <c r="M32" i="11" s="1"/>
  <c r="AA482" i="10"/>
  <c r="AB482" i="10"/>
  <c r="P44" i="11" s="1"/>
  <c r="AC482" i="10"/>
  <c r="S44" i="11" s="1"/>
  <c r="AD482" i="10"/>
  <c r="M44" i="11" s="1"/>
  <c r="AA483" i="10"/>
  <c r="AB483" i="10"/>
  <c r="P10" i="11" s="1"/>
  <c r="AC483" i="10"/>
  <c r="S10" i="11" s="1"/>
  <c r="AD483" i="10"/>
  <c r="M10" i="11" s="1"/>
  <c r="AA484" i="10"/>
  <c r="AB484" i="10"/>
  <c r="P11" i="11" s="1"/>
  <c r="AC484" i="10"/>
  <c r="S11" i="11" s="1"/>
  <c r="AD484" i="10"/>
  <c r="M11" i="11" s="1"/>
  <c r="AA485" i="10"/>
  <c r="AB485" i="10"/>
  <c r="P31" i="11" s="1"/>
  <c r="AC485" i="10"/>
  <c r="AD485" i="10"/>
  <c r="M31" i="11" s="1"/>
  <c r="AA486" i="10"/>
  <c r="AB486" i="10"/>
  <c r="P3" i="11" s="1"/>
  <c r="AC486" i="10"/>
  <c r="S3" i="11" s="1"/>
  <c r="AD486" i="10"/>
  <c r="M3" i="11" s="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H3" i="11"/>
  <c r="I3" i="11"/>
  <c r="J3" i="11" a="1"/>
  <c r="J3" i="11" s="1"/>
  <c r="K3" i="11"/>
  <c r="L3" i="11"/>
  <c r="N3" i="11"/>
  <c r="O3" i="11" s="1"/>
  <c r="Q3" i="11"/>
  <c r="R3" i="11" s="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T46" i="11"/>
  <c r="H46" i="11"/>
  <c r="I46" i="11"/>
  <c r="J46" i="11" a="1"/>
  <c r="J46" i="11" s="1"/>
  <c r="K46" i="11"/>
  <c r="L46" i="11"/>
  <c r="N46" i="11"/>
  <c r="O46" i="11" s="1"/>
  <c r="Q46" i="11"/>
  <c r="R46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P17" i="11" s="1"/>
  <c r="AC471" i="10"/>
  <c r="S17" i="11" s="1"/>
  <c r="AD471" i="10"/>
  <c r="M17" i="11" s="1"/>
  <c r="AA472" i="10"/>
  <c r="AB472" i="10"/>
  <c r="AC472" i="10"/>
  <c r="AD472" i="10"/>
  <c r="AA473" i="10"/>
  <c r="AB473" i="10"/>
  <c r="AC473" i="10"/>
  <c r="AD473" i="10"/>
  <c r="AA474" i="10"/>
  <c r="AB474" i="10"/>
  <c r="P54" i="11" s="1"/>
  <c r="AC474" i="10"/>
  <c r="S54" i="11" s="1"/>
  <c r="AD474" i="10"/>
  <c r="M54" i="11" s="1"/>
  <c r="AA451" i="10"/>
  <c r="AB451" i="10"/>
  <c r="P51" i="11" s="1"/>
  <c r="AC451" i="10"/>
  <c r="S51" i="11" s="1"/>
  <c r="AD451" i="10"/>
  <c r="M51" i="11" s="1"/>
  <c r="AA452" i="10"/>
  <c r="AB452" i="10"/>
  <c r="P20" i="11" s="1"/>
  <c r="AC452" i="10"/>
  <c r="S20" i="11" s="1"/>
  <c r="AD452" i="10"/>
  <c r="M20" i="11" s="1"/>
  <c r="AA453" i="10"/>
  <c r="AB453" i="10"/>
  <c r="P47" i="11" s="1"/>
  <c r="AC453" i="10"/>
  <c r="S47" i="11" s="1"/>
  <c r="AD453" i="10"/>
  <c r="M47" i="11" s="1"/>
  <c r="AA454" i="10"/>
  <c r="AB454" i="10"/>
  <c r="AC454" i="10"/>
  <c r="AD454" i="10"/>
  <c r="AA455" i="10"/>
  <c r="AB455" i="10"/>
  <c r="AC455" i="10"/>
  <c r="AD455" i="10"/>
  <c r="AA456" i="10"/>
  <c r="AB456" i="10"/>
  <c r="P9" i="11" s="1"/>
  <c r="AC456" i="10"/>
  <c r="S9" i="11" s="1"/>
  <c r="AD456" i="10"/>
  <c r="M9" i="11" s="1"/>
  <c r="AA457" i="10"/>
  <c r="AB457" i="10"/>
  <c r="P53" i="11" s="1"/>
  <c r="AC457" i="10"/>
  <c r="S53" i="11" s="1"/>
  <c r="AD457" i="10"/>
  <c r="M53" i="11" s="1"/>
  <c r="AA458" i="10"/>
  <c r="AB458" i="10"/>
  <c r="P5" i="11" s="1"/>
  <c r="AC458" i="10"/>
  <c r="S5" i="11" s="1"/>
  <c r="AD458" i="10"/>
  <c r="M5" i="11" s="1"/>
  <c r="AA459" i="10"/>
  <c r="AB459" i="10"/>
  <c r="AC459" i="10"/>
  <c r="AD459" i="10"/>
  <c r="AA460" i="10"/>
  <c r="AB460" i="10"/>
  <c r="P8" i="11" s="1"/>
  <c r="AC460" i="10"/>
  <c r="S8" i="11" s="1"/>
  <c r="AD460" i="10"/>
  <c r="M8" i="11" s="1"/>
  <c r="AA461" i="10"/>
  <c r="AB461" i="10"/>
  <c r="P12" i="11" s="1"/>
  <c r="AC461" i="10"/>
  <c r="S12" i="11" s="1"/>
  <c r="AD461" i="10"/>
  <c r="M12" i="11" s="1"/>
  <c r="AA462" i="10"/>
  <c r="AB462" i="10"/>
  <c r="P29" i="11" s="1"/>
  <c r="AC462" i="10"/>
  <c r="S29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P7" i="11" s="1"/>
  <c r="AC442" i="10"/>
  <c r="S7" i="11" s="1"/>
  <c r="AD442" i="10"/>
  <c r="M7" i="11" s="1"/>
  <c r="AA443" i="10"/>
  <c r="AB443" i="10"/>
  <c r="AC443" i="10"/>
  <c r="AD443" i="10"/>
  <c r="AA444" i="10"/>
  <c r="AB444" i="10"/>
  <c r="AC444" i="10"/>
  <c r="AD444" i="10"/>
  <c r="AA445" i="10"/>
  <c r="AB445" i="10"/>
  <c r="P25" i="11" s="1"/>
  <c r="AC445" i="10"/>
  <c r="S25" i="11" s="1"/>
  <c r="AD445" i="10"/>
  <c r="M25" i="11" s="1"/>
  <c r="AA446" i="10"/>
  <c r="AB446" i="10"/>
  <c r="AC446" i="10"/>
  <c r="AD446" i="10"/>
  <c r="AA447" i="10"/>
  <c r="AB447" i="10"/>
  <c r="P16" i="11" s="1"/>
  <c r="AC447" i="10"/>
  <c r="S16" i="11" s="1"/>
  <c r="AD447" i="10"/>
  <c r="M16" i="11" s="1"/>
  <c r="AA448" i="10"/>
  <c r="AB448" i="10"/>
  <c r="AC448" i="10"/>
  <c r="AD448" i="10"/>
  <c r="AA449" i="10"/>
  <c r="AB449" i="10"/>
  <c r="AC449" i="10"/>
  <c r="AD449" i="10"/>
  <c r="AA450" i="10"/>
  <c r="AB450" i="10"/>
  <c r="P24" i="11" s="1"/>
  <c r="AC450" i="10"/>
  <c r="S24" i="11" s="1"/>
  <c r="AD450" i="10"/>
  <c r="M24" i="11" s="1"/>
  <c r="H52" i="11"/>
  <c r="I52" i="11"/>
  <c r="J52" i="11" a="1"/>
  <c r="J52" i="11" s="1"/>
  <c r="K52" i="11"/>
  <c r="L52" i="11"/>
  <c r="N52" i="11"/>
  <c r="O52" i="11" s="1"/>
  <c r="Q52" i="11"/>
  <c r="R52" i="11" s="1"/>
  <c r="H41" i="11"/>
  <c r="I41" i="11"/>
  <c r="J41" i="11" a="1"/>
  <c r="J41" i="11" s="1"/>
  <c r="K41" i="11"/>
  <c r="L41" i="11"/>
  <c r="N41" i="11"/>
  <c r="O41" i="11" s="1"/>
  <c r="Q41" i="11"/>
  <c r="R41" i="11" s="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T41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P42" i="11" s="1"/>
  <c r="AC415" i="10"/>
  <c r="S42" i="11" s="1"/>
  <c r="AD415" i="10"/>
  <c r="M42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P36" i="11" s="1"/>
  <c r="AC435" i="10"/>
  <c r="S36" i="11" s="1"/>
  <c r="AD435" i="10"/>
  <c r="M36" i="11" s="1"/>
  <c r="AA436" i="10"/>
  <c r="AB436" i="10"/>
  <c r="P48" i="11" s="1"/>
  <c r="AC436" i="10"/>
  <c r="S48" i="11" s="1"/>
  <c r="AD436" i="10"/>
  <c r="M48" i="11" s="1"/>
  <c r="AA437" i="10"/>
  <c r="AB437" i="10"/>
  <c r="AC437" i="10"/>
  <c r="AD437" i="10"/>
  <c r="AA438" i="10"/>
  <c r="AB438" i="10"/>
  <c r="P52" i="11" s="1"/>
  <c r="AC438" i="10"/>
  <c r="S52" i="11" s="1"/>
  <c r="AD438" i="10"/>
  <c r="M52" i="11" s="1"/>
  <c r="AA439" i="10"/>
  <c r="AB439" i="10"/>
  <c r="AC439" i="10"/>
  <c r="AD439" i="10"/>
  <c r="AA440" i="10"/>
  <c r="AB440" i="10"/>
  <c r="AC440" i="10"/>
  <c r="AD440" i="10"/>
  <c r="T39" i="11"/>
  <c r="F24" i="12"/>
  <c r="G24" i="12"/>
  <c r="H24" i="12" a="1"/>
  <c r="H24" i="12" s="1"/>
  <c r="I24" i="12"/>
  <c r="J24" i="12"/>
  <c r="L24" i="12"/>
  <c r="M24" i="12" s="1"/>
  <c r="O24" i="12"/>
  <c r="P24" i="12" s="1"/>
  <c r="U43" i="11"/>
  <c r="V43" i="11"/>
  <c r="W43" i="11"/>
  <c r="X43" i="11"/>
  <c r="Y43" i="11"/>
  <c r="Z43" i="11"/>
  <c r="AA43" i="11"/>
  <c r="AB43" i="11"/>
  <c r="AC43" i="11"/>
  <c r="AD43" i="11"/>
  <c r="AE43" i="11"/>
  <c r="AF43" i="11"/>
  <c r="AG43" i="11"/>
  <c r="AH43" i="11"/>
  <c r="AI43" i="11"/>
  <c r="T43" i="11"/>
  <c r="H43" i="11"/>
  <c r="I43" i="11"/>
  <c r="J43" i="11" a="1"/>
  <c r="J43" i="11" s="1"/>
  <c r="K43" i="11"/>
  <c r="L43" i="11"/>
  <c r="N43" i="11"/>
  <c r="O43" i="11" s="1"/>
  <c r="Q43" i="11"/>
  <c r="R43" i="11" s="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T31" i="11"/>
  <c r="H31" i="11"/>
  <c r="I31" i="11"/>
  <c r="J31" i="11" a="1"/>
  <c r="J31" i="11" s="1"/>
  <c r="K31" i="11"/>
  <c r="L31" i="11"/>
  <c r="N31" i="11"/>
  <c r="O31" i="11" s="1"/>
  <c r="Q31" i="11"/>
  <c r="R31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P41" i="11" s="1"/>
  <c r="AC414" i="10"/>
  <c r="S41" i="11" s="1"/>
  <c r="AD414" i="10"/>
  <c r="M41" i="11" s="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T49" i="11"/>
  <c r="H49" i="11"/>
  <c r="I49" i="11"/>
  <c r="J49" i="11" a="1"/>
  <c r="J49" i="11" s="1"/>
  <c r="K49" i="11"/>
  <c r="L49" i="11"/>
  <c r="N49" i="11"/>
  <c r="O49" i="11" s="1"/>
  <c r="Q49" i="11"/>
  <c r="R49" i="11" s="1"/>
  <c r="AA390" i="10"/>
  <c r="AB390" i="10"/>
  <c r="AC390" i="10"/>
  <c r="AD390" i="10"/>
  <c r="AA391" i="10"/>
  <c r="AB391" i="10"/>
  <c r="AC391" i="10"/>
  <c r="AD391" i="10"/>
  <c r="AA392" i="10"/>
  <c r="AB392" i="10"/>
  <c r="P38" i="11" s="1"/>
  <c r="AC392" i="10"/>
  <c r="S38" i="11" s="1"/>
  <c r="AD392" i="10"/>
  <c r="M38" i="11" s="1"/>
  <c r="AA393" i="10"/>
  <c r="AB393" i="10"/>
  <c r="P19" i="11" s="1"/>
  <c r="AC393" i="10"/>
  <c r="S19" i="11" s="1"/>
  <c r="AD393" i="10"/>
  <c r="M19" i="11" s="1"/>
  <c r="AA394" i="10"/>
  <c r="AB394" i="10"/>
  <c r="AC394" i="10"/>
  <c r="AD394" i="10"/>
  <c r="AA395" i="10"/>
  <c r="AB395" i="10"/>
  <c r="AC395" i="10"/>
  <c r="AD395" i="10"/>
  <c r="AA396" i="10"/>
  <c r="AB396" i="10"/>
  <c r="P49" i="11" s="1"/>
  <c r="AC396" i="10"/>
  <c r="S49" i="11" s="1"/>
  <c r="AD396" i="10"/>
  <c r="M49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T11" i="11"/>
  <c r="H11" i="11"/>
  <c r="I11" i="11"/>
  <c r="J11" i="11" a="1"/>
  <c r="J11" i="11" s="1"/>
  <c r="K11" i="11"/>
  <c r="L11" i="11"/>
  <c r="N11" i="11"/>
  <c r="O11" i="11" s="1"/>
  <c r="Q11" i="11"/>
  <c r="R11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C4" i="11"/>
  <c r="AC5" i="11"/>
  <c r="AC6" i="11"/>
  <c r="AC7" i="11"/>
  <c r="AC9" i="11"/>
  <c r="AC10" i="11"/>
  <c r="AC12" i="11"/>
  <c r="AC13" i="11"/>
  <c r="AC16" i="11"/>
  <c r="AC17" i="11"/>
  <c r="AC18" i="11"/>
  <c r="AC19" i="11"/>
  <c r="AC20" i="11"/>
  <c r="AC22" i="11"/>
  <c r="AC23" i="11"/>
  <c r="AC24" i="11"/>
  <c r="AC25" i="11"/>
  <c r="AC26" i="11"/>
  <c r="AC27" i="11"/>
  <c r="AC28" i="11"/>
  <c r="AC29" i="11"/>
  <c r="AC30" i="11"/>
  <c r="AC32" i="11"/>
  <c r="AC34" i="11"/>
  <c r="AC35" i="11"/>
  <c r="AC36" i="11"/>
  <c r="AC37" i="11"/>
  <c r="AC38" i="11"/>
  <c r="AC39" i="11"/>
  <c r="AC42" i="11"/>
  <c r="AC44" i="11"/>
  <c r="AC47" i="11"/>
  <c r="AC48" i="11"/>
  <c r="AC51" i="11"/>
  <c r="AC52" i="11"/>
  <c r="AC53" i="11"/>
  <c r="AC54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P39" i="11" s="1"/>
  <c r="AC361" i="10"/>
  <c r="S39" i="11" s="1"/>
  <c r="AD361" i="10"/>
  <c r="M39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U52" i="11"/>
  <c r="V52" i="11"/>
  <c r="W52" i="11"/>
  <c r="X52" i="11"/>
  <c r="Y52" i="11"/>
  <c r="Z52" i="11"/>
  <c r="AA52" i="11"/>
  <c r="AB52" i="11"/>
  <c r="AD52" i="11"/>
  <c r="AE52" i="11"/>
  <c r="AF52" i="11"/>
  <c r="AG52" i="11"/>
  <c r="AH52" i="11"/>
  <c r="AI52" i="11"/>
  <c r="T52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M29" i="11" l="1"/>
  <c r="M43" i="11"/>
  <c r="P43" i="11"/>
  <c r="S43" i="11"/>
  <c r="S31" i="11"/>
  <c r="S32" i="11"/>
  <c r="S28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U4" i="11"/>
  <c r="V4" i="11"/>
  <c r="W4" i="11"/>
  <c r="X4" i="11"/>
  <c r="Y4" i="11"/>
  <c r="Z4" i="11"/>
  <c r="AA4" i="11"/>
  <c r="AB4" i="11"/>
  <c r="AD4" i="11"/>
  <c r="AE4" i="11"/>
  <c r="AF4" i="11"/>
  <c r="AG4" i="11"/>
  <c r="AH4" i="11"/>
  <c r="AI4" i="11"/>
  <c r="T4" i="11"/>
  <c r="Q4" i="11"/>
  <c r="R4" i="11" s="1"/>
  <c r="N4" i="11"/>
  <c r="O4" i="11" s="1"/>
  <c r="L4" i="11"/>
  <c r="K4" i="11"/>
  <c r="J4" i="11" a="1"/>
  <c r="J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U24" i="11"/>
  <c r="V24" i="11"/>
  <c r="W24" i="11"/>
  <c r="X24" i="11"/>
  <c r="Y24" i="11"/>
  <c r="Z24" i="11"/>
  <c r="AA24" i="11"/>
  <c r="AB24" i="11"/>
  <c r="AD24" i="11"/>
  <c r="AE24" i="11"/>
  <c r="AF24" i="11"/>
  <c r="AG24" i="11"/>
  <c r="AH24" i="11"/>
  <c r="AI24" i="11"/>
  <c r="T24" i="11"/>
  <c r="Q24" i="11"/>
  <c r="R24" i="11" s="1"/>
  <c r="N24" i="11"/>
  <c r="L24" i="11"/>
  <c r="K24" i="11"/>
  <c r="I24" i="11"/>
  <c r="H24" i="11"/>
  <c r="J24" i="11" a="1"/>
  <c r="J24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1" i="12"/>
  <c r="P51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P58" i="12" s="1"/>
  <c r="O59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1" i="12"/>
  <c r="M51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59" i="12"/>
  <c r="M59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1" i="12"/>
  <c r="J53" i="12"/>
  <c r="J54" i="12"/>
  <c r="J55" i="12"/>
  <c r="J56" i="12"/>
  <c r="J57" i="12"/>
  <c r="J58" i="12"/>
  <c r="J59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1" i="12"/>
  <c r="I53" i="12"/>
  <c r="I54" i="12"/>
  <c r="I55" i="12"/>
  <c r="I56" i="12"/>
  <c r="I57" i="12"/>
  <c r="I58" i="12"/>
  <c r="I59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1" i="12" a="1"/>
  <c r="H51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1" i="12"/>
  <c r="G53" i="12"/>
  <c r="G54" i="12"/>
  <c r="G55" i="12"/>
  <c r="G56" i="12"/>
  <c r="G57" i="12"/>
  <c r="G58" i="12"/>
  <c r="G59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1" i="12"/>
  <c r="F53" i="12"/>
  <c r="F54" i="12"/>
  <c r="F55" i="12"/>
  <c r="F56" i="12"/>
  <c r="F57" i="12"/>
  <c r="F58" i="12"/>
  <c r="F59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U54" i="11"/>
  <c r="V54" i="11"/>
  <c r="W54" i="11"/>
  <c r="X54" i="11"/>
  <c r="Y54" i="11"/>
  <c r="Z54" i="11"/>
  <c r="AA54" i="11"/>
  <c r="AB54" i="11"/>
  <c r="AD54" i="11"/>
  <c r="AE54" i="11"/>
  <c r="AF54" i="11"/>
  <c r="AG54" i="11"/>
  <c r="AH54" i="11"/>
  <c r="AI54" i="11"/>
  <c r="T54" i="11"/>
  <c r="U53" i="11"/>
  <c r="V53" i="11"/>
  <c r="W53" i="11"/>
  <c r="X53" i="11"/>
  <c r="Y53" i="11"/>
  <c r="Z53" i="11"/>
  <c r="AA53" i="11"/>
  <c r="AB53" i="11"/>
  <c r="AD53" i="11"/>
  <c r="AE53" i="11"/>
  <c r="AF53" i="11"/>
  <c r="AG53" i="11"/>
  <c r="AH53" i="11"/>
  <c r="AI53" i="11"/>
  <c r="T53" i="11"/>
  <c r="U51" i="11"/>
  <c r="V51" i="11"/>
  <c r="W51" i="11"/>
  <c r="X51" i="11"/>
  <c r="Y51" i="11"/>
  <c r="Z51" i="11"/>
  <c r="AA51" i="11"/>
  <c r="AB51" i="11"/>
  <c r="AD51" i="11"/>
  <c r="AE51" i="11"/>
  <c r="AF51" i="11"/>
  <c r="AG51" i="11"/>
  <c r="AH51" i="11"/>
  <c r="AI51" i="11"/>
  <c r="T51" i="11"/>
  <c r="U48" i="11"/>
  <c r="V48" i="11"/>
  <c r="W48" i="11"/>
  <c r="X48" i="11"/>
  <c r="Y48" i="11"/>
  <c r="Z48" i="11"/>
  <c r="AA48" i="11"/>
  <c r="AB48" i="11"/>
  <c r="AD48" i="11"/>
  <c r="AE48" i="11"/>
  <c r="AF48" i="11"/>
  <c r="AG48" i="11"/>
  <c r="AH48" i="11"/>
  <c r="AI48" i="11"/>
  <c r="T48" i="11"/>
  <c r="U47" i="11"/>
  <c r="V47" i="11"/>
  <c r="W47" i="11"/>
  <c r="X47" i="11"/>
  <c r="Y47" i="11"/>
  <c r="Z47" i="11"/>
  <c r="AA47" i="11"/>
  <c r="AB47" i="11"/>
  <c r="AD47" i="11"/>
  <c r="AE47" i="11"/>
  <c r="AF47" i="11"/>
  <c r="AG47" i="11"/>
  <c r="AH47" i="11"/>
  <c r="AI47" i="11"/>
  <c r="T47" i="11"/>
  <c r="U44" i="11"/>
  <c r="V44" i="11"/>
  <c r="W44" i="11"/>
  <c r="X44" i="11"/>
  <c r="Y44" i="11"/>
  <c r="Z44" i="11"/>
  <c r="AA44" i="11"/>
  <c r="AB44" i="11"/>
  <c r="AD44" i="11"/>
  <c r="AE44" i="11"/>
  <c r="AF44" i="11"/>
  <c r="AG44" i="11"/>
  <c r="AH44" i="11"/>
  <c r="AI44" i="11"/>
  <c r="T44" i="11"/>
  <c r="U42" i="11"/>
  <c r="V42" i="11"/>
  <c r="W42" i="11"/>
  <c r="X42" i="11"/>
  <c r="Y42" i="11"/>
  <c r="Z42" i="11"/>
  <c r="AA42" i="11"/>
  <c r="AB42" i="11"/>
  <c r="AD42" i="11"/>
  <c r="AE42" i="11"/>
  <c r="AF42" i="11"/>
  <c r="AG42" i="11"/>
  <c r="AH42" i="11"/>
  <c r="AI42" i="11"/>
  <c r="T42" i="11"/>
  <c r="U39" i="11"/>
  <c r="V39" i="11"/>
  <c r="W39" i="11"/>
  <c r="X39" i="11"/>
  <c r="Y39" i="11"/>
  <c r="Z39" i="11"/>
  <c r="AA39" i="11"/>
  <c r="AB39" i="11"/>
  <c r="AD39" i="11"/>
  <c r="AE39" i="11"/>
  <c r="AF39" i="11"/>
  <c r="AG39" i="11"/>
  <c r="AH39" i="11"/>
  <c r="AI39" i="11"/>
  <c r="U38" i="11"/>
  <c r="V38" i="11"/>
  <c r="W38" i="11"/>
  <c r="X38" i="11"/>
  <c r="Y38" i="11"/>
  <c r="Z38" i="11"/>
  <c r="AA38" i="11"/>
  <c r="AB38" i="11"/>
  <c r="AD38" i="11"/>
  <c r="AE38" i="11"/>
  <c r="AF38" i="11"/>
  <c r="AG38" i="11"/>
  <c r="AH38" i="11"/>
  <c r="AI38" i="11"/>
  <c r="T38" i="11"/>
  <c r="U37" i="11"/>
  <c r="V37" i="11"/>
  <c r="W37" i="11"/>
  <c r="X37" i="11"/>
  <c r="Y37" i="11"/>
  <c r="Z37" i="11"/>
  <c r="AA37" i="11"/>
  <c r="AB37" i="11"/>
  <c r="AD37" i="11"/>
  <c r="AE37" i="11"/>
  <c r="AF37" i="11"/>
  <c r="AG37" i="11"/>
  <c r="AH37" i="11"/>
  <c r="AI37" i="11"/>
  <c r="T37" i="11"/>
  <c r="U36" i="11"/>
  <c r="V36" i="11"/>
  <c r="W36" i="11"/>
  <c r="X36" i="11"/>
  <c r="Y36" i="11"/>
  <c r="Z36" i="11"/>
  <c r="AA36" i="11"/>
  <c r="AB36" i="11"/>
  <c r="AD36" i="11"/>
  <c r="AE36" i="11"/>
  <c r="AF36" i="11"/>
  <c r="AG36" i="11"/>
  <c r="AH36" i="11"/>
  <c r="AI36" i="11"/>
  <c r="T36" i="11"/>
  <c r="U35" i="11"/>
  <c r="V35" i="11"/>
  <c r="W35" i="11"/>
  <c r="X35" i="11"/>
  <c r="Y35" i="11"/>
  <c r="Z35" i="11"/>
  <c r="AA35" i="11"/>
  <c r="AB35" i="11"/>
  <c r="AD35" i="11"/>
  <c r="AE35" i="11"/>
  <c r="AF35" i="11"/>
  <c r="AG35" i="11"/>
  <c r="AH35" i="11"/>
  <c r="AI35" i="11"/>
  <c r="T35" i="11"/>
  <c r="U34" i="11"/>
  <c r="V34" i="11"/>
  <c r="W34" i="11"/>
  <c r="X34" i="11"/>
  <c r="Y34" i="11"/>
  <c r="Z34" i="11"/>
  <c r="AA34" i="11"/>
  <c r="AB34" i="11"/>
  <c r="AD34" i="11"/>
  <c r="AE34" i="11"/>
  <c r="AF34" i="11"/>
  <c r="AG34" i="11"/>
  <c r="AH34" i="11"/>
  <c r="AI34" i="11"/>
  <c r="T34" i="11"/>
  <c r="U32" i="11"/>
  <c r="V32" i="11"/>
  <c r="W32" i="11"/>
  <c r="X32" i="11"/>
  <c r="Y32" i="11"/>
  <c r="Z32" i="11"/>
  <c r="AA32" i="11"/>
  <c r="AB32" i="11"/>
  <c r="AD32" i="11"/>
  <c r="AE32" i="11"/>
  <c r="AF32" i="11"/>
  <c r="AG32" i="11"/>
  <c r="AH32" i="11"/>
  <c r="AI32" i="11"/>
  <c r="T32" i="11"/>
  <c r="U30" i="11"/>
  <c r="V30" i="11"/>
  <c r="W30" i="11"/>
  <c r="X30" i="11"/>
  <c r="Y30" i="11"/>
  <c r="Z30" i="11"/>
  <c r="AA30" i="11"/>
  <c r="AB30" i="11"/>
  <c r="AD30" i="11"/>
  <c r="AE30" i="11"/>
  <c r="AF30" i="11"/>
  <c r="AG30" i="11"/>
  <c r="AH30" i="11"/>
  <c r="AI30" i="11"/>
  <c r="T30" i="11"/>
  <c r="U29" i="11"/>
  <c r="V29" i="11"/>
  <c r="W29" i="11"/>
  <c r="X29" i="11"/>
  <c r="Y29" i="11"/>
  <c r="Z29" i="11"/>
  <c r="AA29" i="11"/>
  <c r="AB29" i="11"/>
  <c r="AD29" i="11"/>
  <c r="AE29" i="11"/>
  <c r="AF29" i="11"/>
  <c r="AG29" i="11"/>
  <c r="AH29" i="11"/>
  <c r="AI29" i="11"/>
  <c r="T29" i="11"/>
  <c r="U28" i="11"/>
  <c r="V28" i="11"/>
  <c r="W28" i="11"/>
  <c r="X28" i="11"/>
  <c r="Y28" i="11"/>
  <c r="Z28" i="11"/>
  <c r="AA28" i="11"/>
  <c r="AB28" i="11"/>
  <c r="AD28" i="11"/>
  <c r="AE28" i="11"/>
  <c r="AF28" i="11"/>
  <c r="AG28" i="11"/>
  <c r="AH28" i="11"/>
  <c r="AI28" i="11"/>
  <c r="T28" i="11"/>
  <c r="U27" i="11"/>
  <c r="V27" i="11"/>
  <c r="W27" i="11"/>
  <c r="X27" i="11"/>
  <c r="Y27" i="11"/>
  <c r="Z27" i="11"/>
  <c r="AA27" i="11"/>
  <c r="AB27" i="11"/>
  <c r="AD27" i="11"/>
  <c r="AE27" i="11"/>
  <c r="AF27" i="11"/>
  <c r="AG27" i="11"/>
  <c r="AH27" i="11"/>
  <c r="AI27" i="11"/>
  <c r="T27" i="11"/>
  <c r="U26" i="11"/>
  <c r="V26" i="11"/>
  <c r="W26" i="11"/>
  <c r="X26" i="11"/>
  <c r="Y26" i="11"/>
  <c r="Z26" i="11"/>
  <c r="AA26" i="11"/>
  <c r="AB26" i="11"/>
  <c r="AD26" i="11"/>
  <c r="AE26" i="11"/>
  <c r="AF26" i="11"/>
  <c r="AG26" i="11"/>
  <c r="AH26" i="11"/>
  <c r="AI26" i="11"/>
  <c r="T26" i="11"/>
  <c r="U25" i="11"/>
  <c r="V25" i="11"/>
  <c r="W25" i="11"/>
  <c r="X25" i="11"/>
  <c r="Y25" i="11"/>
  <c r="Z25" i="11"/>
  <c r="AA25" i="11"/>
  <c r="AB25" i="11"/>
  <c r="AD25" i="11"/>
  <c r="AE25" i="11"/>
  <c r="AF25" i="11"/>
  <c r="AG25" i="11"/>
  <c r="AH25" i="11"/>
  <c r="AI25" i="11"/>
  <c r="T25" i="11"/>
  <c r="U23" i="11"/>
  <c r="V23" i="11"/>
  <c r="W23" i="11"/>
  <c r="X23" i="11"/>
  <c r="Y23" i="11"/>
  <c r="Z23" i="11"/>
  <c r="AA23" i="11"/>
  <c r="AB23" i="11"/>
  <c r="AD23" i="11"/>
  <c r="AE23" i="11"/>
  <c r="AF23" i="11"/>
  <c r="AG23" i="11"/>
  <c r="AH23" i="11"/>
  <c r="AI23" i="11"/>
  <c r="T23" i="11"/>
  <c r="U22" i="11"/>
  <c r="V22" i="11"/>
  <c r="W22" i="11"/>
  <c r="X22" i="11"/>
  <c r="Y22" i="11"/>
  <c r="Z22" i="11"/>
  <c r="AA22" i="11"/>
  <c r="AB22" i="11"/>
  <c r="AD22" i="11"/>
  <c r="AE22" i="11"/>
  <c r="AF22" i="11"/>
  <c r="AG22" i="11"/>
  <c r="AH22" i="11"/>
  <c r="AI22" i="11"/>
  <c r="T22" i="11"/>
  <c r="U20" i="11"/>
  <c r="V20" i="11"/>
  <c r="W20" i="11"/>
  <c r="X20" i="11"/>
  <c r="Y20" i="11"/>
  <c r="Z20" i="11"/>
  <c r="AA20" i="11"/>
  <c r="AB20" i="11"/>
  <c r="AD20" i="11"/>
  <c r="AE20" i="11"/>
  <c r="AF20" i="11"/>
  <c r="AG20" i="11"/>
  <c r="AH20" i="11"/>
  <c r="AI20" i="11"/>
  <c r="T20" i="11"/>
  <c r="U19" i="11"/>
  <c r="V19" i="11"/>
  <c r="W19" i="11"/>
  <c r="X19" i="11"/>
  <c r="Y19" i="11"/>
  <c r="Z19" i="11"/>
  <c r="AA19" i="11"/>
  <c r="AB19" i="11"/>
  <c r="AD19" i="11"/>
  <c r="AE19" i="11"/>
  <c r="AF19" i="11"/>
  <c r="AG19" i="11"/>
  <c r="AH19" i="11"/>
  <c r="AI19" i="11"/>
  <c r="T19" i="11"/>
  <c r="U18" i="11"/>
  <c r="V18" i="11"/>
  <c r="W18" i="11"/>
  <c r="X18" i="11"/>
  <c r="Y18" i="11"/>
  <c r="Z18" i="11"/>
  <c r="AA18" i="11"/>
  <c r="AB18" i="11"/>
  <c r="AD18" i="11"/>
  <c r="AE18" i="11"/>
  <c r="AF18" i="11"/>
  <c r="AG18" i="11"/>
  <c r="AH18" i="11"/>
  <c r="AI18" i="11"/>
  <c r="T18" i="11"/>
  <c r="U17" i="11"/>
  <c r="V17" i="11"/>
  <c r="W17" i="11"/>
  <c r="X17" i="11"/>
  <c r="Y17" i="11"/>
  <c r="Z17" i="11"/>
  <c r="AA17" i="11"/>
  <c r="AB17" i="11"/>
  <c r="AD17" i="11"/>
  <c r="AE17" i="11"/>
  <c r="AF17" i="11"/>
  <c r="AG17" i="11"/>
  <c r="AH17" i="11"/>
  <c r="AI17" i="11"/>
  <c r="T17" i="11"/>
  <c r="U13" i="11"/>
  <c r="V13" i="11"/>
  <c r="W13" i="11"/>
  <c r="X13" i="11"/>
  <c r="Y13" i="11"/>
  <c r="Z13" i="11"/>
  <c r="AA13" i="11"/>
  <c r="AB13" i="11"/>
  <c r="AD13" i="11"/>
  <c r="AE13" i="11"/>
  <c r="AF13" i="11"/>
  <c r="AG13" i="11"/>
  <c r="AH13" i="11"/>
  <c r="AI13" i="11"/>
  <c r="T13" i="11"/>
  <c r="U12" i="11"/>
  <c r="V12" i="11"/>
  <c r="W12" i="11"/>
  <c r="X12" i="11"/>
  <c r="Y12" i="11"/>
  <c r="Z12" i="11"/>
  <c r="AA12" i="11"/>
  <c r="AB12" i="11"/>
  <c r="AD12" i="11"/>
  <c r="AE12" i="11"/>
  <c r="AF12" i="11"/>
  <c r="AG12" i="11"/>
  <c r="AH12" i="11"/>
  <c r="AI12" i="11"/>
  <c r="T12" i="11"/>
  <c r="U10" i="11"/>
  <c r="V10" i="11"/>
  <c r="W10" i="11"/>
  <c r="X10" i="11"/>
  <c r="Y10" i="11"/>
  <c r="Z10" i="11"/>
  <c r="AA10" i="11"/>
  <c r="AB10" i="11"/>
  <c r="AD10" i="11"/>
  <c r="AE10" i="11"/>
  <c r="AF10" i="11"/>
  <c r="AG10" i="11"/>
  <c r="AH10" i="11"/>
  <c r="AI10" i="11"/>
  <c r="T10" i="11"/>
  <c r="U9" i="11"/>
  <c r="V9" i="11"/>
  <c r="W9" i="11"/>
  <c r="X9" i="11"/>
  <c r="Y9" i="11"/>
  <c r="Z9" i="11"/>
  <c r="AA9" i="11"/>
  <c r="AB9" i="11"/>
  <c r="AD9" i="11"/>
  <c r="AE9" i="11"/>
  <c r="AF9" i="11"/>
  <c r="AG9" i="11"/>
  <c r="AH9" i="11"/>
  <c r="AI9" i="11"/>
  <c r="T9" i="11"/>
  <c r="T8" i="11"/>
  <c r="U7" i="11"/>
  <c r="V7" i="11"/>
  <c r="W7" i="11"/>
  <c r="X7" i="11"/>
  <c r="Y7" i="11"/>
  <c r="Z7" i="11"/>
  <c r="AA7" i="11"/>
  <c r="AB7" i="11"/>
  <c r="AD7" i="11"/>
  <c r="AE7" i="11"/>
  <c r="AF7" i="11"/>
  <c r="AG7" i="11"/>
  <c r="AH7" i="11"/>
  <c r="AI7" i="11"/>
  <c r="T7" i="11"/>
  <c r="U6" i="11"/>
  <c r="V6" i="11"/>
  <c r="W6" i="11"/>
  <c r="X6" i="11"/>
  <c r="Y6" i="11"/>
  <c r="Z6" i="11"/>
  <c r="AA6" i="11"/>
  <c r="AB6" i="11"/>
  <c r="AD6" i="11"/>
  <c r="AE6" i="11"/>
  <c r="AF6" i="11"/>
  <c r="AG6" i="11"/>
  <c r="AH6" i="11"/>
  <c r="AI6" i="11"/>
  <c r="T6" i="11"/>
  <c r="U5" i="11"/>
  <c r="V5" i="11"/>
  <c r="W5" i="11"/>
  <c r="X5" i="11"/>
  <c r="Y5" i="11"/>
  <c r="Z5" i="11"/>
  <c r="AA5" i="11"/>
  <c r="AB5" i="11"/>
  <c r="AD5" i="11"/>
  <c r="AE5" i="11"/>
  <c r="AF5" i="11"/>
  <c r="AG5" i="11"/>
  <c r="AH5" i="11"/>
  <c r="AI5" i="11"/>
  <c r="T5" i="11"/>
  <c r="U16" i="11"/>
  <c r="V16" i="11"/>
  <c r="W16" i="11"/>
  <c r="X16" i="11"/>
  <c r="Y16" i="11"/>
  <c r="Z16" i="11"/>
  <c r="AA16" i="11"/>
  <c r="AB16" i="11"/>
  <c r="AD16" i="11"/>
  <c r="AE16" i="11"/>
  <c r="AF16" i="11"/>
  <c r="AG16" i="11"/>
  <c r="AH16" i="11"/>
  <c r="AI16" i="11"/>
  <c r="T16" i="11"/>
  <c r="Q5" i="11"/>
  <c r="R5" i="11" s="1"/>
  <c r="N6" i="11"/>
  <c r="O6" i="11" s="1"/>
  <c r="N7" i="11"/>
  <c r="O7" i="11" s="1"/>
  <c r="N8" i="11"/>
  <c r="O8" i="11" s="1"/>
  <c r="N9" i="11"/>
  <c r="O9" i="11" s="1"/>
  <c r="N10" i="11"/>
  <c r="O10" i="11" s="1"/>
  <c r="N12" i="11"/>
  <c r="O12" i="11" s="1"/>
  <c r="N13" i="11"/>
  <c r="O13" i="11" s="1"/>
  <c r="N16" i="11"/>
  <c r="O16" i="11" s="1"/>
  <c r="N17" i="11"/>
  <c r="O17" i="11" s="1"/>
  <c r="N18" i="11"/>
  <c r="O18" i="11" s="1"/>
  <c r="N19" i="11"/>
  <c r="O19" i="11" s="1"/>
  <c r="N20" i="11"/>
  <c r="O20" i="11" s="1"/>
  <c r="N22" i="11"/>
  <c r="O22" i="11" s="1"/>
  <c r="N23" i="11"/>
  <c r="O23" i="11" s="1"/>
  <c r="N25" i="11"/>
  <c r="O25" i="11" s="1"/>
  <c r="N26" i="11"/>
  <c r="O26" i="11" s="1"/>
  <c r="N27" i="11"/>
  <c r="O27" i="11" s="1"/>
  <c r="N28" i="11"/>
  <c r="O28" i="11" s="1"/>
  <c r="N29" i="11"/>
  <c r="O29" i="11" s="1"/>
  <c r="N30" i="11"/>
  <c r="O30" i="11" s="1"/>
  <c r="N32" i="11"/>
  <c r="O32" i="11" s="1"/>
  <c r="N34" i="11"/>
  <c r="O34" i="11" s="1"/>
  <c r="N35" i="11"/>
  <c r="O35" i="11" s="1"/>
  <c r="N36" i="11"/>
  <c r="O36" i="11" s="1"/>
  <c r="N37" i="11"/>
  <c r="O37" i="11" s="1"/>
  <c r="N38" i="11"/>
  <c r="O38" i="11" s="1"/>
  <c r="N39" i="11"/>
  <c r="O39" i="11" s="1"/>
  <c r="N42" i="11"/>
  <c r="O42" i="11" s="1"/>
  <c r="N44" i="11"/>
  <c r="O44" i="11" s="1"/>
  <c r="N47" i="11"/>
  <c r="O47" i="11" s="1"/>
  <c r="N48" i="11"/>
  <c r="O48" i="11" s="1"/>
  <c r="N51" i="11"/>
  <c r="O51" i="11" s="1"/>
  <c r="N53" i="11"/>
  <c r="O53" i="11" s="1"/>
  <c r="N54" i="11"/>
  <c r="O54" i="11" s="1"/>
  <c r="N5" i="11"/>
  <c r="O5" i="11" s="1"/>
  <c r="L6" i="11"/>
  <c r="L7" i="11"/>
  <c r="L8" i="11"/>
  <c r="L9" i="11"/>
  <c r="L10" i="11"/>
  <c r="L12" i="11"/>
  <c r="L13" i="11"/>
  <c r="L16" i="11"/>
  <c r="L17" i="11"/>
  <c r="L18" i="11"/>
  <c r="L19" i="11"/>
  <c r="L20" i="11"/>
  <c r="L22" i="11"/>
  <c r="L23" i="11"/>
  <c r="L25" i="11"/>
  <c r="L26" i="11"/>
  <c r="L27" i="11"/>
  <c r="L28" i="11"/>
  <c r="L29" i="11"/>
  <c r="L30" i="11"/>
  <c r="L32" i="11"/>
  <c r="L34" i="11"/>
  <c r="L35" i="11"/>
  <c r="L36" i="11"/>
  <c r="L37" i="11"/>
  <c r="L38" i="11"/>
  <c r="L39" i="11"/>
  <c r="L42" i="11"/>
  <c r="L44" i="11"/>
  <c r="L47" i="11"/>
  <c r="L48" i="11"/>
  <c r="L51" i="11"/>
  <c r="L53" i="11"/>
  <c r="L54" i="11"/>
  <c r="L5" i="11"/>
  <c r="K6" i="11"/>
  <c r="K7" i="11"/>
  <c r="K8" i="11"/>
  <c r="K9" i="11"/>
  <c r="K10" i="11"/>
  <c r="K12" i="11"/>
  <c r="K13" i="11"/>
  <c r="K16" i="11"/>
  <c r="K17" i="11"/>
  <c r="K18" i="11"/>
  <c r="K19" i="11"/>
  <c r="K20" i="11"/>
  <c r="K22" i="11"/>
  <c r="K23" i="11"/>
  <c r="K25" i="11"/>
  <c r="K26" i="11"/>
  <c r="K27" i="11"/>
  <c r="K28" i="11"/>
  <c r="K29" i="11"/>
  <c r="K30" i="11"/>
  <c r="K32" i="11"/>
  <c r="K34" i="11"/>
  <c r="K35" i="11"/>
  <c r="K36" i="11"/>
  <c r="K37" i="11"/>
  <c r="K38" i="11"/>
  <c r="K39" i="11"/>
  <c r="K42" i="11"/>
  <c r="K44" i="11"/>
  <c r="K47" i="11"/>
  <c r="K48" i="11"/>
  <c r="K51" i="11"/>
  <c r="K53" i="11"/>
  <c r="K54" i="11"/>
  <c r="K5" i="11"/>
  <c r="Q6" i="11"/>
  <c r="R6" i="11" s="1"/>
  <c r="Q7" i="11"/>
  <c r="R7" i="11" s="1"/>
  <c r="Q8" i="11"/>
  <c r="R8" i="11" s="1"/>
  <c r="Q9" i="11"/>
  <c r="R9" i="11" s="1"/>
  <c r="Q10" i="11"/>
  <c r="R10" i="11" s="1"/>
  <c r="Q13" i="11"/>
  <c r="R13" i="11" s="1"/>
  <c r="Q16" i="11"/>
  <c r="R16" i="11" s="1"/>
  <c r="Q17" i="11"/>
  <c r="R17" i="11" s="1"/>
  <c r="Q18" i="11"/>
  <c r="R18" i="11" s="1"/>
  <c r="Q19" i="11"/>
  <c r="R19" i="11" s="1"/>
  <c r="Q20" i="11"/>
  <c r="R20" i="11" s="1"/>
  <c r="Q22" i="11"/>
  <c r="R22" i="11" s="1"/>
  <c r="Q23" i="11"/>
  <c r="R23" i="11" s="1"/>
  <c r="Q25" i="11"/>
  <c r="R25" i="11" s="1"/>
  <c r="Q26" i="11"/>
  <c r="R26" i="11" s="1"/>
  <c r="Q27" i="11"/>
  <c r="R27" i="11" s="1"/>
  <c r="Q28" i="11"/>
  <c r="R28" i="11" s="1"/>
  <c r="Q29" i="11"/>
  <c r="Q30" i="11"/>
  <c r="R30" i="11" s="1"/>
  <c r="Q32" i="11"/>
  <c r="R32" i="11" s="1"/>
  <c r="Q34" i="11"/>
  <c r="R34" i="11" s="1"/>
  <c r="Q35" i="11"/>
  <c r="R35" i="11" s="1"/>
  <c r="Q36" i="11"/>
  <c r="R36" i="11" s="1"/>
  <c r="Q37" i="11"/>
  <c r="R37" i="11" s="1"/>
  <c r="Q38" i="11"/>
  <c r="R38" i="11" s="1"/>
  <c r="Q39" i="11"/>
  <c r="R39" i="11" s="1"/>
  <c r="Q42" i="11"/>
  <c r="R42" i="11" s="1"/>
  <c r="Q44" i="11"/>
  <c r="R44" i="11" s="1"/>
  <c r="Q47" i="11"/>
  <c r="R47" i="11" s="1"/>
  <c r="Q48" i="11"/>
  <c r="R48" i="11" s="1"/>
  <c r="Q51" i="11"/>
  <c r="R51" i="11" s="1"/>
  <c r="Q53" i="11"/>
  <c r="R53" i="11" s="1"/>
  <c r="Q54" i="11"/>
  <c r="R54" i="11" s="1"/>
  <c r="J13" i="11" a="1"/>
  <c r="J13" i="11" s="1"/>
  <c r="J16" i="11" a="1"/>
  <c r="J16" i="11" s="1"/>
  <c r="J17" i="11" a="1"/>
  <c r="J17" i="11" s="1"/>
  <c r="J18" i="11" a="1"/>
  <c r="J18" i="11" s="1"/>
  <c r="J19" i="11" a="1"/>
  <c r="J19" i="11" s="1"/>
  <c r="J20" i="11" a="1"/>
  <c r="J20" i="11" s="1"/>
  <c r="J22" i="11" a="1"/>
  <c r="J22" i="11" s="1"/>
  <c r="J23" i="11" a="1"/>
  <c r="J23" i="11" s="1"/>
  <c r="J25" i="11" a="1"/>
  <c r="J25" i="11" s="1"/>
  <c r="J26" i="11" a="1"/>
  <c r="J26" i="11" s="1"/>
  <c r="J27" i="11" a="1"/>
  <c r="J27" i="11" s="1"/>
  <c r="J28" i="11" a="1"/>
  <c r="J28" i="11" s="1"/>
  <c r="J29" i="11" a="1"/>
  <c r="J29" i="11" s="1"/>
  <c r="J30" i="11" a="1"/>
  <c r="J30" i="11" s="1"/>
  <c r="J32" i="11" a="1"/>
  <c r="J32" i="11" s="1"/>
  <c r="J34" i="11" a="1"/>
  <c r="J34" i="11" s="1"/>
  <c r="J35" i="11" a="1"/>
  <c r="J35" i="11" s="1"/>
  <c r="J36" i="11" a="1"/>
  <c r="J36" i="11" s="1"/>
  <c r="J37" i="11" a="1"/>
  <c r="J37" i="11" s="1"/>
  <c r="J38" i="11" a="1"/>
  <c r="J38" i="11" s="1"/>
  <c r="J39" i="11" a="1"/>
  <c r="J39" i="11" s="1"/>
  <c r="J42" i="11" a="1"/>
  <c r="J42" i="11" s="1"/>
  <c r="J44" i="11" a="1"/>
  <c r="J44" i="11" s="1"/>
  <c r="J47" i="11" a="1"/>
  <c r="J47" i="11" s="1"/>
  <c r="J48" i="11" a="1"/>
  <c r="J48" i="11" s="1"/>
  <c r="J51" i="11" a="1"/>
  <c r="J51" i="11" s="1"/>
  <c r="J53" i="11" a="1"/>
  <c r="J53" i="11" s="1"/>
  <c r="J54" i="11" a="1"/>
  <c r="J54" i="11" s="1"/>
  <c r="J5" i="11" a="1"/>
  <c r="J5" i="11" s="1"/>
  <c r="J6" i="11" a="1"/>
  <c r="J6" i="11" s="1"/>
  <c r="J7" i="11" a="1"/>
  <c r="J7" i="11" s="1"/>
  <c r="J8" i="11" a="1"/>
  <c r="J8" i="11" s="1"/>
  <c r="J9" i="11" a="1"/>
  <c r="J9" i="11" s="1"/>
  <c r="J10" i="11" a="1"/>
  <c r="J10" i="11" s="1"/>
  <c r="J12" i="11" a="1"/>
  <c r="J12" i="11" s="1"/>
  <c r="I5" i="11"/>
  <c r="I6" i="11"/>
  <c r="I7" i="11"/>
  <c r="I8" i="11"/>
  <c r="I9" i="11"/>
  <c r="I10" i="11"/>
  <c r="I13" i="11"/>
  <c r="I16" i="11"/>
  <c r="I17" i="11"/>
  <c r="I18" i="11"/>
  <c r="I19" i="11"/>
  <c r="I20" i="11"/>
  <c r="I22" i="11"/>
  <c r="I23" i="11"/>
  <c r="I25" i="11"/>
  <c r="I26" i="11"/>
  <c r="I27" i="11"/>
  <c r="I28" i="11"/>
  <c r="I29" i="11"/>
  <c r="I30" i="11"/>
  <c r="I32" i="11"/>
  <c r="I34" i="11"/>
  <c r="I35" i="11"/>
  <c r="I36" i="11"/>
  <c r="I37" i="11"/>
  <c r="I38" i="11"/>
  <c r="I39" i="11"/>
  <c r="I42" i="11"/>
  <c r="I44" i="11"/>
  <c r="I47" i="11"/>
  <c r="I48" i="11"/>
  <c r="I51" i="11"/>
  <c r="I53" i="11"/>
  <c r="I54" i="11"/>
  <c r="H12" i="11"/>
  <c r="H13" i="11"/>
  <c r="H16" i="11"/>
  <c r="H17" i="11"/>
  <c r="H18" i="11"/>
  <c r="H19" i="11"/>
  <c r="H20" i="11"/>
  <c r="H22" i="11"/>
  <c r="H23" i="11"/>
  <c r="H25" i="11"/>
  <c r="H26" i="11"/>
  <c r="H27" i="11"/>
  <c r="H28" i="11"/>
  <c r="H29" i="11"/>
  <c r="H30" i="11"/>
  <c r="H32" i="11"/>
  <c r="H34" i="11"/>
  <c r="H35" i="11"/>
  <c r="H36" i="11"/>
  <c r="H37" i="11"/>
  <c r="H38" i="11"/>
  <c r="H39" i="11"/>
  <c r="H42" i="11"/>
  <c r="H44" i="11"/>
  <c r="H47" i="11"/>
  <c r="H48" i="11"/>
  <c r="H51" i="11"/>
  <c r="H53" i="11"/>
  <c r="H54" i="11"/>
  <c r="H5" i="11"/>
  <c r="H6" i="11"/>
  <c r="H7" i="11"/>
  <c r="H8" i="11"/>
  <c r="H9" i="11"/>
  <c r="H10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Q12" i="11"/>
  <c r="R12" i="11" s="1"/>
  <c r="I12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M37" i="11" l="1"/>
  <c r="S37" i="11"/>
  <c r="P37" i="11"/>
  <c r="M18" i="11"/>
  <c r="S18" i="11"/>
  <c r="P18" i="11"/>
  <c r="M26" i="11"/>
  <c r="S26" i="11"/>
  <c r="P26" i="11"/>
  <c r="M34" i="11"/>
  <c r="S34" i="11"/>
  <c r="P34" i="11"/>
  <c r="M30" i="11"/>
  <c r="S30" i="11"/>
  <c r="P30" i="11"/>
  <c r="M23" i="11"/>
  <c r="S23" i="11"/>
  <c r="P23" i="11"/>
  <c r="M6" i="11"/>
  <c r="S6" i="11"/>
  <c r="P6" i="11"/>
  <c r="M27" i="11"/>
  <c r="S27" i="11"/>
  <c r="P27" i="11"/>
  <c r="O24" i="11"/>
  <c r="M45" i="12"/>
  <c r="R29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<sst xmlns="http://schemas.openxmlformats.org/spreadsheetml/2006/main" count="3944" uniqueCount="180">
  <si>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</si>
  <si>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</si>
  <si>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</si>
  <si>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</si>
  <si>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</si>
  <si>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</si>
  <si>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</si>
  <si>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</si>
  <si>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</si>
  <si>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</si>
  <si>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</si>
  <si>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</si>
  <si>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</si>
  <si>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</si>
  <si>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</si>
  <si>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</si>
  <si>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</si>
  <si>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</si>
  <si>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</si>
  <si>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</si>
  <si>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</si>
  <si>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</si>
  <si>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</si>
  <si>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</si>
  <si>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</si>
  <si>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</si>
  <si>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</si>
  <si>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</si>
  <si>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</si>
  <si>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</si>
  <si>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</si>
  <si>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</si>
  <si>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</si>
  <si>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</si>
  <si>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</si>
  <si>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</si>
  <si>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</si>
  <si>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</si>
  <si>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</si>
  <si>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</si>
  <si>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</si>
  <si>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</si>
  <si>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</si>
  <si>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</si>
  <si>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</si>
  <si>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</si>
  <si>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</si>
  <si>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</si>
  <si>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</si>
  <si>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</si>
  <si>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</si>
  <si>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</si>
  <si>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</si>
  <si>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</si>
  <si>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</si>
  <si>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</si>
  <si>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</si>
  <si>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</si>
  <si>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</si>
  <si>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</si>
  <si>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</si>
  <si>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</si>
  <si>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</si>
  <si>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</si>
  <si>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</si>
  <si>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</si>
  <si>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</si>
  <si>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</si>
  <si>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</si>
  <si>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</si>
  <si>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</si>
  <si>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</si>
  <si>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</si>
  <si>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</si>
  <si>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</si>
  <si>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</si>
  <si>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</si>
  <si>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</si>
  <si>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</si>
  <si>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</si>
  <si>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</si>
  <si>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</si>
  <si>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</si>
  <si>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</si>
  <si>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</si>
  <si>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</si>
  <si>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</si>
  <si>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</si>
  <si>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</si>
  <si>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</si>
  <si>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</si>
  <si>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</si>
  <si>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</si>
  <si>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</si>
  <si>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</si>
  <si>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</si>
  <si>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</si>
  <si>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</si>
  <si>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</si>
  <si>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</si>
  <si>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</si>
  <si>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</si>
  <si>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</si>
  <si>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</si>
  <si>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</si>
  <si>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</si>
  <si>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</si>
  <si>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</si>
  <si>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</si>
  <si>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</si>
  <si>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</si>
  <si>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</si>
  <si>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</si>
  <si>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</si>
  <si>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</si>
  <si>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</si>
  <si>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</si>
  <si>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</si>
  <si>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</si>
  <si>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</si>
  <si>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</si>
  <si>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</si>
  <si>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</si>
  <si>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</si>
  <si>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</si>
  <si>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</si>
  <si>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</si>
  <si>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</si>
  <si>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</si>
  <si>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</si>
  <si>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</si>
  <si>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</si>
  <si>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</si>
  <si>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</si>
  <si>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</si>
  <si>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</si>
  <si>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</si>
  <si>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</si>
  <si>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</si>
  <si>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</si>
  <si>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</si>
  <si>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</si>
  <si>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</si>
  <si>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</si>
  <si>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</si>
  <si>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</si>
  <si>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</si>
  <si>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</si>
  <si>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</si>
  <si>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</si>
  <si>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</si>
  <si>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</si>
  <si>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</si>
  <si>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</si>
  <si>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</si>
  <si>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</si>
  <si>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</si>
  <si>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</si>
  <si>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</si>
  <si>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</si>
  <si>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</si>
  <si>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</si>
  <si>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</si>
  <si>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</si>
  <si>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</si>
  <si>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</si>
  <si>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</si>
  <si>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Sketch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</si>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</sst>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I54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E57" sqref="E5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35">
        <f t="array" ref="J2">MAX(IF('OB History'!B:B=A2, 'OB History'!C:C))</f>
        <v>2</v>
      </c>
      <c r="K2" s="34">
        <f>COUNTIFS('OB History'!B:B,A2,'OB History'!D:D, 1)</f>
        <v>1</v>
      </c>
      <c r="L2" s="2">
        <f>COUNTIFS('OB History'!B:B,A2,'OB History'!D:D, 0)</f>
        <v>0</v>
      </c>
      <c r="M2" s="88">
        <f>LOOKUP(2, 1/('OB History'!$B:$B=A2), 'OB History'!$AD:$AD)</f>
        <v>1</v>
      </c>
      <c r="N2" s="34">
        <f>SUMIFS('OB History'!F:F,'OB History'!B:B,A2)</f>
        <v>3</v>
      </c>
      <c r="O2" s="2">
        <f>SUMIFS('OB History'!E:E,'OB History'!B:B,A2)-N2</f>
        <v>2</v>
      </c>
      <c r="P2" s="88">
        <f>LOOKUP(2, 1/('OB History'!$B:$B=A2), 'OB History'!$AB:$AB)</f>
        <v>0.6</v>
      </c>
      <c r="Q2" s="34">
        <f>SUMIFS('OB History'!H:H,'OB History'!B:B,A2)</f>
        <v>14</v>
      </c>
      <c r="R2" s="2">
        <f>SUMIFS('OB History'!G:G,'OB History'!B:B,A2)-Q2</f>
        <v>6</v>
      </c>
      <c r="S2" s="88">
        <f>LOOKUP(2, 1/('OB History'!$B:$B=A2), 'OB History'!$AC:$AC)</f>
        <v>0.7</v>
      </c>
      <c r="T2" s="2">
        <f>COUNTIFS('OB History'!$B:$B,$A$2,'OB History'!K:K, 1)</f>
        <v>0</v>
      </c>
      <c r="U2" s="2">
        <f>COUNTIFS('OB History'!$B:$B,$A$2,'OB History'!L:L, 1)</f>
        <v>0</v>
      </c>
      <c r="V2" s="2">
        <f>COUNTIFS('OB History'!$B:$B,$A$2,'OB History'!M:M, 1)</f>
        <v>0</v>
      </c>
      <c r="W2" s="2">
        <f>COUNTIFS('OB History'!$B:$B,$A$2,'OB History'!N:N, 1)</f>
        <v>1</v>
      </c>
      <c r="X2" s="2">
        <f>COUNTIFS('OB History'!$B:$B,$A$2,'OB History'!O:O, 1)</f>
        <v>0</v>
      </c>
      <c r="Y2" s="2">
        <f>COUNTIFS('OB History'!$B:$B,$A$2,'OB History'!P:P, 1)</f>
        <v>0</v>
      </c>
      <c r="Z2" s="2">
        <f>COUNTIFS('OB History'!$B:$B,$A$2,'OB History'!Q:Q, 1)</f>
        <v>0</v>
      </c>
      <c r="AA2" s="2">
        <f>COUNTIFS('OB History'!$B:$B,$A$2,'OB History'!R:R, 1)</f>
        <v>0</v>
      </c>
      <c r="AB2" s="2">
        <f>COUNTIFS('OB History'!$B:$B,$A$2,'OB History'!S:S, 1)</f>
        <v>0</v>
      </c>
      <c r="AC2" s="2">
        <f>COUNTIFS('OB History'!$B:$B,$A$2,'OB History'!T:T, 1)</f>
        <v>0</v>
      </c>
      <c r="AD2" s="2">
        <f>COUNTIFS('OB History'!$B:$B,$A$2,'OB History'!U:U, 1)</f>
        <v>0</v>
      </c>
      <c r="AE2" s="2">
        <f>COUNTIFS('OB History'!$B:$B,$A$2,'OB History'!V:V, 1)</f>
        <v>0</v>
      </c>
      <c r="AF2" s="2">
        <f>COUNTIFS('OB History'!$B:$B,$A$2,'OB History'!W:W, 1)</f>
        <v>0</v>
      </c>
      <c r="AG2" s="2">
        <f>COUNTIFS('OB History'!$B:$B,$A$2,'OB History'!X:X, 1)</f>
        <v>1</v>
      </c>
      <c r="AH2" s="2">
        <f>COUNTIFS('OB History'!$B:$B,$A$2,'OB History'!Y:Y, 1)</f>
        <v>0</v>
      </c>
      <c r="AI2" s="2">
        <f>COUNTIFS('OB History'!$B:$B,$A$2,'OB History'!Z:Z,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103</v>
      </c>
      <c r="I3" s="4">
        <f>AVERAGEIFS('OB History'!C:C,'OB History'!B:B,A3)</f>
        <v>11.444444444444445</v>
      </c>
      <c r="J3" s="35">
        <f t="array" ref="J3">MAX(IF('OB History'!B:B=A3, 'OB History'!C:C))</f>
        <v>22</v>
      </c>
      <c r="K3" s="34">
        <f>COUNTIFS('OB History'!B:B,A3,'OB History'!D:D, 1)</f>
        <v>6</v>
      </c>
      <c r="L3" s="2">
        <f>COUNTIFS('OB History'!B:B,A3,'OB History'!D:D, 0)</f>
        <v>3</v>
      </c>
      <c r="M3" s="88">
        <f>LOOKUP(2, 1/('OB History'!$B:$B=A3), 'OB History'!$AD:$AD)</f>
        <v>0.66666666666666663</v>
      </c>
      <c r="N3" s="34">
        <f>SUMIFS('OB History'!F:F,'OB History'!B:B,A3)</f>
        <v>21</v>
      </c>
      <c r="O3" s="2">
        <f>SUMIFS('OB History'!E:E,'OB History'!B:B,A3)-N3</f>
        <v>15</v>
      </c>
      <c r="P3" s="88">
        <f>LOOKUP(2, 1/('OB History'!$B:$B=A3), 'OB History'!$AB:$AB)</f>
        <v>0.59444444444444455</v>
      </c>
      <c r="Q3" s="34">
        <f>SUMIFS('OB History'!H:H,'OB History'!B:B,A3)</f>
        <v>79</v>
      </c>
      <c r="R3" s="2">
        <f>SUMIFS('OB History'!G:G,'OB History'!B:B,A3)-Q3</f>
        <v>70</v>
      </c>
      <c r="S3" s="88">
        <f>LOOKUP(2, 1/('OB History'!$B:$B=A3), 'OB History'!$AC:$AC)</f>
        <v>0.54888888888888887</v>
      </c>
      <c r="T3" s="2">
        <f>COUNTIFS('OB History'!$B:$B,$A$3,'OB History'!K:K, 1)</f>
        <v>1</v>
      </c>
      <c r="U3" s="2">
        <f>COUNTIFS('OB History'!$B:$B,$A$3,'OB History'!L:L, 1)</f>
        <v>2</v>
      </c>
      <c r="V3" s="2">
        <f>COUNTIFS('OB History'!$B:$B,$A$3,'OB History'!M:M, 1)</f>
        <v>0</v>
      </c>
      <c r="W3" s="2">
        <f>COUNTIFS('OB History'!$B:$B,$A$3,'OB History'!N:N, 1)</f>
        <v>3</v>
      </c>
      <c r="X3" s="2">
        <f>COUNTIFS('OB History'!$B:$B,$A$3,'OB History'!O:O, 1)</f>
        <v>0</v>
      </c>
      <c r="Y3" s="2">
        <f>COUNTIFS('OB History'!$B:$B,$A$3,'OB History'!P:P, 1)</f>
        <v>1</v>
      </c>
      <c r="Z3" s="2">
        <f>COUNTIFS('OB History'!$B:$B,$A$3,'OB History'!Q:Q, 1)</f>
        <v>0</v>
      </c>
      <c r="AA3" s="2">
        <f>COUNTIFS('OB History'!$B:$B,$A$3,'OB History'!R:R, 1)</f>
        <v>1</v>
      </c>
      <c r="AB3" s="2">
        <f>COUNTIFS('OB History'!$B:$B,$A$3,'OB History'!S:S, 1)</f>
        <v>1</v>
      </c>
      <c r="AC3" s="2">
        <f>COUNTIFS('OB History'!$B:$B,$A$3,'OB History'!T:T, 1)</f>
        <v>0</v>
      </c>
      <c r="AD3" s="2">
        <f>COUNTIFS('OB History'!$B:$B,$A$3,'OB History'!U:U, 1)</f>
        <v>1</v>
      </c>
      <c r="AE3" s="2">
        <f>COUNTIFS('OB History'!$B:$B,$A$3,'OB History'!V:V, 1)</f>
        <v>1</v>
      </c>
      <c r="AF3" s="2">
        <f>COUNTIFS('OB History'!$B:$B,$A$3,'OB History'!W:W, 1)</f>
        <v>2</v>
      </c>
      <c r="AG3" s="2">
        <f>COUNTIFS('OB History'!$B:$B,$A$3,'OB History'!X:X, 1)</f>
        <v>3</v>
      </c>
      <c r="AH3" s="2">
        <f>COUNTIFS('OB History'!$B:$B,$A$3,'OB History'!Y:Y, 1)</f>
        <v>3</v>
      </c>
      <c r="AI3" s="2">
        <f>COUNTIFS('OB History'!$B:$B,$A$3,'OB History'!Z:Z, 1)</f>
        <v>2</v>
      </c>
    </row>
    <row r="4" spans="1:35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77</v>
      </c>
      <c r="I4" s="4">
        <f>AVERAGEIFS('OB History'!C:C,'OB History'!B:B,A4)</f>
        <v>8.5555555555555554</v>
      </c>
      <c r="J4" s="35">
        <f t="array" ref="J4">MAX(IF('OB History'!B:B=A4, 'OB History'!C:C))</f>
        <v>19</v>
      </c>
      <c r="K4" s="34">
        <f>COUNTIFS('OB History'!B:B,A4,'OB History'!D:D, 1)</f>
        <v>6</v>
      </c>
      <c r="L4" s="2">
        <f>COUNTIFS('OB History'!B:B,A4,'OB History'!D:D, 0)</f>
        <v>3</v>
      </c>
      <c r="M4" s="88">
        <f>LOOKUP(2, 1/('OB History'!$B:$B=A4), 'OB History'!$AD:$AD)</f>
        <v>0.66666666666666663</v>
      </c>
      <c r="N4" s="34">
        <f>SUMIFS('OB History'!F:F,'OB History'!B:B,A4)</f>
        <v>20</v>
      </c>
      <c r="O4" s="2">
        <f>SUMIFS('OB History'!E:E,'OB History'!B:B,A4)-N4</f>
        <v>16</v>
      </c>
      <c r="P4" s="88">
        <f>LOOKUP(2, 1/('OB History'!$B:$B=A4), 'OB History'!$AB:$AB)</f>
        <v>0.55000000000000004</v>
      </c>
      <c r="Q4" s="34">
        <f>SUMIFS('OB History'!H:H,'OB History'!B:B,A4)</f>
        <v>78</v>
      </c>
      <c r="R4" s="2">
        <f>SUMIFS('OB History'!G:G,'OB History'!B:B,A4)-Q4</f>
        <v>72</v>
      </c>
      <c r="S4" s="88">
        <f>LOOKUP(2, 1/('OB History'!$B:$B=A4), 'OB History'!$AC:$AC)</f>
        <v>0.51555555555555554</v>
      </c>
      <c r="T4" s="2">
        <f>COUNTIFS('OB History'!$B:$B,$A$4,'OB History'!K:K, 1)</f>
        <v>0</v>
      </c>
      <c r="U4" s="2">
        <f>COUNTIFS('OB History'!$B:$B,$A$4,'OB History'!L:L, 1)</f>
        <v>1</v>
      </c>
      <c r="V4" s="2">
        <f>COUNTIFS('OB History'!$B:$B,$A$4,'OB History'!M:M, 1)</f>
        <v>0</v>
      </c>
      <c r="W4" s="2">
        <f>COUNTIFS('OB History'!$B:$B,$A$4,'OB History'!N:N, 1)</f>
        <v>4</v>
      </c>
      <c r="X4" s="2">
        <f>COUNTIFS('OB History'!$B:$B,$A$4,'OB History'!O:O, 1)</f>
        <v>0</v>
      </c>
      <c r="Y4" s="2">
        <f>COUNTIFS('OB History'!$B:$B,$A$4,'OB History'!P:P, 1)</f>
        <v>3</v>
      </c>
      <c r="Z4" s="2">
        <f>COUNTIFS('OB History'!$B:$B,$A$4,'OB History'!Q:Q, 1)</f>
        <v>1</v>
      </c>
      <c r="AA4" s="2">
        <f>COUNTIFS('OB History'!$B:$B,$A$4,'OB History'!R:R, 1)</f>
        <v>0</v>
      </c>
      <c r="AB4" s="2">
        <f>COUNTIFS('OB History'!$B:$B,$A$4,'OB History'!S:S, 1)</f>
        <v>1</v>
      </c>
      <c r="AC4" s="2">
        <f>COUNTIFS('OB History'!$B:$B,$A$4,'OB History'!T:T, 1)</f>
        <v>0</v>
      </c>
      <c r="AD4" s="2">
        <f>COUNTIFS('OB History'!$B:$B,$A$4,'OB History'!U:U, 1)</f>
        <v>0</v>
      </c>
      <c r="AE4" s="2">
        <f>COUNTIFS('OB History'!$B:$B,$A$4,'OB History'!V:V, 1)</f>
        <v>2</v>
      </c>
      <c r="AF4" s="2">
        <f>COUNTIFS('OB History'!$B:$B,$A$4,'OB History'!W:W, 1)</f>
        <v>2</v>
      </c>
      <c r="AG4" s="2">
        <f>COUNTIFS('OB History'!$B:$B,$A$4,'OB History'!X:X, 1)</f>
        <v>3</v>
      </c>
      <c r="AH4" s="2">
        <f>COUNTIFS('OB History'!$B:$B,$A$4,'OB History'!Y:Y, 1)</f>
        <v>2</v>
      </c>
      <c r="AI4" s="2">
        <f>COUNTIFS('OB History'!$B:$B,$A$4,'OB History'!Z:Z,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3">
        <v>3</v>
      </c>
      <c r="E5" s="3"/>
      <c r="F5" s="3"/>
      <c r="G5" s="3"/>
      <c r="H5" s="34">
        <f>SUMIFS('OB History'!C:C,'OB History'!B:B,A5)</f>
        <v>504</v>
      </c>
      <c r="I5" s="4">
        <f>AVERAGEIFS('OB History'!C:C,'OB History'!B:B,A5)</f>
        <v>19.384615384615383</v>
      </c>
      <c r="J5" s="35">
        <f t="array" ref="J5">MAX(IF('OB History'!B:B=A5, 'OB History'!C:C))</f>
        <v>36</v>
      </c>
      <c r="K5" s="34">
        <f>COUNTIFS('OB History'!B:B,A5,'OB History'!D:D, 1)</f>
        <v>12</v>
      </c>
      <c r="L5" s="2">
        <f>COUNTIFS('OB History'!B:B,A5,'OB History'!D:D, 0)</f>
        <v>14</v>
      </c>
      <c r="M5" s="88">
        <f>LOOKUP(2, 1/('OB History'!$B:$B=A5), 'OB History'!$AD:$AD)</f>
        <v>0.46153846153846156</v>
      </c>
      <c r="N5" s="34">
        <f>SUMIFS('OB History'!F:F,'OB History'!B:B,A5)</f>
        <v>48</v>
      </c>
      <c r="O5" s="2">
        <f>SUMIFS('OB History'!E:E,'OB History'!B:B,A5)-N5</f>
        <v>58</v>
      </c>
      <c r="P5" s="88">
        <f>LOOKUP(2, 1/('OB History'!$B:$B=A5), 'OB History'!$AB:$AB)</f>
        <v>0.43461538461538457</v>
      </c>
      <c r="Q5" s="34">
        <f>SUMIFS('OB History'!H:H,'OB History'!B:B,A5)</f>
        <v>202</v>
      </c>
      <c r="R5" s="2">
        <f>SUMIFS('OB History'!G:G,'OB History'!B:B,A5)-Q5</f>
        <v>229</v>
      </c>
      <c r="S5" s="88">
        <f>LOOKUP(2, 1/('OB History'!$B:$B=A5), 'OB History'!$AC:$AC)</f>
        <v>0.45884615384615385</v>
      </c>
      <c r="T5" s="2">
        <f>COUNTIFS('OB History'!$B:$B,$A$5,'OB History'!K:K, 1)</f>
        <v>3</v>
      </c>
      <c r="U5" s="2">
        <f>COUNTIFS('OB History'!$B:$B,$A$5,'OB History'!L:L, 1)</f>
        <v>2</v>
      </c>
      <c r="V5" s="2">
        <f>COUNTIFS('OB History'!$B:$B,$A$5,'OB History'!M:M, 1)</f>
        <v>2</v>
      </c>
      <c r="W5" s="2">
        <f>COUNTIFS('OB History'!$B:$B,$A$5,'OB History'!N:N, 1)</f>
        <v>8</v>
      </c>
      <c r="X5" s="2">
        <f>COUNTIFS('OB History'!$B:$B,$A$5,'OB History'!O:O, 1)</f>
        <v>1</v>
      </c>
      <c r="Y5" s="2">
        <f>COUNTIFS('OB History'!$B:$B,$A$5,'OB History'!P:P, 1)</f>
        <v>4</v>
      </c>
      <c r="Z5" s="2">
        <f>COUNTIFS('OB History'!$B:$B,$A$5,'OB History'!Q:Q, 1)</f>
        <v>0</v>
      </c>
      <c r="AA5" s="2">
        <f>COUNTIFS('OB History'!$B:$B,$A$5,'OB History'!R:R, 1)</f>
        <v>1</v>
      </c>
      <c r="AB5" s="2">
        <f>COUNTIFS('OB History'!$B:$B,$A$5,'OB History'!S:S, 1)</f>
        <v>1</v>
      </c>
      <c r="AC5" s="2">
        <f>COUNTIFS('OB History'!$B:$B,$A$5,'OB History'!T:T, 1)</f>
        <v>1</v>
      </c>
      <c r="AD5" s="2">
        <f>COUNTIFS('OB History'!$B:$B,$A$5,'OB History'!U:U, 1)</f>
        <v>0</v>
      </c>
      <c r="AE5" s="2">
        <f>COUNTIFS('OB History'!$B:$B,$A$5,'OB History'!V:V, 1)</f>
        <v>0</v>
      </c>
      <c r="AF5" s="2">
        <f>COUNTIFS('OB History'!$B:$B,$A$5,'OB History'!W:W, 1)</f>
        <v>2</v>
      </c>
      <c r="AG5" s="2">
        <f>COUNTIFS('OB History'!$B:$B,$A$5,'OB History'!X:X, 1)</f>
        <v>8</v>
      </c>
      <c r="AH5" s="2">
        <f>COUNTIFS('OB History'!$B:$B,$A$5,'OB History'!Y:Y, 1)</f>
        <v>4</v>
      </c>
      <c r="AI5" s="2">
        <f>COUNTIFS('OB History'!$B:$B,$A$5,'OB History'!Z:Z, 1)</f>
        <v>11</v>
      </c>
    </row>
    <row r="6" spans="1:35" x14ac:dyDescent="0.25">
      <c r="A6" s="2" t="s">
        <v>34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40</v>
      </c>
      <c r="I6" s="4">
        <f>AVERAGEIFS('OB History'!C:C,'OB History'!B:B,A6)</f>
        <v>10</v>
      </c>
      <c r="J6" s="35">
        <f t="array" ref="J6">MAX(IF('OB History'!B:B=A6, 'OB History'!C:C))</f>
        <v>18</v>
      </c>
      <c r="K6" s="34">
        <f>COUNTIFS('OB History'!B:B,A6,'OB History'!D:D, 1)</f>
        <v>4</v>
      </c>
      <c r="L6" s="2">
        <f>COUNTIFS('OB History'!B:B,A6,'OB History'!D:D, 0)</f>
        <v>0</v>
      </c>
      <c r="M6" s="88">
        <f>LOOKUP(2, 1/('OB History'!$B:$B=A6), 'OB History'!$AD:$AD)</f>
        <v>1</v>
      </c>
      <c r="N6" s="34">
        <f>SUMIFS('OB History'!F:F,'OB History'!B:B,A6)</f>
        <v>12</v>
      </c>
      <c r="O6" s="2">
        <f>SUMIFS('OB History'!E:E,'OB History'!B:B,A6)-N6</f>
        <v>3</v>
      </c>
      <c r="P6" s="88">
        <f>LOOKUP(2, 1/('OB History'!$B:$B=A6), 'OB History'!$AB:$AB)</f>
        <v>0.83750000000000002</v>
      </c>
      <c r="Q6" s="34">
        <f>SUMIFS('OB History'!H:H,'OB History'!B:B,'Old Bow v2'!A6)</f>
        <v>39</v>
      </c>
      <c r="R6" s="2">
        <f>SUMIFS('OB History'!G:G,'OB History'!B:B,'Old Bow v2'!A6)-Q6</f>
        <v>20</v>
      </c>
      <c r="S6" s="88">
        <f>LOOKUP(2, 1/('OB History'!$B:$B=A6), 'OB History'!$AC:$AC)</f>
        <v>0.69</v>
      </c>
      <c r="T6" s="2">
        <f>COUNTIFS('OB History'!$B:$B,$A$6,'OB History'!K:K, 1)</f>
        <v>0</v>
      </c>
      <c r="U6" s="2">
        <f>COUNTIFS('OB History'!$B:$B,$A$6,'OB History'!L:L, 1)</f>
        <v>3</v>
      </c>
      <c r="V6" s="2">
        <f>COUNTIFS('OB History'!$B:$B,$A$6,'OB History'!M:M, 1)</f>
        <v>0</v>
      </c>
      <c r="W6" s="2">
        <f>COUNTIFS('OB History'!$B:$B,$A$6,'OB History'!N:N, 1)</f>
        <v>2</v>
      </c>
      <c r="X6" s="2">
        <f>COUNTIFS('OB History'!$B:$B,$A$6,'OB History'!O:O, 1)</f>
        <v>0</v>
      </c>
      <c r="Y6" s="2">
        <f>COUNTIFS('OB History'!$B:$B,$A$6,'OB History'!P:P, 1)</f>
        <v>1</v>
      </c>
      <c r="Z6" s="2">
        <f>COUNTIFS('OB History'!$B:$B,$A$6,'OB History'!Q:Q, 1)</f>
        <v>0</v>
      </c>
      <c r="AA6" s="2">
        <f>COUNTIFS('OB History'!$B:$B,$A$6,'OB History'!R:R, 1)</f>
        <v>0</v>
      </c>
      <c r="AB6" s="2">
        <f>COUNTIFS('OB History'!$B:$B,$A$6,'OB History'!S:S, 1)</f>
        <v>0</v>
      </c>
      <c r="AC6" s="2">
        <f>COUNTIFS('OB History'!$B:$B,$A$6,'OB History'!T:T, 1)</f>
        <v>0</v>
      </c>
      <c r="AD6" s="2">
        <f>COUNTIFS('OB History'!$B:$B,$A$6,'OB History'!U:U, 1)</f>
        <v>0</v>
      </c>
      <c r="AE6" s="2">
        <f>COUNTIFS('OB History'!$B:$B,$A$6,'OB History'!V:V, 1)</f>
        <v>0</v>
      </c>
      <c r="AF6" s="2">
        <f>COUNTIFS('OB History'!$B:$B,$A$6,'OB History'!W:W, 1)</f>
        <v>1</v>
      </c>
      <c r="AG6" s="2">
        <f>COUNTIFS('OB History'!$B:$B,$A$6,'OB History'!X:X, 1)</f>
        <v>3</v>
      </c>
      <c r="AH6" s="2">
        <f>COUNTIFS('OB History'!$B:$B,$A$6,'OB History'!Y:Y, 1)</f>
        <v>2</v>
      </c>
      <c r="AI6" s="2">
        <f>COUNTIFS('OB History'!$B:$B,$A$6,'OB History'!Z:Z,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3"/>
      <c r="E7" s="3"/>
      <c r="F7" s="3"/>
      <c r="G7" s="3"/>
      <c r="H7" s="34">
        <f>SUMIFS('OB History'!C:C,'OB History'!B:B,A7)</f>
        <v>351</v>
      </c>
      <c r="I7" s="4">
        <f>AVERAGEIFS('OB History'!C:C,'OB History'!B:B,A7)</f>
        <v>12.535714285714286</v>
      </c>
      <c r="J7" s="35">
        <f t="array" ref="J7">MAX(IF('OB History'!B:B=A7, 'OB History'!C:C))</f>
        <v>32</v>
      </c>
      <c r="K7" s="34">
        <f>COUNTIFS('OB History'!B:B,A7,'OB History'!D:D, 1)</f>
        <v>16</v>
      </c>
      <c r="L7" s="2">
        <f>COUNTIFS('OB History'!B:B,A7,'OB History'!D:D, 0)</f>
        <v>12</v>
      </c>
      <c r="M7" s="88">
        <f>LOOKUP(2, 1/('OB History'!$B:$B=A7), 'OB History'!$AD:$AD)</f>
        <v>0.5714285714285714</v>
      </c>
      <c r="N7" s="34">
        <f>SUMIFS('OB History'!F:F,'OB History'!B:B,A7)</f>
        <v>55</v>
      </c>
      <c r="O7" s="2">
        <f>SUMIFS('OB History'!E:E,'OB History'!B:B,A7)-N7</f>
        <v>58</v>
      </c>
      <c r="P7" s="88">
        <f>LOOKUP(2, 1/('OB History'!$B:$B=A7), 'OB History'!$AB:$AB)</f>
        <v>0.46249999999999997</v>
      </c>
      <c r="Q7" s="34">
        <f>SUMIFS('OB History'!H:H,'OB History'!B:B,'Old Bow v2'!A7)</f>
        <v>227</v>
      </c>
      <c r="R7" s="2">
        <f>SUMIFS('OB History'!G:G,'OB History'!B:B,'Old Bow v2'!A7)-Q7</f>
        <v>237</v>
      </c>
      <c r="S7" s="88">
        <f>LOOKUP(2, 1/('OB History'!$B:$B=A7), 'OB History'!$AC:$AC)</f>
        <v>0.47821428571428581</v>
      </c>
      <c r="T7" s="2">
        <f>COUNTIFS('OB History'!$B:$B,$A$7,'OB History'!K:K, 1)</f>
        <v>4</v>
      </c>
      <c r="U7" s="2">
        <f>COUNTIFS('OB History'!$B:$B,$A$7,'OB History'!L:L, 1)</f>
        <v>5</v>
      </c>
      <c r="V7" s="2">
        <f>COUNTIFS('OB History'!$B:$B,$A$7,'OB History'!M:M, 1)</f>
        <v>1</v>
      </c>
      <c r="W7" s="2">
        <f>COUNTIFS('OB History'!$B:$B,$A$7,'OB History'!N:N, 1)</f>
        <v>7</v>
      </c>
      <c r="X7" s="2">
        <f>COUNTIFS('OB History'!$B:$B,$A$7,'OB History'!O:O, 1)</f>
        <v>2</v>
      </c>
      <c r="Y7" s="2">
        <f>COUNTIFS('OB History'!$B:$B,$A$7,'OB History'!P:P, 1)</f>
        <v>8</v>
      </c>
      <c r="Z7" s="2">
        <f>COUNTIFS('OB History'!$B:$B,$A$7,'OB History'!Q:Q, 1)</f>
        <v>0</v>
      </c>
      <c r="AA7" s="2">
        <f>COUNTIFS('OB History'!$B:$B,$A$7,'OB History'!R:R, 1)</f>
        <v>2</v>
      </c>
      <c r="AB7" s="2">
        <f>COUNTIFS('OB History'!$B:$B,$A$7,'OB History'!S:S, 1)</f>
        <v>0</v>
      </c>
      <c r="AC7" s="2">
        <f>COUNTIFS('OB History'!$B:$B,$A$7,'OB History'!T:T, 1)</f>
        <v>0</v>
      </c>
      <c r="AD7" s="2">
        <f>COUNTIFS('OB History'!$B:$B,$A$7,'OB History'!U:U, 1)</f>
        <v>0</v>
      </c>
      <c r="AE7" s="2">
        <f>COUNTIFS('OB History'!$B:$B,$A$7,'OB History'!V:V, 1)</f>
        <v>0</v>
      </c>
      <c r="AF7" s="2">
        <f>COUNTIFS('OB History'!$B:$B,$A$7,'OB History'!W:W, 1)</f>
        <v>6</v>
      </c>
      <c r="AG7" s="2">
        <f>COUNTIFS('OB History'!$B:$B,$A$7,'OB History'!X:X, 1)</f>
        <v>9</v>
      </c>
      <c r="AH7" s="2">
        <f>COUNTIFS('OB History'!$B:$B,$A$7,'OB History'!Y:Y, 1)</f>
        <v>3</v>
      </c>
      <c r="AI7" s="2">
        <f>COUNTIFS('OB History'!$B:$B,$A$7,'OB History'!Z:Z, 1)</f>
        <v>8</v>
      </c>
    </row>
    <row r="8" spans="1:35" x14ac:dyDescent="0.25">
      <c r="A8" s="2" t="s">
        <v>19</v>
      </c>
      <c r="B8" s="2" t="s">
        <v>79</v>
      </c>
      <c r="C8" s="2" t="s">
        <v>79</v>
      </c>
      <c r="D8" s="3">
        <v>1</v>
      </c>
      <c r="E8" s="3">
        <v>1</v>
      </c>
      <c r="F8" s="3"/>
      <c r="G8" s="3"/>
      <c r="H8" s="34">
        <f>SUMIFS('OB History'!C:C,'OB History'!B:B,A8)</f>
        <v>400</v>
      </c>
      <c r="I8" s="4">
        <f>AVERAGEIFS('OB History'!C:C,'OB History'!B:B,A8)</f>
        <v>12.121212121212121</v>
      </c>
      <c r="J8" s="35">
        <f t="array" ref="J8">MAX(IF('OB History'!B:B=A8, 'OB History'!C:C))</f>
        <v>26</v>
      </c>
      <c r="K8" s="34">
        <f>COUNTIFS('OB History'!B:B,A8,'OB History'!D:D, 1)</f>
        <v>13</v>
      </c>
      <c r="L8" s="2">
        <f>COUNTIFS('OB History'!B:B,A8,'OB History'!D:D, 0)</f>
        <v>20</v>
      </c>
      <c r="M8" s="88">
        <f>LOOKUP(2, 1/('OB History'!$B:$B=A8), 'OB History'!$AD:$AD)</f>
        <v>0.39393939393939392</v>
      </c>
      <c r="N8" s="34">
        <f>SUMIFS('OB History'!F:F,'OB History'!B:B,A8)</f>
        <v>60</v>
      </c>
      <c r="O8" s="2">
        <f>SUMIFS('OB History'!E:E,'OB History'!B:B,A8)-N8</f>
        <v>77</v>
      </c>
      <c r="P8" s="88">
        <f>LOOKUP(2, 1/('OB History'!$B:$B=A8), 'OB History'!$AB:$AB)</f>
        <v>0.4212121212121212</v>
      </c>
      <c r="Q8" s="34">
        <f>SUMIFS('OB History'!H:H,'OB History'!B:B,'Old Bow v2'!A8)</f>
        <v>264</v>
      </c>
      <c r="R8" s="2">
        <f>SUMIFS('OB History'!G:G,'OB History'!B:B,'Old Bow v2'!A8)-Q8</f>
        <v>299</v>
      </c>
      <c r="S8" s="88">
        <f>LOOKUP(2, 1/('OB History'!$B:$B=A8), 'OB History'!$AC:$AC)</f>
        <v>0.4554545454545455</v>
      </c>
      <c r="T8" s="2">
        <f>COUNTIFS('OB History'!$B:$B,$A$8,'OB History'!K:K, 1)</f>
        <v>5</v>
      </c>
      <c r="U8" s="2">
        <f>COUNTIFS('OB History'!$B:$B,$A$8,'OB History'!L:L, 1)</f>
        <v>2</v>
      </c>
      <c r="V8" s="2">
        <f>COUNTIFS('OB History'!$B:$B,$A$8,'OB History'!M:M, 1)</f>
        <v>1</v>
      </c>
      <c r="W8" s="2">
        <f>COUNTIFS('OB History'!$B:$B,$A$8,'OB History'!N:N, 1)</f>
        <v>6</v>
      </c>
      <c r="X8" s="2">
        <f>COUNTIFS('OB History'!$B:$B,$A$8,'OB History'!O:O, 1)</f>
        <v>1</v>
      </c>
      <c r="Y8" s="2">
        <f>COUNTIFS('OB History'!$B:$B,$A$8,'OB History'!P:P, 1)</f>
        <v>9</v>
      </c>
      <c r="Z8" s="2">
        <f>COUNTIFS('OB History'!$B:$B,$A$8,'OB History'!Q:Q, 1)</f>
        <v>1</v>
      </c>
      <c r="AA8" s="2">
        <f>COUNTIFS('OB History'!$B:$B,$A$8,'OB History'!R:R, 1)</f>
        <v>1</v>
      </c>
      <c r="AB8" s="2">
        <f>COUNTIFS('OB History'!$B:$B,$A$8,'OB History'!S:S, 1)</f>
        <v>1</v>
      </c>
      <c r="AC8" s="2">
        <f>COUNTIFS('OB History'!$B:$B,$A$8,'OB History'!T:T, 1)</f>
        <v>0</v>
      </c>
      <c r="AD8" s="2">
        <f>COUNTIFS('OB History'!$B:$B,$A$8,'OB History'!U:U, 1)</f>
        <v>1</v>
      </c>
      <c r="AE8" s="2">
        <f>COUNTIFS('OB History'!$B:$B,$A$8,'OB History'!V:V, 1)</f>
        <v>1</v>
      </c>
      <c r="AF8" s="2">
        <f>COUNTIFS('OB History'!$B:$B,$A$8,'OB History'!W:W, 1)</f>
        <v>4</v>
      </c>
      <c r="AG8" s="2">
        <f>COUNTIFS('OB History'!$B:$B,$A$8,'OB History'!X:X, 1)</f>
        <v>12</v>
      </c>
      <c r="AH8" s="2">
        <f>COUNTIFS('OB History'!$B:$B,$A$8,'OB History'!Y:Y, 1)</f>
        <v>3</v>
      </c>
      <c r="AI8" s="2">
        <f>COUNTIFS('OB History'!$B:$B,$A$8,'OB History'!Z:Z, 1)</f>
        <v>12</v>
      </c>
    </row>
    <row r="9" spans="1:35" x14ac:dyDescent="0.25">
      <c r="A9" s="1" t="s">
        <v>42</v>
      </c>
      <c r="B9" s="6" t="s">
        <v>60</v>
      </c>
      <c r="C9" s="2" t="s">
        <v>79</v>
      </c>
      <c r="D9" s="3"/>
      <c r="E9" s="3"/>
      <c r="F9" s="3"/>
      <c r="G9" s="3"/>
      <c r="H9" s="34">
        <f>SUMIFS('OB History'!C:C,'OB History'!B:B,A9)</f>
        <v>74</v>
      </c>
      <c r="I9" s="4">
        <f>AVERAGEIFS('OB History'!C:C,'OB History'!B:B,A9)</f>
        <v>10.571428571428571</v>
      </c>
      <c r="J9" s="35">
        <f t="array" ref="J9">MAX(IF('OB History'!B:B=A9, 'OB History'!C:C))</f>
        <v>29</v>
      </c>
      <c r="K9" s="34">
        <f>COUNTIFS('OB History'!B:B,A9,'OB History'!D:D, 1)</f>
        <v>2</v>
      </c>
      <c r="L9" s="2">
        <f>COUNTIFS('OB History'!B:B,A9,'OB History'!D:D, 0)</f>
        <v>5</v>
      </c>
      <c r="M9" s="88">
        <f>LOOKUP(2, 1/('OB History'!$B:$B=A9), 'OB History'!$AD:$AD)</f>
        <v>0.2857142857142857</v>
      </c>
      <c r="N9" s="34">
        <f>SUMIFS('OB History'!F:F,'OB History'!B:B,A9)</f>
        <v>10</v>
      </c>
      <c r="O9" s="2">
        <f>SUMIFS('OB History'!E:E,'OB History'!B:B,A9)-N9</f>
        <v>17</v>
      </c>
      <c r="P9" s="88">
        <f>LOOKUP(2, 1/('OB History'!$B:$B=A9), 'OB History'!$AB:$AB)</f>
        <v>0.34285714285714286</v>
      </c>
      <c r="Q9" s="34">
        <f>SUMIFS('OB History'!H:H,'OB History'!B:B,'Old Bow v2'!A9)</f>
        <v>45</v>
      </c>
      <c r="R9" s="2">
        <f>SUMIFS('OB History'!G:G,'OB History'!B:B,'Old Bow v2'!A9)-Q9</f>
        <v>62</v>
      </c>
      <c r="S9" s="88">
        <f>LOOKUP(2, 1/('OB History'!$B:$B=A9), 'OB History'!$AC:$AC)</f>
        <v>0.40857142857142864</v>
      </c>
      <c r="T9" s="2">
        <f>COUNTIFS('OB History'!$B:$B,$A$9,'OB History'!K:K, 1)</f>
        <v>1</v>
      </c>
      <c r="U9" s="2">
        <f>COUNTIFS('OB History'!$B:$B,$A$9,'OB History'!L:L, 1)</f>
        <v>2</v>
      </c>
      <c r="V9" s="2">
        <f>COUNTIFS('OB History'!$B:$B,$A$9,'OB History'!M:M, 1)</f>
        <v>1</v>
      </c>
      <c r="W9" s="2">
        <f>COUNTIFS('OB History'!$B:$B,$A$9,'OB History'!N:N, 1)</f>
        <v>0</v>
      </c>
      <c r="X9" s="2">
        <f>COUNTIFS('OB History'!$B:$B,$A$9,'OB History'!O:O, 1)</f>
        <v>1</v>
      </c>
      <c r="Y9" s="2">
        <f>COUNTIFS('OB History'!$B:$B,$A$9,'OB History'!P:P, 1)</f>
        <v>0</v>
      </c>
      <c r="Z9" s="2">
        <f>COUNTIFS('OB History'!$B:$B,$A$9,'OB History'!Q:Q, 1)</f>
        <v>0</v>
      </c>
      <c r="AA9" s="2">
        <f>COUNTIFS('OB History'!$B:$B,$A$9,'OB History'!R:R, 1)</f>
        <v>0</v>
      </c>
      <c r="AB9" s="2">
        <f>COUNTIFS('OB History'!$B:$B,$A$9,'OB History'!S:S, 1)</f>
        <v>0</v>
      </c>
      <c r="AC9" s="2">
        <f>COUNTIFS('OB History'!$B:$B,$A$9,'OB History'!T:T, 1)</f>
        <v>0</v>
      </c>
      <c r="AD9" s="2">
        <f>COUNTIFS('OB History'!$B:$B,$A$9,'OB History'!U:U, 1)</f>
        <v>0</v>
      </c>
      <c r="AE9" s="2">
        <f>COUNTIFS('OB History'!$B:$B,$A$9,'OB History'!V:V, 1)</f>
        <v>1</v>
      </c>
      <c r="AF9" s="2">
        <f>COUNTIFS('OB History'!$B:$B,$A$9,'OB History'!W:W, 1)</f>
        <v>2</v>
      </c>
      <c r="AG9" s="2">
        <f>COUNTIFS('OB History'!$B:$B,$A$9,'OB History'!X:X, 1)</f>
        <v>0</v>
      </c>
      <c r="AH9" s="2">
        <f>COUNTIFS('OB History'!$B:$B,$A$9,'OB History'!Y:Y, 1)</f>
        <v>1</v>
      </c>
      <c r="AI9" s="2">
        <f>COUNTIFS('OB History'!$B:$B,$A$9,'OB History'!Z:Z, 1)</f>
        <v>1</v>
      </c>
    </row>
    <row r="10" spans="1:35" x14ac:dyDescent="0.25">
      <c r="A10" s="2" t="s">
        <v>25</v>
      </c>
      <c r="B10" s="2" t="s">
        <v>79</v>
      </c>
      <c r="C10" s="2" t="s">
        <v>79</v>
      </c>
      <c r="D10" s="3"/>
      <c r="E10" s="3"/>
      <c r="F10" s="3"/>
      <c r="G10" s="3"/>
      <c r="H10" s="34">
        <f>SUMIFS('OB History'!C:C,'OB History'!B:B,A10)</f>
        <v>471</v>
      </c>
      <c r="I10" s="4">
        <f>AVERAGEIFS('OB History'!C:C,'OB History'!B:B,A10)</f>
        <v>17.444444444444443</v>
      </c>
      <c r="J10" s="35">
        <f t="array" ref="J10">MAX(IF('OB History'!B:B=A10, 'OB History'!C:C))</f>
        <v>35</v>
      </c>
      <c r="K10" s="34">
        <f>COUNTIFS('OB History'!B:B,A10,'OB History'!D:D, 1)</f>
        <v>16</v>
      </c>
      <c r="L10" s="2">
        <f>COUNTIFS('OB History'!B:B,A10,'OB History'!D:D, 0)</f>
        <v>11</v>
      </c>
      <c r="M10" s="88">
        <f>LOOKUP(2, 1/('OB History'!$B:$B=A10), 'OB History'!$AD:$AD)</f>
        <v>0.59259259259259256</v>
      </c>
      <c r="N10" s="34">
        <f>SUMIFS('OB History'!F:F,'OB History'!B:B,A10)</f>
        <v>64</v>
      </c>
      <c r="O10" s="2">
        <f>SUMIFS('OB History'!E:E,'OB History'!B:B,A10)-N10</f>
        <v>50</v>
      </c>
      <c r="P10" s="88">
        <f>LOOKUP(2, 1/('OB History'!$B:$B=A10), 'OB History'!$AB:$AB)</f>
        <v>0.58333333333333337</v>
      </c>
      <c r="Q10" s="34">
        <f>SUMIFS('OB History'!H:H,'OB History'!B:B,'Old Bow v2'!A10)</f>
        <v>244</v>
      </c>
      <c r="R10" s="2">
        <f>SUMIFS('OB History'!G:G,'OB History'!B:B,'Old Bow v2'!A10)-Q10</f>
        <v>228</v>
      </c>
      <c r="S10" s="88">
        <f>LOOKUP(2, 1/('OB History'!$B:$B=A10), 'OB History'!$AC:$AC)</f>
        <v>0.53074074074074074</v>
      </c>
      <c r="T10" s="2">
        <f>COUNTIFS('OB History'!$B:$B,$A$10,'OB History'!K:K, 1)</f>
        <v>4</v>
      </c>
      <c r="U10" s="2">
        <f>COUNTIFS('OB History'!$B:$B,$A$10,'OB History'!L:L, 1)</f>
        <v>2</v>
      </c>
      <c r="V10" s="2">
        <f>COUNTIFS('OB History'!$B:$B,$A$10,'OB History'!M:M, 1)</f>
        <v>1</v>
      </c>
      <c r="W10" s="2">
        <f>COUNTIFS('OB History'!$B:$B,$A$10,'OB History'!N:N, 1)</f>
        <v>7</v>
      </c>
      <c r="X10" s="2">
        <f>COUNTIFS('OB History'!$B:$B,$A$10,'OB History'!O:O, 1)</f>
        <v>1</v>
      </c>
      <c r="Y10" s="2">
        <f>COUNTIFS('OB History'!$B:$B,$A$10,'OB History'!P:P, 1)</f>
        <v>5</v>
      </c>
      <c r="Z10" s="2">
        <f>COUNTIFS('OB History'!$B:$B,$A$10,'OB History'!Q:Q, 1)</f>
        <v>5</v>
      </c>
      <c r="AA10" s="2">
        <f>COUNTIFS('OB History'!$B:$B,$A$10,'OB History'!R:R, 1)</f>
        <v>3</v>
      </c>
      <c r="AB10" s="2">
        <f>COUNTIFS('OB History'!$B:$B,$A$10,'OB History'!S:S, 1)</f>
        <v>2</v>
      </c>
      <c r="AC10" s="2">
        <f>COUNTIFS('OB History'!$B:$B,$A$10,'OB History'!T:T, 1)</f>
        <v>1</v>
      </c>
      <c r="AD10" s="2">
        <f>COUNTIFS('OB History'!$B:$B,$A$10,'OB History'!U:U, 1)</f>
        <v>0</v>
      </c>
      <c r="AE10" s="2">
        <f>COUNTIFS('OB History'!$B:$B,$A$10,'OB History'!V:V, 1)</f>
        <v>2</v>
      </c>
      <c r="AF10" s="2">
        <f>COUNTIFS('OB History'!$B:$B,$A$10,'OB History'!W:W, 1)</f>
        <v>5</v>
      </c>
      <c r="AG10" s="2">
        <f>COUNTIFS('OB History'!$B:$B,$A$10,'OB History'!X:X, 1)</f>
        <v>10</v>
      </c>
      <c r="AH10" s="2">
        <f>COUNTIFS('OB History'!$B:$B,$A$10,'OB History'!Y:Y, 1)</f>
        <v>6</v>
      </c>
      <c r="AI10" s="2">
        <f>COUNTIFS('OB History'!$B:$B,$A$10,'OB History'!Z:Z, 1)</f>
        <v>10</v>
      </c>
    </row>
    <row r="11" spans="1:35" x14ac:dyDescent="0.25">
      <c r="A11" s="2" t="s">
        <v>146</v>
      </c>
      <c r="B11" s="2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162</v>
      </c>
      <c r="I11" s="4">
        <f>AVERAGEIFS('OB History'!C:C,'OB History'!B:B,A11)</f>
        <v>13.5</v>
      </c>
      <c r="J11" s="35">
        <f t="array" ref="J11">MAX(IF('OB History'!B:B=A11, 'OB History'!C:C))</f>
        <v>27</v>
      </c>
      <c r="K11" s="34">
        <f>COUNTIFS('OB History'!B:B,A11,'OB History'!D:D, 1)</f>
        <v>3</v>
      </c>
      <c r="L11" s="2">
        <f>COUNTIFS('OB History'!B:B,A11,'OB History'!D:D, 0)</f>
        <v>9</v>
      </c>
      <c r="M11" s="88">
        <f>LOOKUP(2, 1/('OB History'!$B:$B=A11), 'OB History'!$AD:$AD)</f>
        <v>0.25</v>
      </c>
      <c r="N11" s="34">
        <f>SUMIFS('OB History'!F:F,'OB History'!B:B,A11)</f>
        <v>20</v>
      </c>
      <c r="O11" s="2">
        <f>SUMIFS('OB History'!E:E,'OB History'!B:B,A11)-N11</f>
        <v>31</v>
      </c>
      <c r="P11" s="88">
        <f>LOOKUP(2, 1/('OB History'!$B:$B=A11), 'OB History'!$AB:$AB)</f>
        <v>0.37916666666666665</v>
      </c>
      <c r="Q11" s="34">
        <f>SUMIFS('OB History'!H:H,'OB History'!B:B,'Old Bow v2'!A11)</f>
        <v>99</v>
      </c>
      <c r="R11" s="2">
        <f>SUMIFS('OB History'!G:G,'OB History'!B:B,'Old Bow v2'!A11)-Q11</f>
        <v>118</v>
      </c>
      <c r="S11" s="88">
        <f>LOOKUP(2, 1/('OB History'!$B:$B=A11), 'OB History'!$AC:$AC)</f>
        <v>0.45249999999999996</v>
      </c>
      <c r="T11" s="2">
        <f>COUNTIFS('OB History'!$B:$B,$A$11,'OB History'!K:K, 1)</f>
        <v>1</v>
      </c>
      <c r="U11" s="2">
        <f>COUNTIFS('OB History'!$B:$B,$A$11,'OB History'!L:L, 1)</f>
        <v>1</v>
      </c>
      <c r="V11" s="2">
        <f>COUNTIFS('OB History'!$B:$B,$A$11,'OB History'!M:M, 1)</f>
        <v>2</v>
      </c>
      <c r="W11" s="2">
        <f>COUNTIFS('OB History'!$B:$B,$A$11,'OB History'!N:N, 1)</f>
        <v>3</v>
      </c>
      <c r="X11" s="2">
        <f>COUNTIFS('OB History'!$B:$B,$A$11,'OB History'!O:O, 1)</f>
        <v>0</v>
      </c>
      <c r="Y11" s="2">
        <f>COUNTIFS('OB History'!$B:$B,$A$11,'OB History'!P:P, 1)</f>
        <v>1</v>
      </c>
      <c r="Z11" s="2">
        <f>COUNTIFS('OB History'!$B:$B,$A$11,'OB History'!Q:Q, 1)</f>
        <v>1</v>
      </c>
      <c r="AA11" s="2">
        <f>COUNTIFS('OB History'!$B:$B,$A$11,'OB History'!R:R, 1)</f>
        <v>1</v>
      </c>
      <c r="AB11" s="2">
        <f>COUNTIFS('OB History'!$B:$B,$A$11,'OB History'!S:S, 1)</f>
        <v>0</v>
      </c>
      <c r="AC11" s="2">
        <f>COUNTIFS('OB History'!$B:$B,$A$11,'OB History'!T:T, 1)</f>
        <v>0</v>
      </c>
      <c r="AD11" s="2">
        <f>COUNTIFS('OB History'!$B:$B,$A$11,'OB History'!U:U, 1)</f>
        <v>0</v>
      </c>
      <c r="AE11" s="2">
        <f>COUNTIFS('OB History'!$B:$B,$A$11,'OB History'!V:V, 1)</f>
        <v>1</v>
      </c>
      <c r="AF11" s="2">
        <f>COUNTIFS('OB History'!$B:$B,$A$11,'OB History'!W:W, 1)</f>
        <v>2</v>
      </c>
      <c r="AG11" s="2">
        <f>COUNTIFS('OB History'!$B:$B,$A$11,'OB History'!X:X, 1)</f>
        <v>5</v>
      </c>
      <c r="AH11" s="2">
        <f>COUNTIFS('OB History'!$B:$B,$A$11,'OB History'!Y:Y, 1)</f>
        <v>2</v>
      </c>
      <c r="AI11" s="2">
        <f>COUNTIFS('OB History'!$B:$B,$A$11,'OB History'!Z:Z, 1)</f>
        <v>0</v>
      </c>
    </row>
    <row r="12" spans="1:35" x14ac:dyDescent="0.25">
      <c r="A12" s="2" t="s">
        <v>27</v>
      </c>
      <c r="B12" s="6" t="s">
        <v>76</v>
      </c>
      <c r="C12" s="6" t="s">
        <v>79</v>
      </c>
      <c r="D12" s="3">
        <v>2</v>
      </c>
      <c r="E12" s="3"/>
      <c r="F12" s="3"/>
      <c r="G12" s="3"/>
      <c r="H12" s="34">
        <f>SUMIFS('OB History'!C:C,'OB History'!B:B,A12)</f>
        <v>363</v>
      </c>
      <c r="I12" s="4">
        <f>AVERAGEIFS('OB History'!C:C,'OB History'!B:B,A12)</f>
        <v>15.125</v>
      </c>
      <c r="J12" s="35">
        <f t="array" ref="J12">MAX(IF('OB History'!B:B=A12, 'OB History'!C:C))</f>
        <v>44</v>
      </c>
      <c r="K12" s="34">
        <f>COUNTIFS('OB History'!B:B,A12,'OB History'!D:D, 1)</f>
        <v>13</v>
      </c>
      <c r="L12" s="2">
        <f>COUNTIFS('OB History'!B:B,A12,'OB History'!D:D, 0)</f>
        <v>11</v>
      </c>
      <c r="M12" s="88">
        <f>LOOKUP(2, 1/('OB History'!$B:$B=A12), 'OB History'!$AD:$AD)</f>
        <v>0.54166666666666663</v>
      </c>
      <c r="N12" s="34">
        <f>SUMIFS('OB History'!F:F,'OB History'!B:B,A12)</f>
        <v>50</v>
      </c>
      <c r="O12" s="2">
        <f>SUMIFS('OB History'!E:E,'OB History'!B:B,A12)-N12</f>
        <v>49</v>
      </c>
      <c r="P12" s="88">
        <f>LOOKUP(2, 1/('OB History'!$B:$B=A12), 'OB History'!$AB:$AB)</f>
        <v>0.49791666666666662</v>
      </c>
      <c r="Q12" s="34">
        <f>SUMIFS('OB History'!H:H,'OB History'!B:B,'Old Bow v2'!A12)</f>
        <v>202</v>
      </c>
      <c r="R12" s="2">
        <f>SUMIFS('OB History'!G:G,'OB History'!B:B,'Old Bow v2'!A12)-Q12</f>
        <v>199</v>
      </c>
      <c r="S12" s="88">
        <f>LOOKUP(2, 1/('OB History'!$B:$B=A12), 'OB History'!$AC:$AC)</f>
        <v>0.50458333333333338</v>
      </c>
      <c r="T12" s="2">
        <f>COUNTIFS('OB History'!$B:$B,$A$12,'OB History'!K:K, 1)</f>
        <v>0</v>
      </c>
      <c r="U12" s="2">
        <f>COUNTIFS('OB History'!$B:$B,$A$12,'OB History'!L:L, 1)</f>
        <v>3</v>
      </c>
      <c r="V12" s="2">
        <f>COUNTIFS('OB History'!$B:$B,$A$12,'OB History'!M:M, 1)</f>
        <v>2</v>
      </c>
      <c r="W12" s="2">
        <f>COUNTIFS('OB History'!$B:$B,$A$12,'OB History'!N:N, 1)</f>
        <v>3</v>
      </c>
      <c r="X12" s="2">
        <f>COUNTIFS('OB History'!$B:$B,$A$12,'OB History'!O:O, 1)</f>
        <v>3</v>
      </c>
      <c r="Y12" s="2">
        <f>COUNTIFS('OB History'!$B:$B,$A$12,'OB History'!P:P, 1)</f>
        <v>7</v>
      </c>
      <c r="Z12" s="2">
        <f>COUNTIFS('OB History'!$B:$B,$A$12,'OB History'!Q:Q, 1)</f>
        <v>3</v>
      </c>
      <c r="AA12" s="2">
        <f>COUNTIFS('OB History'!$B:$B,$A$12,'OB History'!R:R, 1)</f>
        <v>2</v>
      </c>
      <c r="AB12" s="2">
        <f>COUNTIFS('OB History'!$B:$B,$A$12,'OB History'!S:S, 1)</f>
        <v>0</v>
      </c>
      <c r="AC12" s="2">
        <f>COUNTIFS('OB History'!$B:$B,$A$12,'OB History'!T:T, 1)</f>
        <v>0</v>
      </c>
      <c r="AD12" s="2">
        <f>COUNTIFS('OB History'!$B:$B,$A$12,'OB History'!U:U, 1)</f>
        <v>1</v>
      </c>
      <c r="AE12" s="2">
        <f>COUNTIFS('OB History'!$B:$B,$A$12,'OB History'!V:V, 1)</f>
        <v>1</v>
      </c>
      <c r="AF12" s="2">
        <f>COUNTIFS('OB History'!$B:$B,$A$12,'OB History'!W:W, 1)</f>
        <v>6</v>
      </c>
      <c r="AG12" s="2">
        <f>COUNTIFS('OB History'!$B:$B,$A$12,'OB History'!X:X, 1)</f>
        <v>9</v>
      </c>
      <c r="AH12" s="2">
        <f>COUNTIFS('OB History'!$B:$B,$A$12,'OB History'!Y:Y, 1)</f>
        <v>5</v>
      </c>
      <c r="AI12" s="2">
        <f>COUNTIFS('OB History'!$B:$B,$A$12,'OB History'!Z:Z, 1)</f>
        <v>5</v>
      </c>
    </row>
    <row r="13" spans="1:35" x14ac:dyDescent="0.25">
      <c r="A13" s="2" t="s">
        <v>26</v>
      </c>
      <c r="B13" s="6" t="s">
        <v>124</v>
      </c>
      <c r="C13" s="6" t="s">
        <v>79</v>
      </c>
      <c r="D13" s="3"/>
      <c r="E13" s="3"/>
      <c r="F13" s="3"/>
      <c r="G13" s="3"/>
      <c r="H13" s="34">
        <f>SUMIFS('OB History'!C:C,'OB History'!B:B,A13)</f>
        <v>426</v>
      </c>
      <c r="I13" s="4">
        <f>AVERAGEIFS('OB History'!C:C,'OB History'!B:B,A13)</f>
        <v>13.3125</v>
      </c>
      <c r="J13" s="35">
        <f t="array" ref="J13">MAX(IF('OB History'!B:B=A13, 'OB History'!C:C))</f>
        <v>41</v>
      </c>
      <c r="K13" s="34">
        <f>COUNTIFS('OB History'!B:B,A13,'OB History'!D:D, 1)</f>
        <v>22</v>
      </c>
      <c r="L13" s="2">
        <f>COUNTIFS('OB History'!B:B,A13,'OB History'!D:D, 0)</f>
        <v>10</v>
      </c>
      <c r="M13" s="88">
        <f>LOOKUP(2, 1/('OB History'!$B:$B=A13), 'OB History'!$AD:$AD)</f>
        <v>0.6875</v>
      </c>
      <c r="N13" s="34">
        <f>SUMIFS('OB History'!F:F,'OB History'!B:B,A13)</f>
        <v>80</v>
      </c>
      <c r="O13" s="2">
        <f>SUMIFS('OB History'!E:E,'OB History'!B:B,A13)-N13</f>
        <v>52</v>
      </c>
      <c r="P13" s="88">
        <f>LOOKUP(2, 1/('OB History'!$B:$B=A13), 'OB History'!$AB:$AB)</f>
        <v>0.62812499999999993</v>
      </c>
      <c r="Q13" s="34">
        <f>SUMIFS('OB History'!H:H,'OB History'!B:B,'Old Bow v2'!A13)</f>
        <v>299</v>
      </c>
      <c r="R13" s="2">
        <f>SUMIFS('OB History'!G:G,'OB History'!B:B,'Old Bow v2'!A13)-Q13</f>
        <v>245</v>
      </c>
      <c r="S13" s="88">
        <f>LOOKUP(2, 1/('OB History'!$B:$B=A13), 'OB History'!$AC:$AC)</f>
        <v>0.55843749999999992</v>
      </c>
      <c r="T13" s="2">
        <f>COUNTIFS('OB History'!$B:$B,$A$13,'OB History'!K:K, 1)</f>
        <v>2</v>
      </c>
      <c r="U13" s="2">
        <f>COUNTIFS('OB History'!$B:$B,$A$13,'OB History'!L:L, 1)</f>
        <v>6</v>
      </c>
      <c r="V13" s="2">
        <f>COUNTIFS('OB History'!$B:$B,$A$13,'OB History'!M:M, 1)</f>
        <v>3</v>
      </c>
      <c r="W13" s="2">
        <f>COUNTIFS('OB History'!$B:$B,$A$13,'OB History'!N:N, 1)</f>
        <v>9</v>
      </c>
      <c r="X13" s="2">
        <f>COUNTIFS('OB History'!$B:$B,$A$13,'OB History'!O:O, 1)</f>
        <v>4</v>
      </c>
      <c r="Y13" s="2">
        <f>COUNTIFS('OB History'!$B:$B,$A$13,'OB History'!P:P, 1)</f>
        <v>13</v>
      </c>
      <c r="Z13" s="2">
        <f>COUNTIFS('OB History'!$B:$B,$A$13,'OB History'!Q:Q, 1)</f>
        <v>5</v>
      </c>
      <c r="AA13" s="2">
        <f>COUNTIFS('OB History'!$B:$B,$A$13,'OB History'!R:R, 1)</f>
        <v>4</v>
      </c>
      <c r="AB13" s="2">
        <f>COUNTIFS('OB History'!$B:$B,$A$13,'OB History'!S:S, 1)</f>
        <v>2</v>
      </c>
      <c r="AC13" s="2">
        <f>COUNTIFS('OB History'!$B:$B,$A$13,'OB History'!T:T, 1)</f>
        <v>1</v>
      </c>
      <c r="AD13" s="2">
        <f>COUNTIFS('OB History'!$B:$B,$A$13,'OB History'!U:U, 1)</f>
        <v>1</v>
      </c>
      <c r="AE13" s="2">
        <f>COUNTIFS('OB History'!$B:$B,$A$13,'OB History'!V:V, 1)</f>
        <v>3</v>
      </c>
      <c r="AF13" s="2">
        <f>COUNTIFS('OB History'!$B:$B,$A$13,'OB History'!W:W, 1)</f>
        <v>6</v>
      </c>
      <c r="AG13" s="2">
        <f>COUNTIFS('OB History'!$B:$B,$A$13,'OB History'!X:X, 1)</f>
        <v>8</v>
      </c>
      <c r="AH13" s="2">
        <f>COUNTIFS('OB History'!$B:$B,$A$13,'OB History'!Y:Y, 1)</f>
        <v>5</v>
      </c>
      <c r="AI13" s="2">
        <f>COUNTIFS('OB History'!$B:$B,$A$13,'OB History'!Z:Z, 1)</f>
        <v>8</v>
      </c>
    </row>
    <row r="14" spans="1:35" x14ac:dyDescent="0.25">
      <c r="A14" s="2" t="s">
        <v>74</v>
      </c>
      <c r="B14" s="6" t="s">
        <v>79</v>
      </c>
      <c r="C14" s="6" t="s">
        <v>79</v>
      </c>
      <c r="D14" s="3"/>
      <c r="E14" s="3"/>
      <c r="F14" s="3"/>
      <c r="G14" s="3"/>
      <c r="H14" s="34">
        <f>SUMIFS('OB History'!C:C,'OB History'!B:B,A14)</f>
        <v>10</v>
      </c>
      <c r="I14" s="4">
        <f>AVERAGEIFS('OB History'!C:C,'OB History'!B:B,A14)</f>
        <v>10</v>
      </c>
      <c r="J14" s="35">
        <f t="array" ref="J14">MAX(IF('OB History'!B:B=A14, 'OB History'!C:C))</f>
        <v>10</v>
      </c>
      <c r="K14" s="34">
        <f>COUNTIFS('OB History'!B:B,A14,'OB History'!D:D, 1)</f>
        <v>0</v>
      </c>
      <c r="L14" s="2">
        <f>COUNTIFS('OB History'!B:B,A14,'OB History'!D:D, 0)</f>
        <v>1</v>
      </c>
      <c r="M14" s="88">
        <f>LOOKUP(2, 1/('OB History'!$B:$B=A14), 'OB History'!$AD:$AD)</f>
        <v>0</v>
      </c>
      <c r="N14" s="34">
        <f>SUMIFS('OB History'!F:F,'OB History'!B:B,A14)</f>
        <v>2</v>
      </c>
      <c r="O14" s="2">
        <f>SUMIFS('OB History'!E:E,'OB History'!B:B,A14)-N14</f>
        <v>3</v>
      </c>
      <c r="P14" s="88">
        <f>LOOKUP(2, 1/('OB History'!$B:$B=A14), 'OB History'!$AB:$AB)</f>
        <v>0.4</v>
      </c>
      <c r="Q14" s="34">
        <f>SUMIFS('OB History'!H:H,'OB History'!B:B,'Old Bow v2'!A14)</f>
        <v>6</v>
      </c>
      <c r="R14" s="2">
        <f>SUMIFS('OB History'!G:G,'OB History'!B:B,'Old Bow v2'!A14)-Q14</f>
        <v>14</v>
      </c>
      <c r="S14" s="88">
        <f>LOOKUP(2, 1/('OB History'!$B:$B=A14), 'OB History'!$AC:$AC)</f>
        <v>0.3</v>
      </c>
      <c r="T14" s="2">
        <f>COUNTIFS('OB History'!$B:$B,$A$14,'OB History'!K:K, 1)</f>
        <v>0</v>
      </c>
      <c r="U14" s="2">
        <f>COUNTIFS('OB History'!$B:$B,$A$14,'OB History'!L:L, 1)</f>
        <v>0</v>
      </c>
      <c r="V14" s="2">
        <f>COUNTIFS('OB History'!$B:$B,$A$14,'OB History'!M:M, 1)</f>
        <v>0</v>
      </c>
      <c r="W14" s="2">
        <f>COUNTIFS('OB History'!$B:$B,$A$14,'OB History'!N:N, 1)</f>
        <v>0</v>
      </c>
      <c r="X14" s="2">
        <f>COUNTIFS('OB History'!$B:$B,$A$14,'OB History'!O:O, 1)</f>
        <v>0</v>
      </c>
      <c r="Y14" s="2">
        <f>COUNTIFS('OB History'!$B:$B,$A$14,'OB History'!P:P, 1)</f>
        <v>0</v>
      </c>
      <c r="Z14" s="2">
        <f>COUNTIFS('OB History'!$B:$B,$A$14,'OB History'!Q:Q, 1)</f>
        <v>0</v>
      </c>
      <c r="AA14" s="2">
        <f>COUNTIFS('OB History'!$B:$B,$A$14,'OB History'!R:R, 1)</f>
        <v>0</v>
      </c>
      <c r="AB14" s="2">
        <f>COUNTIFS('OB History'!$B:$B,$A$14,'OB History'!S:S, 1)</f>
        <v>0</v>
      </c>
      <c r="AC14" s="2">
        <f>COUNTIFS('OB History'!$B:$B,$A$14,'OB History'!T:T, 1)</f>
        <v>0</v>
      </c>
      <c r="AD14" s="2">
        <f>COUNTIFS('OB History'!$B:$B,$A$14,'OB History'!U:U, 1)</f>
        <v>0</v>
      </c>
      <c r="AE14" s="2">
        <f>COUNTIFS('OB History'!$B:$B,$A$14,'OB History'!V:V, 1)</f>
        <v>0</v>
      </c>
      <c r="AF14" s="2">
        <f>COUNTIFS('OB History'!$B:$B,$A$14,'OB History'!W:W, 1)</f>
        <v>1</v>
      </c>
      <c r="AG14" s="2">
        <f>COUNTIFS('OB History'!$B:$B,$A$14,'OB History'!X:X, 1)</f>
        <v>0</v>
      </c>
      <c r="AH14" s="2">
        <f>COUNTIFS('OB History'!$B:$B,$A$14,'OB History'!Y:Y, 1)</f>
        <v>1</v>
      </c>
      <c r="AI14" s="2">
        <f>COUNTIFS('OB History'!$B:$B,$A$14,'OB History'!Z:Z, 1)</f>
        <v>0</v>
      </c>
    </row>
    <row r="15" spans="1:35" x14ac:dyDescent="0.25">
      <c r="A15" s="2" t="s">
        <v>152</v>
      </c>
      <c r="B15" s="6" t="s">
        <v>79</v>
      </c>
      <c r="C15" s="6" t="s">
        <v>79</v>
      </c>
      <c r="D15" s="3"/>
      <c r="E15" s="3"/>
      <c r="F15" s="3"/>
      <c r="G15" s="3"/>
      <c r="H15" s="34">
        <f>SUMIFS('OB History'!C:C,'OB History'!B:B,A15)</f>
        <v>47</v>
      </c>
      <c r="I15" s="4">
        <f>AVERAGEIFS('OB History'!C:C,'OB History'!B:B,A15)</f>
        <v>15.666666666666666</v>
      </c>
      <c r="J15" s="35">
        <f t="array" ref="J15">MAX(IF('OB History'!B:B=A15, 'OB History'!C:C))</f>
        <v>19</v>
      </c>
      <c r="K15" s="34">
        <f>COUNTIFS('OB History'!B:B,A15,'OB History'!D:D, 1)</f>
        <v>0</v>
      </c>
      <c r="L15" s="2">
        <f>COUNTIFS('OB History'!B:B,A15,'OB History'!D:D, 0)</f>
        <v>3</v>
      </c>
      <c r="M15" s="88">
        <f>LOOKUP(2, 1/('OB History'!$B:$B=A15), 'OB History'!$AD:$AD)</f>
        <v>0</v>
      </c>
      <c r="N15" s="34">
        <f>SUMIFS('OB History'!F:F,'OB History'!B:B,A15)</f>
        <v>4</v>
      </c>
      <c r="O15" s="2">
        <f>SUMIFS('OB History'!E:E,'OB History'!B:B,A15)-N15</f>
        <v>9</v>
      </c>
      <c r="P15" s="88">
        <f>LOOKUP(2, 1/('OB History'!$B:$B=A15), 'OB History'!$AB:$AB)</f>
        <v>0.26666666666666666</v>
      </c>
      <c r="Q15" s="34">
        <f>SUMIFS('OB History'!H:H,'OB History'!B:B,'Old Bow v2'!A15)</f>
        <v>22</v>
      </c>
      <c r="R15" s="2">
        <f>SUMIFS('OB History'!G:G,'OB History'!B:B,'Old Bow v2'!A15)-Q15</f>
        <v>33</v>
      </c>
      <c r="S15" s="88">
        <f>LOOKUP(2, 1/('OB History'!$B:$B=A15), 'OB History'!$AC:$AC)</f>
        <v>0.37666666666666665</v>
      </c>
      <c r="T15" s="2">
        <f>COUNTIFS('OB History'!$B:$B,$A$15,'OB History'!K:K, 1)</f>
        <v>0</v>
      </c>
      <c r="U15" s="2">
        <f>COUNTIFS('OB History'!$B:$B,$A$15,'OB History'!L:L, 1)</f>
        <v>0</v>
      </c>
      <c r="V15" s="2">
        <f>COUNTIFS('OB History'!$B:$B,$A$15,'OB History'!M:M, 1)</f>
        <v>1</v>
      </c>
      <c r="W15" s="2">
        <f>COUNTIFS('OB History'!$B:$B,$A$15,'OB History'!N:N, 1)</f>
        <v>0</v>
      </c>
      <c r="X15" s="2">
        <f>COUNTIFS('OB History'!$B:$B,$A$15,'OB History'!O:O, 1)</f>
        <v>0</v>
      </c>
      <c r="Y15" s="2">
        <f>COUNTIFS('OB History'!$B:$B,$A$15,'OB History'!P:P, 1)</f>
        <v>1</v>
      </c>
      <c r="Z15" s="2">
        <f>COUNTIFS('OB History'!$B:$B,$A$15,'OB History'!Q:Q, 1)</f>
        <v>1</v>
      </c>
      <c r="AA15" s="2">
        <f>COUNTIFS('OB History'!$B:$B,$A$15,'OB History'!R:R, 1)</f>
        <v>0</v>
      </c>
      <c r="AB15" s="2">
        <f>COUNTIFS('OB History'!$B:$B,$A$15,'OB History'!S:S, 1)</f>
        <v>0</v>
      </c>
      <c r="AC15" s="2">
        <f>COUNTIFS('OB History'!$B:$B,$A$15,'OB History'!T:T, 1)</f>
        <v>0</v>
      </c>
      <c r="AD15" s="2">
        <f>COUNTIFS('OB History'!$B:$B,$A$15,'OB History'!U:U, 1)</f>
        <v>0</v>
      </c>
      <c r="AE15" s="2">
        <f>COUNTIFS('OB History'!$B:$B,$A$15,'OB History'!V:V, 1)</f>
        <v>0</v>
      </c>
      <c r="AF15" s="2">
        <f>COUNTIFS('OB History'!$B:$B,$A$15,'OB History'!W:W, 1)</f>
        <v>0</v>
      </c>
      <c r="AG15" s="2">
        <f>COUNTIFS('OB History'!$B:$B,$A$15,'OB History'!X:X, 1)</f>
        <v>1</v>
      </c>
      <c r="AH15" s="2">
        <f>COUNTIFS('OB History'!$B:$B,$A$15,'OB History'!Y:Y, 1)</f>
        <v>0</v>
      </c>
      <c r="AI15" s="2">
        <f>COUNTIFS('OB History'!$B:$B,$A$15,'OB History'!Z:Z,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3"/>
      <c r="E16" s="3"/>
      <c r="F16" s="3"/>
      <c r="G16" s="3"/>
      <c r="H16" s="34">
        <f>SUMIFS('OB History'!C:C,'OB History'!B:B,A16)</f>
        <v>280</v>
      </c>
      <c r="I16" s="4">
        <f>AVERAGEIFS('OB History'!C:C,'OB History'!B:B,A16)</f>
        <v>12.727272727272727</v>
      </c>
      <c r="J16" s="35">
        <f t="array" ref="J16">MAX(IF('OB History'!B:B=A16, 'OB History'!C:C))</f>
        <v>26</v>
      </c>
      <c r="K16" s="34">
        <f>COUNTIFS('OB History'!B:B,A16,'OB History'!D:D, 1)</f>
        <v>9</v>
      </c>
      <c r="L16" s="2">
        <f>COUNTIFS('OB History'!B:B,A16,'OB History'!D:D, 0)</f>
        <v>13</v>
      </c>
      <c r="M16" s="88">
        <f>LOOKUP(2, 1/('OB History'!$B:$B=A16), 'OB History'!$AD:$AD)</f>
        <v>0.40909090909090912</v>
      </c>
      <c r="N16" s="34">
        <f>SUMIFS('OB History'!F:F,'OB History'!B:B,A16)</f>
        <v>44</v>
      </c>
      <c r="O16" s="2">
        <f>SUMIFS('OB History'!E:E,'OB History'!B:B,A16)-N16</f>
        <v>50</v>
      </c>
      <c r="P16" s="88">
        <f>LOOKUP(2, 1/('OB History'!$B:$B=A16), 'OB History'!$AB:$AB)</f>
        <v>0.46363636363636368</v>
      </c>
      <c r="Q16" s="34">
        <f>SUMIFS('OB History'!H:H,'OB History'!B:B,'Old Bow v2'!A16)</f>
        <v>182</v>
      </c>
      <c r="R16" s="2">
        <f>SUMIFS('OB History'!G:G,'OB History'!B:B,'Old Bow v2'!A16)-Q16</f>
        <v>196</v>
      </c>
      <c r="S16" s="88">
        <f>LOOKUP(2, 1/('OB History'!$B:$B=A16), 'OB History'!$AC:$AC)</f>
        <v>0.48136363636363644</v>
      </c>
      <c r="T16" s="2">
        <f>COUNTIFS('OB History'!$B:$B,$A$16,'OB History'!K:K, 1)</f>
        <v>1</v>
      </c>
      <c r="U16" s="2">
        <f>COUNTIFS('OB History'!$B:$B,$A$16,'OB History'!L:L, 1)</f>
        <v>3</v>
      </c>
      <c r="V16" s="2">
        <f>COUNTIFS('OB History'!$B:$B,$A$16,'OB History'!M:M, 1)</f>
        <v>2</v>
      </c>
      <c r="W16" s="2">
        <f>COUNTIFS('OB History'!$B:$B,$A$16,'OB History'!N:N, 1)</f>
        <v>7</v>
      </c>
      <c r="X16" s="2">
        <f>COUNTIFS('OB History'!$B:$B,$A$16,'OB History'!O:O, 1)</f>
        <v>0</v>
      </c>
      <c r="Y16" s="2">
        <f>COUNTIFS('OB History'!$B:$B,$A$16,'OB History'!P:P, 1)</f>
        <v>5</v>
      </c>
      <c r="Z16" s="2">
        <f>COUNTIFS('OB History'!$B:$B,$A$16,'OB History'!Q:Q, 1)</f>
        <v>0</v>
      </c>
      <c r="AA16" s="2">
        <f>COUNTIFS('OB History'!$B:$B,$A$16,'OB History'!R:R, 1)</f>
        <v>0</v>
      </c>
      <c r="AB16" s="2">
        <f>COUNTIFS('OB History'!$B:$B,$A$16,'OB History'!S:S, 1)</f>
        <v>1</v>
      </c>
      <c r="AC16" s="2">
        <f>COUNTIFS('OB History'!$B:$B,$A$16,'OB History'!T:T, 1)</f>
        <v>1</v>
      </c>
      <c r="AD16" s="2">
        <f>COUNTIFS('OB History'!$B:$B,$A$16,'OB History'!U:U, 1)</f>
        <v>0</v>
      </c>
      <c r="AE16" s="2">
        <f>COUNTIFS('OB History'!$B:$B,$A$16,'OB History'!V:V, 1)</f>
        <v>0</v>
      </c>
      <c r="AF16" s="2">
        <f>COUNTIFS('OB History'!$B:$B,$A$16,'OB History'!W:W, 1)</f>
        <v>3</v>
      </c>
      <c r="AG16" s="2">
        <f>COUNTIFS('OB History'!$B:$B,$A$16,'OB History'!X:X, 1)</f>
        <v>7</v>
      </c>
      <c r="AH16" s="2">
        <f>COUNTIFS('OB History'!$B:$B,$A$16,'OB History'!Y:Y, 1)</f>
        <v>6</v>
      </c>
      <c r="AI16" s="2">
        <f>COUNTIFS('OB History'!$B:$B,$A$16,'OB History'!Z:Z, 1)</f>
        <v>8</v>
      </c>
    </row>
    <row r="17" spans="1:35" x14ac:dyDescent="0.25">
      <c r="A17" s="2" t="s">
        <v>50</v>
      </c>
      <c r="B17" s="2" t="s">
        <v>79</v>
      </c>
      <c r="C17" s="2" t="s">
        <v>79</v>
      </c>
      <c r="D17" s="3"/>
      <c r="E17" s="3"/>
      <c r="F17" s="3"/>
      <c r="G17" s="3"/>
      <c r="H17" s="34">
        <f>SUMIFS('OB History'!C:C,'OB History'!B:B,A17)</f>
        <v>43</v>
      </c>
      <c r="I17" s="4">
        <f>AVERAGEIFS('OB History'!C:C,'OB History'!B:B,A17)</f>
        <v>14.333333333333334</v>
      </c>
      <c r="J17" s="35">
        <f t="array" ref="J17">MAX(IF('OB History'!B:B=A17, 'OB History'!C:C))</f>
        <v>17</v>
      </c>
      <c r="K17" s="34">
        <f>COUNTIFS('OB History'!B:B,A17,'OB History'!D:D, 1)</f>
        <v>0</v>
      </c>
      <c r="L17" s="2">
        <f>COUNTIFS('OB History'!B:B,A17,'OB History'!D:D, 0)</f>
        <v>3</v>
      </c>
      <c r="M17" s="88">
        <f>LOOKUP(2, 1/('OB History'!$B:$B=A17), 'OB History'!$AD:$AD)</f>
        <v>0</v>
      </c>
      <c r="N17" s="34">
        <f>SUMIFS('OB History'!F:F,'OB History'!B:B,A17)</f>
        <v>4</v>
      </c>
      <c r="O17" s="2">
        <f>SUMIFS('OB History'!E:E,'OB History'!B:B,A17)-N17</f>
        <v>9</v>
      </c>
      <c r="P17" s="88">
        <f>LOOKUP(2, 1/('OB History'!$B:$B=A17), 'OB History'!$AB:$AB)</f>
        <v>0.3</v>
      </c>
      <c r="Q17" s="34">
        <f>SUMIFS('OB History'!H:H,'OB History'!B:B,'Old Bow v2'!A17)</f>
        <v>24</v>
      </c>
      <c r="R17" s="2">
        <f>SUMIFS('OB History'!G:G,'OB History'!B:B,'Old Bow v2'!A17)-Q17</f>
        <v>32</v>
      </c>
      <c r="S17" s="88">
        <f>LOOKUP(2, 1/('OB History'!$B:$B=A17), 'OB History'!$AC:$AC)</f>
        <v>0.41666666666666669</v>
      </c>
      <c r="T17" s="2">
        <f>COUNTIFS('OB History'!$B:$B,$A$17,'OB History'!K:K, 1)</f>
        <v>1</v>
      </c>
      <c r="U17" s="2">
        <f>COUNTIFS('OB History'!$B:$B,$A$17,'OB History'!L:L, 1)</f>
        <v>0</v>
      </c>
      <c r="V17" s="2">
        <f>COUNTIFS('OB History'!$B:$B,$A$17,'OB History'!M:M, 1)</f>
        <v>0</v>
      </c>
      <c r="W17" s="2">
        <f>COUNTIFS('OB History'!$B:$B,$A$17,'OB History'!N:N, 1)</f>
        <v>0</v>
      </c>
      <c r="X17" s="2">
        <f>COUNTIFS('OB History'!$B:$B,$A$17,'OB History'!O:O, 1)</f>
        <v>0</v>
      </c>
      <c r="Y17" s="2">
        <f>COUNTIFS('OB History'!$B:$B,$A$17,'OB History'!P:P, 1)</f>
        <v>2</v>
      </c>
      <c r="Z17" s="2">
        <f>COUNTIFS('OB History'!$B:$B,$A$17,'OB History'!Q:Q, 1)</f>
        <v>0</v>
      </c>
      <c r="AA17" s="2">
        <f>COUNTIFS('OB History'!$B:$B,$A$17,'OB History'!R:R, 1)</f>
        <v>0</v>
      </c>
      <c r="AB17" s="2">
        <f>COUNTIFS('OB History'!$B:$B,$A$17,'OB History'!S:S, 1)</f>
        <v>0</v>
      </c>
      <c r="AC17" s="2">
        <f>COUNTIFS('OB History'!$B:$B,$A$17,'OB History'!T:T, 1)</f>
        <v>0</v>
      </c>
      <c r="AD17" s="2">
        <f>COUNTIFS('OB History'!$B:$B,$A$17,'OB History'!U:U, 1)</f>
        <v>0</v>
      </c>
      <c r="AE17" s="2">
        <f>COUNTIFS('OB History'!$B:$B,$A$17,'OB History'!V:V, 1)</f>
        <v>0</v>
      </c>
      <c r="AF17" s="2">
        <f>COUNTIFS('OB History'!$B:$B,$A$17,'OB History'!W:W, 1)</f>
        <v>1</v>
      </c>
      <c r="AG17" s="2">
        <f>COUNTIFS('OB History'!$B:$B,$A$17,'OB History'!X:X, 1)</f>
        <v>0</v>
      </c>
      <c r="AH17" s="2">
        <f>COUNTIFS('OB History'!$B:$B,$A$17,'OB History'!Y:Y, 1)</f>
        <v>0</v>
      </c>
      <c r="AI17" s="2">
        <f>COUNTIFS('OB History'!$B:$B,$A$17,'OB History'!Z:Z, 1)</f>
        <v>0</v>
      </c>
    </row>
    <row r="18" spans="1:35" x14ac:dyDescent="0.25">
      <c r="A18" s="2" t="s">
        <v>52</v>
      </c>
      <c r="B18" s="2" t="s">
        <v>79</v>
      </c>
      <c r="C18" s="2" t="s">
        <v>79</v>
      </c>
      <c r="D18" s="3"/>
      <c r="E18" s="3"/>
      <c r="F18" s="3"/>
      <c r="G18" s="3"/>
      <c r="H18" s="34">
        <f>SUMIFS('OB History'!C:C,'OB History'!B:B,A18)</f>
        <v>39</v>
      </c>
      <c r="I18" s="4">
        <f>AVERAGEIFS('OB History'!C:C,'OB History'!B:B,A18)</f>
        <v>19.5</v>
      </c>
      <c r="J18" s="35">
        <f t="array" ref="J18">MAX(IF('OB History'!B:B=A18, 'OB History'!C:C))</f>
        <v>34</v>
      </c>
      <c r="K18" s="34">
        <f>COUNTIFS('OB History'!B:B,A18,'OB History'!D:D, 1)</f>
        <v>0</v>
      </c>
      <c r="L18" s="2">
        <f>COUNTIFS('OB History'!B:B,A18,'OB History'!D:D, 0)</f>
        <v>2</v>
      </c>
      <c r="M18" s="88">
        <f>LOOKUP(2, 1/('OB History'!$B:$B=A18), 'OB History'!$AD:$AD)</f>
        <v>0</v>
      </c>
      <c r="N18" s="34">
        <f>SUMIFS('OB History'!F:F,'OB History'!B:B,A18)</f>
        <v>2</v>
      </c>
      <c r="O18" s="2">
        <f>SUMIFS('OB History'!E:E,'OB History'!B:B,A18)-N18</f>
        <v>6</v>
      </c>
      <c r="P18" s="88">
        <f>LOOKUP(2, 1/('OB History'!$B:$B=A18), 'OB History'!$AB:$AB)</f>
        <v>0.2</v>
      </c>
      <c r="Q18" s="34">
        <f>SUMIFS('OB History'!H:H,'OB History'!B:B,'Old Bow v2'!A18)</f>
        <v>12</v>
      </c>
      <c r="R18" s="2">
        <f>SUMIFS('OB History'!G:G,'OB History'!B:B,'Old Bow v2'!A18)-Q18</f>
        <v>22</v>
      </c>
      <c r="S18" s="88">
        <f>LOOKUP(2, 1/('OB History'!$B:$B=A18), 'OB History'!$AC:$AC)</f>
        <v>0.34499999999999997</v>
      </c>
      <c r="T18" s="2">
        <f>COUNTIFS('OB History'!$B:$B,$A$18,'OB History'!K:K, 1)</f>
        <v>0</v>
      </c>
      <c r="U18" s="2">
        <f>COUNTIFS('OB History'!$B:$B,$A$18,'OB History'!L:L, 1)</f>
        <v>0</v>
      </c>
      <c r="V18" s="2">
        <f>COUNTIFS('OB History'!$B:$B,$A$18,'OB History'!M:M, 1)</f>
        <v>0</v>
      </c>
      <c r="W18" s="2">
        <f>COUNTIFS('OB History'!$B:$B,$A$18,'OB History'!N:N, 1)</f>
        <v>0</v>
      </c>
      <c r="X18" s="2">
        <f>COUNTIFS('OB History'!$B:$B,$A$18,'OB History'!O:O, 1)</f>
        <v>0</v>
      </c>
      <c r="Y18" s="2">
        <f>COUNTIFS('OB History'!$B:$B,$A$18,'OB History'!P:P, 1)</f>
        <v>1</v>
      </c>
      <c r="Z18" s="2">
        <f>COUNTIFS('OB History'!$B:$B,$A$18,'OB History'!Q:Q, 1)</f>
        <v>0</v>
      </c>
      <c r="AA18" s="2">
        <f>COUNTIFS('OB History'!$B:$B,$A$18,'OB History'!R:R, 1)</f>
        <v>0</v>
      </c>
      <c r="AB18" s="2">
        <f>COUNTIFS('OB History'!$B:$B,$A$18,'OB History'!S:S, 1)</f>
        <v>0</v>
      </c>
      <c r="AC18" s="2">
        <f>COUNTIFS('OB History'!$B:$B,$A$18,'OB History'!T:T, 1)</f>
        <v>0</v>
      </c>
      <c r="AD18" s="2">
        <f>COUNTIFS('OB History'!$B:$B,$A$18,'OB History'!U:U, 1)</f>
        <v>0</v>
      </c>
      <c r="AE18" s="2">
        <f>COUNTIFS('OB History'!$B:$B,$A$18,'OB History'!V:V, 1)</f>
        <v>0</v>
      </c>
      <c r="AF18" s="2">
        <f>COUNTIFS('OB History'!$B:$B,$A$18,'OB History'!W:W, 1)</f>
        <v>0</v>
      </c>
      <c r="AG18" s="2">
        <f>COUNTIFS('OB History'!$B:$B,$A$18,'OB History'!X:X, 1)</f>
        <v>1</v>
      </c>
      <c r="AH18" s="2">
        <f>COUNTIFS('OB History'!$B:$B,$A$18,'OB History'!Y:Y, 1)</f>
        <v>0</v>
      </c>
      <c r="AI18" s="2">
        <f>COUNTIFS('OB History'!$B:$B,$A$18,'OB History'!Z:Z, 1)</f>
        <v>0</v>
      </c>
    </row>
    <row r="19" spans="1:35" x14ac:dyDescent="0.25">
      <c r="A19" s="1" t="s">
        <v>44</v>
      </c>
      <c r="B19" s="2" t="s">
        <v>79</v>
      </c>
      <c r="C19" s="2" t="s">
        <v>79</v>
      </c>
      <c r="D19" s="3"/>
      <c r="E19" s="3"/>
      <c r="F19" s="3"/>
      <c r="G19" s="3"/>
      <c r="H19" s="34">
        <f>SUMIFS('OB History'!C:C,'OB History'!B:B,A19)</f>
        <v>67</v>
      </c>
      <c r="I19" s="4">
        <f>AVERAGEIFS('OB History'!C:C,'OB History'!B:B,A19)</f>
        <v>16.75</v>
      </c>
      <c r="J19" s="35">
        <f t="array" ref="J19">MAX(IF('OB History'!B:B=A19, 'OB History'!C:C))</f>
        <v>28</v>
      </c>
      <c r="K19" s="34">
        <f>COUNTIFS('OB History'!B:B,A19,'OB History'!D:D, 1)</f>
        <v>4</v>
      </c>
      <c r="L19" s="2">
        <f>COUNTIFS('OB History'!B:B,A19,'OB History'!D:D, 0)</f>
        <v>0</v>
      </c>
      <c r="M19" s="88">
        <f>LOOKUP(2, 1/('OB History'!$B:$B=A19), 'OB History'!$AD:$AD)</f>
        <v>1</v>
      </c>
      <c r="N19" s="34">
        <f>SUMIFS('OB History'!F:F,'OB History'!B:B,A19)</f>
        <v>12</v>
      </c>
      <c r="O19" s="2">
        <f>SUMIFS('OB History'!E:E,'OB History'!B:B,A19)-N19</f>
        <v>4</v>
      </c>
      <c r="P19" s="88">
        <f>LOOKUP(2, 1/('OB History'!$B:$B=A19), 'OB History'!$AB:$AB)</f>
        <v>0.8</v>
      </c>
      <c r="Q19" s="34">
        <f>SUMIFS('OB History'!H:H,'OB History'!B:B,'Old Bow v2'!A19)</f>
        <v>41</v>
      </c>
      <c r="R19" s="2">
        <f>SUMIFS('OB History'!G:G,'OB History'!B:B,'Old Bow v2'!A19)-Q19</f>
        <v>26</v>
      </c>
      <c r="S19" s="88">
        <f>LOOKUP(2, 1/('OB History'!$B:$B=A19), 'OB History'!$AC:$AC)</f>
        <v>0.63249999999999995</v>
      </c>
      <c r="T19" s="2">
        <f>COUNTIFS('OB History'!$B:$B,$A$19,'OB History'!K:K, 1)</f>
        <v>0</v>
      </c>
      <c r="U19" s="2">
        <f>COUNTIFS('OB History'!$B:$B,$A$19,'OB History'!L:L, 1)</f>
        <v>1</v>
      </c>
      <c r="V19" s="2">
        <f>COUNTIFS('OB History'!$B:$B,$A$19,'OB History'!M:M, 1)</f>
        <v>1</v>
      </c>
      <c r="W19" s="2">
        <f>COUNTIFS('OB History'!$B:$B,$A$19,'OB History'!N:N, 1)</f>
        <v>0</v>
      </c>
      <c r="X19" s="2">
        <f>COUNTIFS('OB History'!$B:$B,$A$19,'OB History'!O:O, 1)</f>
        <v>0</v>
      </c>
      <c r="Y19" s="2">
        <f>COUNTIFS('OB History'!$B:$B,$A$19,'OB History'!P:P, 1)</f>
        <v>1</v>
      </c>
      <c r="Z19" s="2">
        <f>COUNTIFS('OB History'!$B:$B,$A$19,'OB History'!Q:Q, 1)</f>
        <v>1</v>
      </c>
      <c r="AA19" s="2">
        <f>COUNTIFS('OB History'!$B:$B,$A$19,'OB History'!R:R, 1)</f>
        <v>1</v>
      </c>
      <c r="AB19" s="2">
        <f>COUNTIFS('OB History'!$B:$B,$A$19,'OB History'!S:S, 1)</f>
        <v>0</v>
      </c>
      <c r="AC19" s="2">
        <f>COUNTIFS('OB History'!$B:$B,$A$19,'OB History'!T:T, 1)</f>
        <v>0</v>
      </c>
      <c r="AD19" s="2">
        <f>COUNTIFS('OB History'!$B:$B,$A$19,'OB History'!U:U, 1)</f>
        <v>0</v>
      </c>
      <c r="AE19" s="2">
        <f>COUNTIFS('OB History'!$B:$B,$A$19,'OB History'!V:V, 1)</f>
        <v>0</v>
      </c>
      <c r="AF19" s="2">
        <f>COUNTIFS('OB History'!$B:$B,$A$19,'OB History'!W:W, 1)</f>
        <v>1</v>
      </c>
      <c r="AG19" s="2">
        <f>COUNTIFS('OB History'!$B:$B,$A$19,'OB History'!X:X, 1)</f>
        <v>3</v>
      </c>
      <c r="AH19" s="2">
        <f>COUNTIFS('OB History'!$B:$B,$A$19,'OB History'!Y:Y, 1)</f>
        <v>2</v>
      </c>
      <c r="AI19" s="2">
        <f>COUNTIFS('OB History'!$B:$B,$A$19,'OB History'!Z:Z, 1)</f>
        <v>1</v>
      </c>
    </row>
    <row r="20" spans="1:35" x14ac:dyDescent="0.25">
      <c r="A20" s="2" t="s">
        <v>1</v>
      </c>
      <c r="B20" s="6" t="s">
        <v>124</v>
      </c>
      <c r="C20" s="2" t="s">
        <v>79</v>
      </c>
      <c r="D20" s="3"/>
      <c r="E20" s="3"/>
      <c r="F20" s="3"/>
      <c r="G20" s="3"/>
      <c r="H20" s="34">
        <f>SUMIFS('OB History'!C:C,'OB History'!B:B,A20)</f>
        <v>309</v>
      </c>
      <c r="I20" s="4">
        <f>AVERAGEIFS('OB History'!C:C,'OB History'!B:B,A20)</f>
        <v>23.76923076923077</v>
      </c>
      <c r="J20" s="35">
        <f t="array" ref="J20">MAX(IF('OB History'!B:B=A20, 'OB History'!C:C))</f>
        <v>37</v>
      </c>
      <c r="K20" s="34">
        <f>COUNTIFS('OB History'!B:B,A20,'OB History'!D:D, 1)</f>
        <v>8</v>
      </c>
      <c r="L20" s="2">
        <f>COUNTIFS('OB History'!B:B,A20,'OB History'!D:D, 0)</f>
        <v>5</v>
      </c>
      <c r="M20" s="88">
        <f>LOOKUP(2, 1/('OB History'!$B:$B=A20), 'OB History'!$AD:$AD)</f>
        <v>0.61538461538461542</v>
      </c>
      <c r="N20" s="34">
        <f>SUMIFS('OB History'!F:F,'OB History'!B:B,A20)</f>
        <v>30</v>
      </c>
      <c r="O20" s="2">
        <f>SUMIFS('OB History'!E:E,'OB History'!B:B,A20)-N20</f>
        <v>26</v>
      </c>
      <c r="P20" s="88">
        <f>LOOKUP(2, 1/('OB History'!$B:$B=A20), 'OB History'!$AB:$AB)</f>
        <v>0.5346153846153846</v>
      </c>
      <c r="Q20" s="34">
        <f>SUMIFS('OB History'!H:H,'OB History'!B:B,'Old Bow v2'!A20)</f>
        <v>116</v>
      </c>
      <c r="R20" s="2">
        <f>SUMIFS('OB History'!G:G,'OB History'!B:B,'Old Bow v2'!A20)-Q20</f>
        <v>117</v>
      </c>
      <c r="S20" s="88">
        <f>LOOKUP(2, 1/('OB History'!$B:$B=A20), 'OB History'!$AC:$AC)</f>
        <v>0.49230769230769234</v>
      </c>
      <c r="T20" s="2">
        <f>COUNTIFS('OB History'!$B:$B,$A$20,'OB History'!K:K, 1)</f>
        <v>0</v>
      </c>
      <c r="U20" s="2">
        <f>COUNTIFS('OB History'!$B:$B,$A$20,'OB History'!L:L, 1)</f>
        <v>3</v>
      </c>
      <c r="V20" s="2">
        <f>COUNTIFS('OB History'!$B:$B,$A$20,'OB History'!M:M, 1)</f>
        <v>4</v>
      </c>
      <c r="W20" s="2">
        <f>COUNTIFS('OB History'!$B:$B,$A$20,'OB History'!N:N, 1)</f>
        <v>1</v>
      </c>
      <c r="X20" s="2">
        <f>COUNTIFS('OB History'!$B:$B,$A$20,'OB History'!O:O, 1)</f>
        <v>2</v>
      </c>
      <c r="Y20" s="2">
        <f>COUNTIFS('OB History'!$B:$B,$A$20,'OB History'!P:P, 1)</f>
        <v>2</v>
      </c>
      <c r="Z20" s="2">
        <f>COUNTIFS('OB History'!$B:$B,$A$20,'OB History'!Q:Q, 1)</f>
        <v>0</v>
      </c>
      <c r="AA20" s="2">
        <f>COUNTIFS('OB History'!$B:$B,$A$20,'OB History'!R:R, 1)</f>
        <v>1</v>
      </c>
      <c r="AB20" s="2">
        <f>COUNTIFS('OB History'!$B:$B,$A$20,'OB History'!S:S, 1)</f>
        <v>0</v>
      </c>
      <c r="AC20" s="2">
        <f>COUNTIFS('OB History'!$B:$B,$A$20,'OB History'!T:T, 1)</f>
        <v>0</v>
      </c>
      <c r="AD20" s="2">
        <f>COUNTIFS('OB History'!$B:$B,$A$20,'OB History'!U:U, 1)</f>
        <v>0</v>
      </c>
      <c r="AE20" s="2">
        <f>COUNTIFS('OB History'!$B:$B,$A$20,'OB History'!V:V, 1)</f>
        <v>0</v>
      </c>
      <c r="AF20" s="2">
        <f>COUNTIFS('OB History'!$B:$B,$A$20,'OB History'!W:W, 1)</f>
        <v>4</v>
      </c>
      <c r="AG20" s="2">
        <f>COUNTIFS('OB History'!$B:$B,$A$20,'OB History'!X:X, 1)</f>
        <v>4</v>
      </c>
      <c r="AH20" s="2">
        <f>COUNTIFS('OB History'!$B:$B,$A$20,'OB History'!Y:Y, 1)</f>
        <v>4</v>
      </c>
      <c r="AI20" s="2">
        <f>COUNTIFS('OB History'!$B:$B,$A$20,'OB History'!Z:Z, 1)</f>
        <v>5</v>
      </c>
    </row>
    <row r="21" spans="1:35" x14ac:dyDescent="0.25">
      <c r="A21" s="2" t="s">
        <v>150</v>
      </c>
      <c r="B21" s="6" t="s">
        <v>79</v>
      </c>
      <c r="C21" s="2" t="s">
        <v>79</v>
      </c>
      <c r="D21" s="3">
        <v>1</v>
      </c>
      <c r="E21" s="3"/>
      <c r="F21" s="3"/>
      <c r="G21" s="3"/>
      <c r="H21" s="34">
        <f>SUMIFS('OB History'!C:C,'OB History'!B:B,A21)</f>
        <v>121</v>
      </c>
      <c r="I21" s="4">
        <f>AVERAGEIFS('OB History'!C:C,'OB History'!B:B,A21)</f>
        <v>17.285714285714285</v>
      </c>
      <c r="J21" s="35">
        <f t="array" ref="J21">MAX(IF('OB History'!B:B=A21, 'OB History'!C:C))</f>
        <v>26</v>
      </c>
      <c r="K21" s="34">
        <f>COUNTIFS('OB History'!B:B,A21,'OB History'!D:D, 1)</f>
        <v>6</v>
      </c>
      <c r="L21" s="2">
        <f>COUNTIFS('OB History'!B:B,A21,'OB History'!D:D, 0)</f>
        <v>1</v>
      </c>
      <c r="M21" s="88">
        <f>LOOKUP(2, 1/('OB History'!$B:$B=A21), 'OB History'!$AD:$AD)</f>
        <v>0.8571428571428571</v>
      </c>
      <c r="N21" s="34">
        <f>SUMIFS('OB History'!F:F,'OB History'!B:B,A21)</f>
        <v>20</v>
      </c>
      <c r="O21" s="2">
        <f>SUMIFS('OB History'!E:E,'OB History'!B:B,A21)-N21</f>
        <v>10</v>
      </c>
      <c r="P21" s="88">
        <f>LOOKUP(2, 1/('OB History'!$B:$B=A21), 'OB History'!$AB:$AB)</f>
        <v>0.69285714285714284</v>
      </c>
      <c r="Q21" s="34">
        <f>SUMIFS('OB History'!H:H,'OB History'!B:B,'Old Bow v2'!A21)</f>
        <v>76</v>
      </c>
      <c r="R21" s="2">
        <f>SUMIFS('OB History'!G:G,'OB History'!B:B,'Old Bow v2'!A21)-Q21</f>
        <v>43</v>
      </c>
      <c r="S21" s="88">
        <f>LOOKUP(2, 1/('OB History'!$B:$B=A21), 'OB History'!$AC:$AC)</f>
        <v>0.65142857142857136</v>
      </c>
      <c r="T21" s="2">
        <f>COUNTIFS('OB History'!$B:$B,$A$21,'OB History'!K:K, 1)</f>
        <v>0</v>
      </c>
      <c r="U21" s="2">
        <f>COUNTIFS('OB History'!$B:$B,$A$21,'OB History'!L:L, 1)</f>
        <v>0</v>
      </c>
      <c r="V21" s="2">
        <f>COUNTIFS('OB History'!$B:$B,$A$21,'OB History'!M:M, 1)</f>
        <v>1</v>
      </c>
      <c r="W21" s="2">
        <f>COUNTIFS('OB History'!$B:$B,$A$21,'OB History'!N:N, 1)</f>
        <v>3</v>
      </c>
      <c r="X21" s="2">
        <f>COUNTIFS('OB History'!$B:$B,$A$21,'OB History'!O:O, 1)</f>
        <v>0</v>
      </c>
      <c r="Y21" s="2">
        <f>COUNTIFS('OB History'!$B:$B,$A$21,'OB History'!P:P, 1)</f>
        <v>2</v>
      </c>
      <c r="Z21" s="2">
        <f>COUNTIFS('OB History'!$B:$B,$A$21,'OB History'!Q:Q, 1)</f>
        <v>1</v>
      </c>
      <c r="AA21" s="2">
        <f>COUNTIFS('OB History'!$B:$B,$A$21,'OB History'!R:R, 1)</f>
        <v>1</v>
      </c>
      <c r="AB21" s="2">
        <f>COUNTIFS('OB History'!$B:$B,$A$21,'OB History'!S:S, 1)</f>
        <v>0</v>
      </c>
      <c r="AC21" s="2">
        <f>COUNTIFS('OB History'!$B:$B,$A$21,'OB History'!T:T, 1)</f>
        <v>0</v>
      </c>
      <c r="AD21" s="2">
        <f>COUNTIFS('OB History'!$B:$B,$A$21,'OB History'!U:U, 1)</f>
        <v>1</v>
      </c>
      <c r="AE21" s="2">
        <f>COUNTIFS('OB History'!$B:$B,$A$21,'OB History'!V:V, 1)</f>
        <v>0</v>
      </c>
      <c r="AF21" s="2">
        <f>COUNTIFS('OB History'!$B:$B,$A$21,'OB History'!W:W, 1)</f>
        <v>3</v>
      </c>
      <c r="AG21" s="2">
        <f>COUNTIFS('OB History'!$B:$B,$A$21,'OB History'!X:X, 1)</f>
        <v>3</v>
      </c>
      <c r="AH21" s="2">
        <f>COUNTIFS('OB History'!$B:$B,$A$21,'OB History'!Y:Y, 1)</f>
        <v>4</v>
      </c>
      <c r="AI21" s="2">
        <f>COUNTIFS('OB History'!$B:$B,$A$21,'OB History'!Z:Z, 1)</f>
        <v>1</v>
      </c>
    </row>
    <row r="22" spans="1:35" x14ac:dyDescent="0.25">
      <c r="A22" s="2" t="s">
        <v>29</v>
      </c>
      <c r="B22" s="6" t="s">
        <v>172</v>
      </c>
      <c r="C22" s="2" t="s">
        <v>79</v>
      </c>
      <c r="D22" s="3">
        <v>1</v>
      </c>
      <c r="E22" s="3"/>
      <c r="F22" s="3"/>
      <c r="G22" s="3"/>
      <c r="H22" s="34">
        <f>SUMIFS('OB History'!C:C,'OB History'!B:B,A22)</f>
        <v>462</v>
      </c>
      <c r="I22" s="4">
        <f>AVERAGEIFS('OB History'!C:C,'OB History'!B:B,A22)</f>
        <v>10.744186046511627</v>
      </c>
      <c r="J22" s="35">
        <f t="array" ref="J22">MAX(IF('OB History'!B:B=A22, 'OB History'!C:C))</f>
        <v>21</v>
      </c>
      <c r="K22" s="34">
        <f>COUNTIFS('OB History'!B:B,A22,'OB History'!D:D, 1)</f>
        <v>19</v>
      </c>
      <c r="L22" s="2">
        <f>COUNTIFS('OB History'!B:B,A22,'OB History'!D:D, 0)</f>
        <v>24</v>
      </c>
      <c r="M22" s="88">
        <f>LOOKUP(2, 1/('OB History'!$B:$B=A22), 'OB History'!$AD:$AD)</f>
        <v>0.44186046511627908</v>
      </c>
      <c r="N22" s="34">
        <f>SUMIFS('OB History'!F:F,'OB History'!B:B,A22)</f>
        <v>83</v>
      </c>
      <c r="O22" s="2">
        <f>SUMIFS('OB History'!E:E,'OB History'!B:B,A22)-N22</f>
        <v>92</v>
      </c>
      <c r="P22" s="88">
        <f>LOOKUP(2, 1/('OB History'!$B:$B=A22), 'OB History'!$AB:$AB)</f>
        <v>0.46744186046511632</v>
      </c>
      <c r="Q22" s="34">
        <f>SUMIFS('OB History'!H:H,'OB History'!B:B,'Old Bow v2'!A22)</f>
        <v>357</v>
      </c>
      <c r="R22" s="2">
        <f>SUMIFS('OB History'!G:G,'OB History'!B:B,'Old Bow v2'!A22)-Q22</f>
        <v>368</v>
      </c>
      <c r="S22" s="88">
        <f>LOOKUP(2, 1/('OB History'!$B:$B=A22), 'OB History'!$AC:$AC)</f>
        <v>0.49558139534883716</v>
      </c>
      <c r="T22" s="2">
        <f>COUNTIFS('OB History'!$B:$B,$A$22,'OB History'!K:K, 1)</f>
        <v>5</v>
      </c>
      <c r="U22" s="2">
        <f>COUNTIFS('OB History'!$B:$B,$A$22,'OB History'!L:L, 1)</f>
        <v>7</v>
      </c>
      <c r="V22" s="2">
        <f>COUNTIFS('OB History'!$B:$B,$A$22,'OB History'!M:M, 1)</f>
        <v>2</v>
      </c>
      <c r="W22" s="2">
        <f>COUNTIFS('OB History'!$B:$B,$A$22,'OB History'!N:N, 1)</f>
        <v>10</v>
      </c>
      <c r="X22" s="2">
        <f>COUNTIFS('OB History'!$B:$B,$A$22,'OB History'!O:O, 1)</f>
        <v>4</v>
      </c>
      <c r="Y22" s="2">
        <f>COUNTIFS('OB History'!$B:$B,$A$22,'OB History'!P:P, 1)</f>
        <v>8</v>
      </c>
      <c r="Z22" s="2">
        <f>COUNTIFS('OB History'!$B:$B,$A$22,'OB History'!Q:Q, 1)</f>
        <v>1</v>
      </c>
      <c r="AA22" s="2">
        <f>COUNTIFS('OB History'!$B:$B,$A$22,'OB History'!R:R, 1)</f>
        <v>0</v>
      </c>
      <c r="AB22" s="2">
        <f>COUNTIFS('OB History'!$B:$B,$A$22,'OB History'!S:S, 1)</f>
        <v>0</v>
      </c>
      <c r="AC22" s="2">
        <f>COUNTIFS('OB History'!$B:$B,$A$22,'OB History'!T:T, 1)</f>
        <v>0</v>
      </c>
      <c r="AD22" s="2">
        <f>COUNTIFS('OB History'!$B:$B,$A$22,'OB History'!U:U, 1)</f>
        <v>0</v>
      </c>
      <c r="AE22" s="2">
        <f>COUNTIFS('OB History'!$B:$B,$A$22,'OB History'!V:V, 1)</f>
        <v>3</v>
      </c>
      <c r="AF22" s="2">
        <f>COUNTIFS('OB History'!$B:$B,$A$22,'OB History'!W:W, 1)</f>
        <v>12</v>
      </c>
      <c r="AG22" s="2">
        <f>COUNTIFS('OB History'!$B:$B,$A$22,'OB History'!X:X, 1)</f>
        <v>13</v>
      </c>
      <c r="AH22" s="2">
        <f>COUNTIFS('OB History'!$B:$B,$A$22,'OB History'!Y:Y, 1)</f>
        <v>8</v>
      </c>
      <c r="AI22" s="2">
        <f>COUNTIFS('OB History'!$B:$B,$A$22,'OB History'!Z:Z, 1)</f>
        <v>10</v>
      </c>
    </row>
    <row r="23" spans="1:35" x14ac:dyDescent="0.25">
      <c r="A23" s="2" t="s">
        <v>46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183</v>
      </c>
      <c r="I23" s="4">
        <f>AVERAGEIFS('OB History'!C:C,'OB History'!B:B,A23)</f>
        <v>20.333333333333332</v>
      </c>
      <c r="J23" s="35">
        <f t="array" ref="J23">MAX(IF('OB History'!B:B=A23, 'OB History'!C:C))</f>
        <v>36</v>
      </c>
      <c r="K23" s="34">
        <f>COUNTIFS('OB History'!B:B,A23,'OB History'!D:D, 1)</f>
        <v>4</v>
      </c>
      <c r="L23" s="2">
        <f>COUNTIFS('OB History'!B:B,A23,'OB History'!D:D, 0)</f>
        <v>5</v>
      </c>
      <c r="M23" s="88">
        <f>LOOKUP(2, 1/('OB History'!$B:$B=A23), 'OB History'!$AD:$AD)</f>
        <v>0.44444444444444442</v>
      </c>
      <c r="N23" s="34">
        <f>SUMIFS('OB History'!F:F,'OB History'!B:B,A23)</f>
        <v>16</v>
      </c>
      <c r="O23" s="2">
        <f>SUMIFS('OB History'!E:E,'OB History'!B:B,A23)-N23</f>
        <v>20</v>
      </c>
      <c r="P23" s="88">
        <f>LOOKUP(2, 1/('OB History'!$B:$B=A23), 'OB History'!$AB:$AB)</f>
        <v>0.41666666666666669</v>
      </c>
      <c r="Q23" s="34">
        <f>SUMIFS('OB History'!H:H,'OB History'!B:B,'Old Bow v2'!A23)</f>
        <v>70</v>
      </c>
      <c r="R23" s="2">
        <f>SUMIFS('OB History'!G:G,'OB History'!B:B,'Old Bow v2'!A23)-Q23</f>
        <v>83</v>
      </c>
      <c r="S23" s="88">
        <f>LOOKUP(2, 1/('OB History'!$B:$B=A23), 'OB History'!$AC:$AC)</f>
        <v>0.44999999999999996</v>
      </c>
      <c r="T23" s="2">
        <f>COUNTIFS('OB History'!$B:$B,$A$23,'OB History'!K:K, 1)</f>
        <v>0</v>
      </c>
      <c r="U23" s="2">
        <f>COUNTIFS('OB History'!$B:$B,$A$23,'OB History'!L:L, 1)</f>
        <v>1</v>
      </c>
      <c r="V23" s="2">
        <f>COUNTIFS('OB History'!$B:$B,$A$23,'OB History'!M:M, 1)</f>
        <v>1</v>
      </c>
      <c r="W23" s="2">
        <f>COUNTIFS('OB History'!$B:$B,$A$23,'OB History'!N:N, 1)</f>
        <v>1</v>
      </c>
      <c r="X23" s="2">
        <f>COUNTIFS('OB History'!$B:$B,$A$23,'OB History'!O:O, 1)</f>
        <v>0</v>
      </c>
      <c r="Y23" s="2">
        <f>COUNTIFS('OB History'!$B:$B,$A$23,'OB History'!P:P, 1)</f>
        <v>5</v>
      </c>
      <c r="Z23" s="2">
        <f>COUNTIFS('OB History'!$B:$B,$A$23,'OB History'!Q:Q, 1)</f>
        <v>0</v>
      </c>
      <c r="AA23" s="2">
        <f>COUNTIFS('OB History'!$B:$B,$A$23,'OB History'!R:R, 1)</f>
        <v>1</v>
      </c>
      <c r="AB23" s="2">
        <f>COUNTIFS('OB History'!$B:$B,$A$23,'OB History'!S:S, 1)</f>
        <v>0</v>
      </c>
      <c r="AC23" s="2">
        <f>COUNTIFS('OB History'!$B:$B,$A$23,'OB History'!T:T, 1)</f>
        <v>0</v>
      </c>
      <c r="AD23" s="2">
        <f>COUNTIFS('OB History'!$B:$B,$A$23,'OB History'!U:U, 1)</f>
        <v>0</v>
      </c>
      <c r="AE23" s="2">
        <f>COUNTIFS('OB History'!$B:$B,$A$23,'OB History'!V:V, 1)</f>
        <v>0</v>
      </c>
      <c r="AF23" s="2">
        <f>COUNTIFS('OB History'!$B:$B,$A$23,'OB History'!W:W, 1)</f>
        <v>1</v>
      </c>
      <c r="AG23" s="2">
        <f>COUNTIFS('OB History'!$B:$B,$A$23,'OB History'!X:X, 1)</f>
        <v>3</v>
      </c>
      <c r="AH23" s="2">
        <f>COUNTIFS('OB History'!$B:$B,$A$23,'OB History'!Y:Y, 1)</f>
        <v>1</v>
      </c>
      <c r="AI23" s="2">
        <f>COUNTIFS('OB History'!$B:$B,$A$23,'OB History'!Z:Z, 1)</f>
        <v>2</v>
      </c>
    </row>
    <row r="24" spans="1:35" x14ac:dyDescent="0.25">
      <c r="A24" s="2" t="s">
        <v>139</v>
      </c>
      <c r="B24" s="2" t="s">
        <v>79</v>
      </c>
      <c r="C24" s="2" t="s">
        <v>79</v>
      </c>
      <c r="D24" s="3"/>
      <c r="E24" s="3"/>
      <c r="F24" s="3"/>
      <c r="G24" s="3"/>
      <c r="H24" s="34">
        <f>SUMIFS('OB History'!C:C,'OB History'!B:B,A24)</f>
        <v>178</v>
      </c>
      <c r="I24" s="4">
        <f>AVERAGEIFS('OB History'!C:C,'OB History'!B:B,A24)</f>
        <v>11.125</v>
      </c>
      <c r="J24" s="35">
        <f t="array" ref="J24">MAX(IF('OB History'!B:B=A24, 'OB History'!C:C))</f>
        <v>17</v>
      </c>
      <c r="K24" s="34">
        <f>COUNTIFS('OB History'!B:B,A24,'OB History'!D:D, 1)</f>
        <v>11</v>
      </c>
      <c r="L24" s="2">
        <f>COUNTIFS('OB History'!B:B,A24,'OB History'!D:D, 0)</f>
        <v>5</v>
      </c>
      <c r="M24" s="88">
        <f>LOOKUP(2, 1/('OB History'!$B:$B=A24), 'OB History'!$AD:$AD)</f>
        <v>0.6875</v>
      </c>
      <c r="N24" s="34">
        <f>SUMIFS('OB History'!F:F,'OB History'!B:B,A24)</f>
        <v>40</v>
      </c>
      <c r="O24" s="2">
        <f>SUMIFS('OB History'!E:E,'OB History'!B:B,A24)-N24</f>
        <v>30</v>
      </c>
      <c r="P24" s="88">
        <f>LOOKUP(2, 1/('OB History'!$B:$B=A24), 'OB History'!$AB:$AB)</f>
        <v>0.58124999999999993</v>
      </c>
      <c r="Q24" s="34">
        <f>SUMIFS('OB History'!H:H,'OB History'!B:B,'Old Bow v2'!A24)</f>
        <v>153</v>
      </c>
      <c r="R24" s="2">
        <f>SUMIFS('OB History'!G:G,'OB History'!B:B,'Old Bow v2'!A24)-Q24</f>
        <v>130</v>
      </c>
      <c r="S24" s="88">
        <f>LOOKUP(2, 1/('OB History'!$B:$B=A24), 'OB History'!$AC:$AC)</f>
        <v>0.54562499999999992</v>
      </c>
      <c r="T24" s="2">
        <f>COUNTIFS('OB History'!$B:$B,$A$24,'OB History'!K:K, 1)</f>
        <v>1</v>
      </c>
      <c r="U24" s="2">
        <f>COUNTIFS('OB History'!$B:$B,$A$24,'OB History'!L:L, 1)</f>
        <v>4</v>
      </c>
      <c r="V24" s="2">
        <f>COUNTIFS('OB History'!$B:$B,$A$24,'OB History'!M:M, 1)</f>
        <v>1</v>
      </c>
      <c r="W24" s="2">
        <f>COUNTIFS('OB History'!$B:$B,$A$24,'OB History'!N:N, 1)</f>
        <v>4</v>
      </c>
      <c r="X24" s="2">
        <f>COUNTIFS('OB History'!$B:$B,$A$24,'OB History'!O:O, 1)</f>
        <v>0</v>
      </c>
      <c r="Y24" s="2">
        <f>COUNTIFS('OB History'!$B:$B,$A$24,'OB History'!P:P, 1)</f>
        <v>3</v>
      </c>
      <c r="Z24" s="2">
        <f>COUNTIFS('OB History'!$B:$B,$A$24,'OB History'!Q:Q, 1)</f>
        <v>2</v>
      </c>
      <c r="AA24" s="2">
        <f>COUNTIFS('OB History'!$B:$B,$A$24,'OB History'!R:R, 1)</f>
        <v>3</v>
      </c>
      <c r="AB24" s="2">
        <f>COUNTIFS('OB History'!$B:$B,$A$24,'OB History'!S:S, 1)</f>
        <v>0</v>
      </c>
      <c r="AC24" s="2">
        <f>COUNTIFS('OB History'!$B:$B,$A$24,'OB History'!T:T, 1)</f>
        <v>0</v>
      </c>
      <c r="AD24" s="2">
        <f>COUNTIFS('OB History'!$B:$B,$A$24,'OB History'!U:U, 1)</f>
        <v>0</v>
      </c>
      <c r="AE24" s="2">
        <f>COUNTIFS('OB History'!$B:$B,$A$24,'OB History'!V:V, 1)</f>
        <v>2</v>
      </c>
      <c r="AF24" s="2">
        <f>COUNTIFS('OB History'!$B:$B,$A$24,'OB History'!W:W, 1)</f>
        <v>0</v>
      </c>
      <c r="AG24" s="2">
        <f>COUNTIFS('OB History'!$B:$B,$A$24,'OB History'!X:X, 1)</f>
        <v>10</v>
      </c>
      <c r="AH24" s="2">
        <f>COUNTIFS('OB History'!$B:$B,$A$24,'OB History'!Y:Y, 1)</f>
        <v>4</v>
      </c>
      <c r="AI24" s="2">
        <f>COUNTIFS('OB History'!$B:$B,$A$24,'OB History'!Z:Z, 1)</f>
        <v>6</v>
      </c>
    </row>
    <row r="25" spans="1:35" x14ac:dyDescent="0.25">
      <c r="A25" s="2" t="s">
        <v>28</v>
      </c>
      <c r="B25" s="6" t="s">
        <v>60</v>
      </c>
      <c r="C25" s="2" t="s">
        <v>79</v>
      </c>
      <c r="D25" s="3">
        <v>1</v>
      </c>
      <c r="E25" s="3"/>
      <c r="F25" s="3"/>
      <c r="G25" s="3"/>
      <c r="H25" s="34">
        <f>SUMIFS('OB History'!C:C,'OB History'!B:B,A25)</f>
        <v>355</v>
      </c>
      <c r="I25" s="4">
        <f>AVERAGEIFS('OB History'!C:C,'OB History'!B:B,A25)</f>
        <v>15.434782608695652</v>
      </c>
      <c r="J25" s="35">
        <f t="array" ref="J25">MAX(IF('OB History'!B:B=A25, 'OB History'!C:C))</f>
        <v>43</v>
      </c>
      <c r="K25" s="34">
        <f>COUNTIFS('OB History'!B:B,A25,'OB History'!D:D, 1)</f>
        <v>9</v>
      </c>
      <c r="L25" s="2">
        <f>COUNTIFS('OB History'!B:B,A25,'OB History'!D:D, 0)</f>
        <v>14</v>
      </c>
      <c r="M25" s="88">
        <f>LOOKUP(2, 1/('OB History'!$B:$B=A25), 'OB History'!$AD:$AD)</f>
        <v>0.39130434782608697</v>
      </c>
      <c r="N25" s="34">
        <f>SUMIFS('OB History'!F:F,'OB History'!B:B,A25)</f>
        <v>42</v>
      </c>
      <c r="O25" s="2">
        <f>SUMIFS('OB History'!E:E,'OB History'!B:B,A25)-N25</f>
        <v>56</v>
      </c>
      <c r="P25" s="88">
        <f>LOOKUP(2, 1/('OB History'!$B:$B=A25), 'OB History'!$AB:$AB)</f>
        <v>0.40217391304347827</v>
      </c>
      <c r="Q25" s="34">
        <f>SUMIFS('OB History'!H:H,'OB History'!B:B,'Old Bow v2'!A25)</f>
        <v>192</v>
      </c>
      <c r="R25" s="2">
        <f>SUMIFS('OB History'!G:G,'OB History'!B:B,'Old Bow v2'!A25)-Q25</f>
        <v>218</v>
      </c>
      <c r="S25" s="88">
        <f>LOOKUP(2, 1/('OB History'!$B:$B=A25), 'OB History'!$AC:$AC)</f>
        <v>0.45521739130434791</v>
      </c>
      <c r="T25" s="2">
        <f>COUNTIFS('OB History'!$B:$B,$A$25,'OB History'!K:K, 1)</f>
        <v>5</v>
      </c>
      <c r="U25" s="2">
        <f>COUNTIFS('OB History'!$B:$B,$A$25,'OB History'!L:L, 1)</f>
        <v>2</v>
      </c>
      <c r="V25" s="2">
        <f>COUNTIFS('OB History'!$B:$B,$A$25,'OB History'!M:M, 1)</f>
        <v>1</v>
      </c>
      <c r="W25" s="2">
        <f>COUNTIFS('OB History'!$B:$B,$A$25,'OB History'!N:N, 1)</f>
        <v>2</v>
      </c>
      <c r="X25" s="2">
        <f>COUNTIFS('OB History'!$B:$B,$A$25,'OB History'!O:O, 1)</f>
        <v>2</v>
      </c>
      <c r="Y25" s="2">
        <f>COUNTIFS('OB History'!$B:$B,$A$25,'OB History'!P:P, 1)</f>
        <v>4</v>
      </c>
      <c r="Z25" s="2">
        <f>COUNTIFS('OB History'!$B:$B,$A$25,'OB History'!Q:Q, 1)</f>
        <v>2</v>
      </c>
      <c r="AA25" s="2">
        <f>COUNTIFS('OB History'!$B:$B,$A$25,'OB History'!R:R, 1)</f>
        <v>1</v>
      </c>
      <c r="AB25" s="2">
        <f>COUNTIFS('OB History'!$B:$B,$A$25,'OB History'!S:S, 1)</f>
        <v>1</v>
      </c>
      <c r="AC25" s="2">
        <f>COUNTIFS('OB History'!$B:$B,$A$25,'OB History'!T:T, 1)</f>
        <v>0</v>
      </c>
      <c r="AD25" s="2">
        <f>COUNTIFS('OB History'!$B:$B,$A$25,'OB History'!U:U, 1)</f>
        <v>1</v>
      </c>
      <c r="AE25" s="2">
        <f>COUNTIFS('OB History'!$B:$B,$A$25,'OB History'!V:V, 1)</f>
        <v>1</v>
      </c>
      <c r="AF25" s="2">
        <f>COUNTIFS('OB History'!$B:$B,$A$25,'OB History'!W:W, 1)</f>
        <v>1</v>
      </c>
      <c r="AG25" s="2">
        <f>COUNTIFS('OB History'!$B:$B,$A$25,'OB History'!X:X, 1)</f>
        <v>8</v>
      </c>
      <c r="AH25" s="2">
        <f>COUNTIFS('OB History'!$B:$B,$A$25,'OB History'!Y:Y, 1)</f>
        <v>2</v>
      </c>
      <c r="AI25" s="2">
        <f>COUNTIFS('OB History'!$B:$B,$A$25,'OB History'!Z:Z, 1)</f>
        <v>9</v>
      </c>
    </row>
    <row r="26" spans="1:35" x14ac:dyDescent="0.25">
      <c r="A26" s="2" t="s">
        <v>53</v>
      </c>
      <c r="B26" s="6" t="s">
        <v>60</v>
      </c>
      <c r="C26" s="6" t="s">
        <v>79</v>
      </c>
      <c r="D26" s="3"/>
      <c r="E26" s="3"/>
      <c r="F26" s="3"/>
      <c r="G26" s="3"/>
      <c r="H26" s="34">
        <f>SUMIFS('OB History'!C:C,'OB History'!B:B,A26)</f>
        <v>43</v>
      </c>
      <c r="I26" s="4">
        <f>AVERAGEIFS('OB History'!C:C,'OB History'!B:B,A26)</f>
        <v>14.333333333333334</v>
      </c>
      <c r="J26" s="35">
        <f t="array" ref="J26">MAX(IF('OB History'!B:B=A26, 'OB History'!C:C))</f>
        <v>25</v>
      </c>
      <c r="K26" s="34">
        <f>COUNTIFS('OB History'!B:B,A26,'OB History'!D:D, 1)</f>
        <v>2</v>
      </c>
      <c r="L26" s="2">
        <f>COUNTIFS('OB History'!B:B,A26,'OB History'!D:D, 0)</f>
        <v>1</v>
      </c>
      <c r="M26" s="88">
        <f>LOOKUP(2, 1/('OB History'!$B:$B=A26), 'OB History'!$AD:$AD)</f>
        <v>0.66666666666666663</v>
      </c>
      <c r="N26" s="34">
        <f>SUMIFS('OB History'!F:F,'OB History'!B:B,A26)</f>
        <v>6</v>
      </c>
      <c r="O26" s="2">
        <f>SUMIFS('OB History'!E:E,'OB History'!B:B,A26)-N26</f>
        <v>7</v>
      </c>
      <c r="P26" s="88">
        <f>LOOKUP(2, 1/('OB History'!$B:$B=A26), 'OB History'!$AB:$AB)</f>
        <v>0.39999999999999997</v>
      </c>
      <c r="Q26" s="34">
        <f>SUMIFS('OB History'!H:H,'OB History'!B:B,'Old Bow v2'!A26)</f>
        <v>27</v>
      </c>
      <c r="R26" s="2">
        <f>SUMIFS('OB History'!G:G,'OB History'!B:B,'Old Bow v2'!A26)-Q26</f>
        <v>26</v>
      </c>
      <c r="S26" s="88">
        <f>LOOKUP(2, 1/('OB History'!$B:$B=A26), 'OB History'!$AC:$AC)</f>
        <v>0.48666666666666664</v>
      </c>
      <c r="T26" s="2">
        <f>COUNTIFS('OB History'!$B:$B,$A$26,'OB History'!K:K, 1)</f>
        <v>0</v>
      </c>
      <c r="U26" s="2">
        <f>COUNTIFS('OB History'!$B:$B,$A$26,'OB History'!L:L, 1)</f>
        <v>0</v>
      </c>
      <c r="V26" s="2">
        <f>COUNTIFS('OB History'!$B:$B,$A$26,'OB History'!M:M, 1)</f>
        <v>0</v>
      </c>
      <c r="W26" s="2">
        <f>COUNTIFS('OB History'!$B:$B,$A$26,'OB History'!N:N, 1)</f>
        <v>1</v>
      </c>
      <c r="X26" s="2">
        <f>COUNTIFS('OB History'!$B:$B,$A$26,'OB History'!O:O, 1)</f>
        <v>2</v>
      </c>
      <c r="Y26" s="2">
        <f>COUNTIFS('OB History'!$B:$B,$A$26,'OB History'!P:P, 1)</f>
        <v>1</v>
      </c>
      <c r="Z26" s="2">
        <f>COUNTIFS('OB History'!$B:$B,$A$26,'OB History'!Q:Q, 1)</f>
        <v>2</v>
      </c>
      <c r="AA26" s="2">
        <f>COUNTIFS('OB History'!$B:$B,$A$26,'OB History'!R:R, 1)</f>
        <v>0</v>
      </c>
      <c r="AB26" s="2">
        <f>COUNTIFS('OB History'!$B:$B,$A$26,'OB History'!S:S, 1)</f>
        <v>0</v>
      </c>
      <c r="AC26" s="2">
        <f>COUNTIFS('OB History'!$B:$B,$A$26,'OB History'!T:T, 1)</f>
        <v>0</v>
      </c>
      <c r="AD26" s="2">
        <f>COUNTIFS('OB History'!$B:$B,$A$26,'OB History'!U:U, 1)</f>
        <v>0</v>
      </c>
      <c r="AE26" s="2">
        <f>COUNTIFS('OB History'!$B:$B,$A$26,'OB History'!V:V, 1)</f>
        <v>0</v>
      </c>
      <c r="AF26" s="2">
        <f>COUNTIFS('OB History'!$B:$B,$A$26,'OB History'!W:W, 1)</f>
        <v>0</v>
      </c>
      <c r="AG26" s="2">
        <f>COUNTIFS('OB History'!$B:$B,$A$26,'OB History'!X:X, 1)</f>
        <v>0</v>
      </c>
      <c r="AH26" s="2">
        <f>COUNTIFS('OB History'!$B:$B,$A$26,'OB History'!Y:Y, 1)</f>
        <v>0</v>
      </c>
      <c r="AI26" s="2">
        <f>COUNTIFS('OB History'!$B:$B,$A$26,'OB History'!Z:Z, 1)</f>
        <v>0</v>
      </c>
    </row>
    <row r="27" spans="1:35" x14ac:dyDescent="0.25">
      <c r="A27" s="2" t="s">
        <v>51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180</v>
      </c>
      <c r="I27" s="4">
        <f>AVERAGEIFS('OB History'!C:C,'OB History'!B:B,A27)</f>
        <v>13.846153846153847</v>
      </c>
      <c r="J27" s="35">
        <f t="array" ref="J27">MAX(IF('OB History'!B:B=A27, 'OB History'!C:C))</f>
        <v>22</v>
      </c>
      <c r="K27" s="34">
        <f>COUNTIFS('OB History'!B:B,A27,'OB History'!D:D, 1)</f>
        <v>7</v>
      </c>
      <c r="L27" s="2">
        <f>COUNTIFS('OB History'!B:B,A27,'OB History'!D:D, 0)</f>
        <v>6</v>
      </c>
      <c r="M27" s="88">
        <f>LOOKUP(2, 1/('OB History'!$B:$B=A27), 'OB History'!$AD:$AD)</f>
        <v>0.53846153846153844</v>
      </c>
      <c r="N27" s="34">
        <f>SUMIFS('OB History'!F:F,'OB History'!B:B,A27)</f>
        <v>29</v>
      </c>
      <c r="O27" s="2">
        <f>SUMIFS('OB History'!E:E,'OB History'!B:B,A27)-N27</f>
        <v>26</v>
      </c>
      <c r="P27" s="88">
        <f>LOOKUP(2, 1/('OB History'!$B:$B=A27), 'OB History'!$AB:$AB)</f>
        <v>0.53846153846153855</v>
      </c>
      <c r="Q27" s="34">
        <f>SUMIFS('OB History'!H:H,'OB History'!B:B,'Old Bow v2'!A27)</f>
        <v>111</v>
      </c>
      <c r="R27" s="2">
        <f>SUMIFS('OB History'!G:G,'OB History'!B:B,'Old Bow v2'!A27)-Q27</f>
        <v>111</v>
      </c>
      <c r="S27" s="88">
        <f>LOOKUP(2, 1/('OB History'!$B:$B=A27), 'OB History'!$AC:$AC)</f>
        <v>0.50461538461538469</v>
      </c>
      <c r="T27" s="2">
        <f>COUNTIFS('OB History'!$B:$B,$A$27,'OB History'!K:K, 1)</f>
        <v>4</v>
      </c>
      <c r="U27" s="2">
        <f>COUNTIFS('OB History'!$B:$B,$A$27,'OB History'!L:L, 1)</f>
        <v>1</v>
      </c>
      <c r="V27" s="2">
        <f>COUNTIFS('OB History'!$B:$B,$A$27,'OB History'!M:M, 1)</f>
        <v>0</v>
      </c>
      <c r="W27" s="2">
        <f>COUNTIFS('OB History'!$B:$B,$A$27,'OB History'!N:N, 1)</f>
        <v>3</v>
      </c>
      <c r="X27" s="2">
        <f>COUNTIFS('OB History'!$B:$B,$A$27,'OB History'!O:O, 1)</f>
        <v>0</v>
      </c>
      <c r="Y27" s="2">
        <f>COUNTIFS('OB History'!$B:$B,$A$27,'OB History'!P:P, 1)</f>
        <v>3</v>
      </c>
      <c r="Z27" s="2">
        <f>COUNTIFS('OB History'!$B:$B,$A$27,'OB History'!Q:Q, 1)</f>
        <v>0</v>
      </c>
      <c r="AA27" s="2">
        <f>COUNTIFS('OB History'!$B:$B,$A$27,'OB History'!R:R, 1)</f>
        <v>1</v>
      </c>
      <c r="AB27" s="2">
        <f>COUNTIFS('OB History'!$B:$B,$A$27,'OB History'!S:S, 1)</f>
        <v>0</v>
      </c>
      <c r="AC27" s="2">
        <f>COUNTIFS('OB History'!$B:$B,$A$27,'OB History'!T:T, 1)</f>
        <v>0</v>
      </c>
      <c r="AD27" s="2">
        <f>COUNTIFS('OB History'!$B:$B,$A$27,'OB History'!U:U, 1)</f>
        <v>0</v>
      </c>
      <c r="AE27" s="2">
        <f>COUNTIFS('OB History'!$B:$B,$A$27,'OB History'!V:V, 1)</f>
        <v>2</v>
      </c>
      <c r="AF27" s="2">
        <f>COUNTIFS('OB History'!$B:$B,$A$27,'OB History'!W:W, 1)</f>
        <v>5</v>
      </c>
      <c r="AG27" s="2">
        <f>COUNTIFS('OB History'!$B:$B,$A$27,'OB History'!X:X, 1)</f>
        <v>4</v>
      </c>
      <c r="AH27" s="2">
        <f>COUNTIFS('OB History'!$B:$B,$A$27,'OB History'!Y:Y, 1)</f>
        <v>3</v>
      </c>
      <c r="AI27" s="2">
        <f>COUNTIFS('OB History'!$B:$B,$A$27,'OB History'!Z:Z, 1)</f>
        <v>3</v>
      </c>
    </row>
    <row r="28" spans="1:35" ht="15.75" x14ac:dyDescent="0.25">
      <c r="A28" s="2" t="s">
        <v>20</v>
      </c>
      <c r="B28" s="80" t="s">
        <v>60</v>
      </c>
      <c r="C28" s="2" t="s">
        <v>79</v>
      </c>
      <c r="D28" s="3"/>
      <c r="E28" s="3"/>
      <c r="F28" s="3"/>
      <c r="G28" s="3"/>
      <c r="H28" s="34">
        <f>SUMIFS('OB History'!C:C,'OB History'!B:B,A28)</f>
        <v>463</v>
      </c>
      <c r="I28" s="4">
        <f>AVERAGEIFS('OB History'!C:C,'OB History'!B:B,A28)</f>
        <v>14.46875</v>
      </c>
      <c r="J28" s="35">
        <f t="array" ref="J28">MAX(IF('OB History'!B:B=A28, 'OB History'!C:C))</f>
        <v>37</v>
      </c>
      <c r="K28" s="34">
        <f>COUNTIFS('OB History'!B:B,A28,'OB History'!D:D, 1)</f>
        <v>13</v>
      </c>
      <c r="L28" s="2">
        <f>COUNTIFS('OB History'!B:B,A28,'OB History'!D:D, 0)</f>
        <v>19</v>
      </c>
      <c r="M28" s="88">
        <f>LOOKUP(2, 1/('OB History'!$B:$B=A28), 'OB History'!$AD:$AD)</f>
        <v>0.40625</v>
      </c>
      <c r="N28" s="34">
        <f>SUMIFS('OB History'!F:F,'OB History'!B:B,A28)</f>
        <v>66</v>
      </c>
      <c r="O28" s="2">
        <f>SUMIFS('OB History'!E:E,'OB History'!B:B,A28)-N28</f>
        <v>70</v>
      </c>
      <c r="P28" s="88">
        <f>LOOKUP(2, 1/('OB History'!$B:$B=A28), 'OB History'!$AB:$AB)</f>
        <v>0.49062500000000003</v>
      </c>
      <c r="Q28" s="34">
        <f>SUMIFS('OB History'!H:H,'OB History'!B:B,'Old Bow v2'!A28)</f>
        <v>285</v>
      </c>
      <c r="R28" s="2">
        <f>SUMIFS('OB History'!G:G,'OB History'!B:B,'Old Bow v2'!A28)-Q28</f>
        <v>285</v>
      </c>
      <c r="S28" s="88">
        <f>LOOKUP(2, 1/('OB History'!$B:$B=A28), 'OB History'!$AC:$AC)</f>
        <v>0.50031250000000016</v>
      </c>
      <c r="T28" s="2">
        <f>COUNTIFS('OB History'!$B:$B,$A$28,'OB History'!K:K, 1)</f>
        <v>3</v>
      </c>
      <c r="U28" s="2">
        <f>COUNTIFS('OB History'!$B:$B,$A$28,'OB History'!L:L, 1)</f>
        <v>5</v>
      </c>
      <c r="V28" s="2">
        <f>COUNTIFS('OB History'!$B:$B,$A$28,'OB History'!M:M, 1)</f>
        <v>1</v>
      </c>
      <c r="W28" s="2">
        <f>COUNTIFS('OB History'!$B:$B,$A$28,'OB History'!N:N, 1)</f>
        <v>14</v>
      </c>
      <c r="X28" s="2">
        <f>COUNTIFS('OB History'!$B:$B,$A$28,'OB History'!O:O, 1)</f>
        <v>0</v>
      </c>
      <c r="Y28" s="2">
        <f>COUNTIFS('OB History'!$B:$B,$A$28,'OB History'!P:P, 1)</f>
        <v>7</v>
      </c>
      <c r="Z28" s="2">
        <f>COUNTIFS('OB History'!$B:$B,$A$28,'OB History'!Q:Q, 1)</f>
        <v>2</v>
      </c>
      <c r="AA28" s="2">
        <f>COUNTIFS('OB History'!$B:$B,$A$28,'OB History'!R:R, 1)</f>
        <v>3</v>
      </c>
      <c r="AB28" s="2">
        <f>COUNTIFS('OB History'!$B:$B,$A$28,'OB History'!S:S, 1)</f>
        <v>0</v>
      </c>
      <c r="AC28" s="2">
        <f>COUNTIFS('OB History'!$B:$B,$A$28,'OB History'!T:T, 1)</f>
        <v>1</v>
      </c>
      <c r="AD28" s="2">
        <f>COUNTIFS('OB History'!$B:$B,$A$28,'OB History'!U:U, 1)</f>
        <v>0</v>
      </c>
      <c r="AE28" s="2">
        <f>COUNTIFS('OB History'!$B:$B,$A$28,'OB History'!V:V, 1)</f>
        <v>2</v>
      </c>
      <c r="AF28" s="2">
        <f>COUNTIFS('OB History'!$B:$B,$A$28,'OB History'!W:W, 1)</f>
        <v>8</v>
      </c>
      <c r="AG28" s="2">
        <f>COUNTIFS('OB History'!$B:$B,$A$28,'OB History'!X:X, 1)</f>
        <v>8</v>
      </c>
      <c r="AH28" s="2">
        <f>COUNTIFS('OB History'!$B:$B,$A$28,'OB History'!Y:Y, 1)</f>
        <v>5</v>
      </c>
      <c r="AI28" s="2">
        <f>COUNTIFS('OB History'!$B:$B,$A$28,'OB History'!Z:Z, 1)</f>
        <v>7</v>
      </c>
    </row>
    <row r="29" spans="1:35" x14ac:dyDescent="0.25">
      <c r="A29" s="1" t="s">
        <v>47</v>
      </c>
      <c r="B29" s="2" t="s">
        <v>79</v>
      </c>
      <c r="C29" s="2" t="s">
        <v>79</v>
      </c>
      <c r="D29" s="3"/>
      <c r="E29" s="3"/>
      <c r="F29" s="3"/>
      <c r="G29" s="3"/>
      <c r="H29" s="34">
        <f>SUMIFS('OB History'!C:C,'OB History'!B:B,A29)</f>
        <v>78</v>
      </c>
      <c r="I29" s="4">
        <f>AVERAGEIFS('OB History'!C:C,'OB History'!B:B,A29)</f>
        <v>7.8</v>
      </c>
      <c r="J29" s="35">
        <f t="array" ref="J29">MAX(IF('OB History'!B:B=A29, 'OB History'!C:C))</f>
        <v>14</v>
      </c>
      <c r="K29" s="34">
        <f>COUNTIFS('OB History'!B:B,A29,'OB History'!D:D, 1)</f>
        <v>5</v>
      </c>
      <c r="L29" s="2">
        <f>COUNTIFS('OB History'!B:B,A29,'OB History'!D:D, 0)</f>
        <v>5</v>
      </c>
      <c r="M29" s="88">
        <f>LOOKUP(2, 1/('OB History'!$B:$B=A29), 'OB History'!$AD:$AD)</f>
        <v>0.5</v>
      </c>
      <c r="N29" s="34">
        <f>SUMIFS('OB History'!F:F,'OB History'!B:B,A29)</f>
        <v>22</v>
      </c>
      <c r="O29" s="2">
        <f>SUMIFS('OB History'!E:E,'OB History'!B:B,A29)-N29</f>
        <v>22</v>
      </c>
      <c r="P29" s="88">
        <f>LOOKUP(2, 1/('OB History'!$B:$B=A29), 'OB History'!$AB:$AB)</f>
        <v>0.5</v>
      </c>
      <c r="Q29" s="34">
        <f>SUMIFS('OB History'!H:H,'OB History'!B:B,'Old Bow v2'!A29)</f>
        <v>93</v>
      </c>
      <c r="R29" s="2">
        <f>SUMIFS('OB History'!G:G,'OB History'!B:B,'Old Bow v2'!A29)-Q29</f>
        <v>94</v>
      </c>
      <c r="S29" s="88">
        <f>LOOKUP(2, 1/('OB History'!$B:$B=A29), 'OB History'!$AC:$AC)</f>
        <v>0.49299999999999999</v>
      </c>
      <c r="T29" s="2">
        <f>COUNTIFS('OB History'!$B:$B,$A$29,'OB History'!K:K, 1)</f>
        <v>1</v>
      </c>
      <c r="U29" s="2">
        <f>COUNTIFS('OB History'!$B:$B,$A$29,'OB History'!L:L, 1)</f>
        <v>1</v>
      </c>
      <c r="V29" s="2">
        <f>COUNTIFS('OB History'!$B:$B,$A$29,'OB History'!M:M, 1)</f>
        <v>1</v>
      </c>
      <c r="W29" s="2">
        <f>COUNTIFS('OB History'!$B:$B,$A$29,'OB History'!N:N, 1)</f>
        <v>4</v>
      </c>
      <c r="X29" s="2">
        <f>COUNTIFS('OB History'!$B:$B,$A$29,'OB History'!O:O, 1)</f>
        <v>1</v>
      </c>
      <c r="Y29" s="2">
        <f>COUNTIFS('OB History'!$B:$B,$A$29,'OB History'!P:P, 1)</f>
        <v>2</v>
      </c>
      <c r="Z29" s="2">
        <f>COUNTIFS('OB History'!$B:$B,$A$29,'OB History'!Q:Q, 1)</f>
        <v>0</v>
      </c>
      <c r="AA29" s="2">
        <f>COUNTIFS('OB History'!$B:$B,$A$29,'OB History'!R:R, 1)</f>
        <v>0</v>
      </c>
      <c r="AB29" s="2">
        <f>COUNTIFS('OB History'!$B:$B,$A$29,'OB History'!S:S, 1)</f>
        <v>0</v>
      </c>
      <c r="AC29" s="2">
        <f>COUNTIFS('OB History'!$B:$B,$A$29,'OB History'!T:T, 1)</f>
        <v>0</v>
      </c>
      <c r="AD29" s="2">
        <f>COUNTIFS('OB History'!$B:$B,$A$29,'OB History'!U:U, 1)</f>
        <v>0</v>
      </c>
      <c r="AE29" s="2">
        <f>COUNTIFS('OB History'!$B:$B,$A$29,'OB History'!V:V, 1)</f>
        <v>1</v>
      </c>
      <c r="AF29" s="2">
        <f>COUNTIFS('OB History'!$B:$B,$A$29,'OB History'!W:W, 1)</f>
        <v>4</v>
      </c>
      <c r="AG29" s="2">
        <f>COUNTIFS('OB History'!$B:$B,$A$29,'OB History'!X:X, 1)</f>
        <v>2</v>
      </c>
      <c r="AH29" s="2">
        <f>COUNTIFS('OB History'!$B:$B,$A$29,'OB History'!Y:Y, 1)</f>
        <v>0</v>
      </c>
      <c r="AI29" s="2">
        <f>COUNTIFS('OB History'!$B:$B,$A$29,'OB History'!Z:Z, 1)</f>
        <v>5</v>
      </c>
    </row>
    <row r="30" spans="1:35" x14ac:dyDescent="0.25">
      <c r="A30" s="2" t="s">
        <v>3</v>
      </c>
      <c r="B30" s="6" t="s">
        <v>60</v>
      </c>
      <c r="C30" s="1" t="s">
        <v>159</v>
      </c>
      <c r="D30" s="3"/>
      <c r="E30" s="3"/>
      <c r="F30" s="3"/>
      <c r="G30" s="3"/>
      <c r="H30" s="34">
        <f>SUMIFS('OB History'!C:C,'OB History'!B:B,A30)</f>
        <v>230</v>
      </c>
      <c r="I30" s="4">
        <f>AVERAGEIFS('OB History'!C:C,'OB History'!B:B,A30)</f>
        <v>23</v>
      </c>
      <c r="J30" s="35">
        <f t="array" ref="J30">MAX(IF('OB History'!B:B=A30, 'OB History'!C:C))</f>
        <v>44</v>
      </c>
      <c r="K30" s="34">
        <f>COUNTIFS('OB History'!B:B,A30,'OB History'!D:D, 1)</f>
        <v>6</v>
      </c>
      <c r="L30" s="2">
        <f>COUNTIFS('OB History'!B:B,A30,'OB History'!D:D, 0)</f>
        <v>4</v>
      </c>
      <c r="M30" s="88">
        <f>LOOKUP(2, 1/('OB History'!$B:$B=A30), 'OB History'!$AD:$AD)</f>
        <v>0.6</v>
      </c>
      <c r="N30" s="34">
        <f>SUMIFS('OB History'!F:F,'OB History'!B:B,A30)</f>
        <v>22</v>
      </c>
      <c r="O30" s="2">
        <f>SUMIFS('OB History'!E:E,'OB History'!B:B,A30)-N30</f>
        <v>21</v>
      </c>
      <c r="P30" s="88">
        <f>LOOKUP(2, 1/('OB History'!$B:$B=A30), 'OB History'!$AB:$AB)</f>
        <v>0.495</v>
      </c>
      <c r="Q30" s="34">
        <f>SUMIFS('OB History'!H:H,'OB History'!B:B,'Old Bow v2'!A30)</f>
        <v>87</v>
      </c>
      <c r="R30" s="2">
        <f>SUMIFS('OB History'!G:G,'OB History'!B:B,'Old Bow v2'!A30)-Q30</f>
        <v>88</v>
      </c>
      <c r="S30" s="88">
        <f>LOOKUP(2, 1/('OB History'!$B:$B=A30), 'OB History'!$AC:$AC)</f>
        <v>0.48999999999999994</v>
      </c>
      <c r="T30" s="2">
        <f>COUNTIFS('OB History'!$B:$B,$A$30,'OB History'!K:K, 1)</f>
        <v>2</v>
      </c>
      <c r="U30" s="2">
        <f>COUNTIFS('OB History'!$B:$B,$A$30,'OB History'!L:L, 1)</f>
        <v>3</v>
      </c>
      <c r="V30" s="2">
        <f>COUNTIFS('OB History'!$B:$B,$A$30,'OB History'!M:M, 1)</f>
        <v>1</v>
      </c>
      <c r="W30" s="2">
        <f>COUNTIFS('OB History'!$B:$B,$A$30,'OB History'!N:N, 1)</f>
        <v>1</v>
      </c>
      <c r="X30" s="2">
        <f>COUNTIFS('OB History'!$B:$B,$A$30,'OB History'!O:O, 1)</f>
        <v>2</v>
      </c>
      <c r="Y30" s="2">
        <f>COUNTIFS('OB History'!$B:$B,$A$30,'OB History'!P:P, 1)</f>
        <v>2</v>
      </c>
      <c r="Z30" s="2">
        <f>COUNTIFS('OB History'!$B:$B,$A$30,'OB History'!Q:Q, 1)</f>
        <v>3</v>
      </c>
      <c r="AA30" s="2">
        <f>COUNTIFS('OB History'!$B:$B,$A$30,'OB History'!R:R, 1)</f>
        <v>0</v>
      </c>
      <c r="AB30" s="2">
        <f>COUNTIFS('OB History'!$B:$B,$A$30,'OB History'!S:S, 1)</f>
        <v>0</v>
      </c>
      <c r="AC30" s="2">
        <f>COUNTIFS('OB History'!$B:$B,$A$30,'OB History'!T:T, 1)</f>
        <v>0</v>
      </c>
      <c r="AD30" s="2">
        <f>COUNTIFS('OB History'!$B:$B,$A$30,'OB History'!U:U, 1)</f>
        <v>0</v>
      </c>
      <c r="AE30" s="2">
        <f>COUNTIFS('OB History'!$B:$B,$A$30,'OB History'!V:V, 1)</f>
        <v>1</v>
      </c>
      <c r="AF30" s="2">
        <f>COUNTIFS('OB History'!$B:$B,$A$30,'OB History'!W:W, 1)</f>
        <v>1</v>
      </c>
      <c r="AG30" s="2">
        <f>COUNTIFS('OB History'!$B:$B,$A$30,'OB History'!X:X, 1)</f>
        <v>3</v>
      </c>
      <c r="AH30" s="2">
        <f>COUNTIFS('OB History'!$B:$B,$A$30,'OB History'!Y:Y, 1)</f>
        <v>2</v>
      </c>
      <c r="AI30" s="2">
        <f>COUNTIFS('OB History'!$B:$B,$A$30,'OB History'!Z:Z, 1)</f>
        <v>1</v>
      </c>
    </row>
    <row r="31" spans="1:35" x14ac:dyDescent="0.25">
      <c r="A31" s="2" t="s">
        <v>148</v>
      </c>
      <c r="B31" s="6" t="s">
        <v>79</v>
      </c>
      <c r="C31" s="6" t="s">
        <v>79</v>
      </c>
      <c r="D31" s="3">
        <v>3</v>
      </c>
      <c r="E31" s="3">
        <v>1</v>
      </c>
      <c r="F31" s="3"/>
      <c r="G31" s="3"/>
      <c r="H31" s="34">
        <f>SUMIFS('OB History'!C:C,'OB History'!B:B,A31)</f>
        <v>346</v>
      </c>
      <c r="I31" s="4">
        <f>AVERAGEIFS('OB History'!C:C,'OB History'!B:B,A31)</f>
        <v>13.307692307692308</v>
      </c>
      <c r="J31" s="35">
        <f t="array" ref="J31">MAX(IF('OB History'!B:B=A31, 'OB History'!C:C))</f>
        <v>23</v>
      </c>
      <c r="K31" s="34">
        <f>COUNTIFS('OB History'!B:B,A31,'OB History'!D:D, 1)</f>
        <v>16</v>
      </c>
      <c r="L31" s="2">
        <f>COUNTIFS('OB History'!B:B,A31,'OB History'!D:D, 0)</f>
        <v>10</v>
      </c>
      <c r="M31" s="88">
        <f>LOOKUP(2, 1/('OB History'!$B:$B=A31), 'OB History'!$AD:$AD)</f>
        <v>0.61538461538461542</v>
      </c>
      <c r="N31" s="34">
        <f>SUMIFS('OB History'!F:F,'OB History'!B:B,A31)</f>
        <v>60</v>
      </c>
      <c r="O31" s="2">
        <f>SUMIFS('OB History'!E:E,'OB History'!B:B,A31)-N31</f>
        <v>47</v>
      </c>
      <c r="P31" s="88">
        <f>LOOKUP(2, 1/('OB History'!$B:$B=A31), 'OB History'!$AB:$AB)</f>
        <v>0.58269230769230762</v>
      </c>
      <c r="Q31" s="34">
        <f>SUMIFS('OB History'!H:H,'OB History'!B:B,'Old Bow v2'!A31)</f>
        <v>229</v>
      </c>
      <c r="R31" s="2">
        <f>SUMIFS('OB History'!G:G,'OB History'!B:B,'Old Bow v2'!A31)-Q31</f>
        <v>206</v>
      </c>
      <c r="S31" s="88">
        <f>LOOKUP(2, 1/('OB History'!$B:$B=A31), 'OB History'!$AC:$AC)</f>
        <v>0.53461538461538471</v>
      </c>
      <c r="T31" s="2">
        <f>COUNTIFS('OB History'!$B:$B,$A$31,'OB History'!K:K, 1)</f>
        <v>2</v>
      </c>
      <c r="U31" s="2">
        <f>COUNTIFS('OB History'!$B:$B,$A$31,'OB History'!L:L, 1)</f>
        <v>5</v>
      </c>
      <c r="V31" s="2">
        <f>COUNTIFS('OB History'!$B:$B,$A$31,'OB History'!M:M, 1)</f>
        <v>2</v>
      </c>
      <c r="W31" s="2">
        <f>COUNTIFS('OB History'!$B:$B,$A$31,'OB History'!N:N, 1)</f>
        <v>6</v>
      </c>
      <c r="X31" s="2">
        <f>COUNTIFS('OB History'!$B:$B,$A$31,'OB History'!O:O, 1)</f>
        <v>0</v>
      </c>
      <c r="Y31" s="2">
        <f>COUNTIFS('OB History'!$B:$B,$A$31,'OB History'!P:P, 1)</f>
        <v>4</v>
      </c>
      <c r="Z31" s="2">
        <f>COUNTIFS('OB History'!$B:$B,$A$31,'OB History'!Q:Q, 1)</f>
        <v>1</v>
      </c>
      <c r="AA31" s="2">
        <f>COUNTIFS('OB History'!$B:$B,$A$31,'OB History'!R:R, 1)</f>
        <v>2</v>
      </c>
      <c r="AB31" s="2">
        <f>COUNTIFS('OB History'!$B:$B,$A$31,'OB History'!S:S, 1)</f>
        <v>2</v>
      </c>
      <c r="AC31" s="2">
        <f>COUNTIFS('OB History'!$B:$B,$A$31,'OB History'!T:T, 1)</f>
        <v>1</v>
      </c>
      <c r="AD31" s="2">
        <f>COUNTIFS('OB History'!$B:$B,$A$31,'OB History'!U:U, 1)</f>
        <v>1</v>
      </c>
      <c r="AE31" s="2">
        <f>COUNTIFS('OB History'!$B:$B,$A$31,'OB History'!V:V, 1)</f>
        <v>1</v>
      </c>
      <c r="AF31" s="2">
        <f>COUNTIFS('OB History'!$B:$B,$A$31,'OB History'!W:W, 1)</f>
        <v>3</v>
      </c>
      <c r="AG31" s="2">
        <f>COUNTIFS('OB History'!$B:$B,$A$31,'OB History'!X:X, 1)</f>
        <v>13</v>
      </c>
      <c r="AH31" s="2">
        <f>COUNTIFS('OB History'!$B:$B,$A$31,'OB History'!Y:Y, 1)</f>
        <v>8</v>
      </c>
      <c r="AI31" s="2">
        <f>COUNTIFS('OB History'!$B:$B,$A$31,'OB History'!Z:Z, 1)</f>
        <v>9</v>
      </c>
    </row>
    <row r="32" spans="1:35" x14ac:dyDescent="0.25">
      <c r="A32" s="2" t="s">
        <v>15</v>
      </c>
      <c r="B32" s="2" t="s">
        <v>79</v>
      </c>
      <c r="C32" s="2" t="s">
        <v>79</v>
      </c>
      <c r="D32" s="3">
        <v>1</v>
      </c>
      <c r="E32" s="3"/>
      <c r="F32" s="3"/>
      <c r="G32" s="3"/>
      <c r="H32" s="34">
        <f>SUMIFS('OB History'!C:C,'OB History'!B:B,A32)</f>
        <v>882</v>
      </c>
      <c r="I32" s="4">
        <f>AVERAGEIFS('OB History'!C:C,'OB History'!B:B,A32)</f>
        <v>24.5</v>
      </c>
      <c r="J32" s="35">
        <f t="array" ref="J32">MAX(IF('OB History'!B:B=A32, 'OB History'!C:C))</f>
        <v>55</v>
      </c>
      <c r="K32" s="34">
        <f>COUNTIFS('OB History'!B:B,A32,'OB History'!D:D, 1)</f>
        <v>14</v>
      </c>
      <c r="L32" s="2">
        <f>COUNTIFS('OB History'!B:B,A32,'OB History'!D:D, 0)</f>
        <v>22</v>
      </c>
      <c r="M32" s="88">
        <f>LOOKUP(2, 1/('OB History'!$B:$B=A32), 'OB History'!$AD:$AD)</f>
        <v>0.3888888888888889</v>
      </c>
      <c r="N32" s="34">
        <f>SUMIFS('OB History'!F:F,'OB History'!B:B,A32)</f>
        <v>70</v>
      </c>
      <c r="O32" s="2">
        <f>SUMIFS('OB History'!E:E,'OB History'!B:B,A32)-N32</f>
        <v>80</v>
      </c>
      <c r="P32" s="88">
        <f>LOOKUP(2, 1/('OB History'!$B:$B=A32), 'OB History'!$AB:$AB)</f>
        <v>0.47500000000000003</v>
      </c>
      <c r="Q32" s="34">
        <f>SUMIFS('OB History'!H:H,'OB History'!B:B,'Old Bow v2'!A32)</f>
        <v>307</v>
      </c>
      <c r="R32" s="2">
        <f>SUMIFS('OB History'!G:G,'OB History'!B:B,'Old Bow v2'!A32)-Q32</f>
        <v>319</v>
      </c>
      <c r="S32" s="88">
        <f>LOOKUP(2, 1/('OB History'!$B:$B=A32), 'OB History'!$AC:$AC)</f>
        <v>0.49555555555555553</v>
      </c>
      <c r="T32" s="2">
        <f>COUNTIFS('OB History'!$B:$B,$A$32,'OB History'!K:K, 1)</f>
        <v>4</v>
      </c>
      <c r="U32" s="2">
        <f>COUNTIFS('OB History'!$B:$B,$A$32,'OB History'!L:L, 1)</f>
        <v>3</v>
      </c>
      <c r="V32" s="2">
        <f>COUNTIFS('OB History'!$B:$B,$A$32,'OB History'!M:M, 1)</f>
        <v>0</v>
      </c>
      <c r="W32" s="2">
        <f>COUNTIFS('OB History'!$B:$B,$A$32,'OB History'!N:N, 1)</f>
        <v>9</v>
      </c>
      <c r="X32" s="2">
        <f>COUNTIFS('OB History'!$B:$B,$A$32,'OB History'!O:O, 1)</f>
        <v>0</v>
      </c>
      <c r="Y32" s="2">
        <f>COUNTIFS('OB History'!$B:$B,$A$32,'OB History'!P:P, 1)</f>
        <v>7</v>
      </c>
      <c r="Z32" s="2">
        <f>COUNTIFS('OB History'!$B:$B,$A$32,'OB History'!Q:Q, 1)</f>
        <v>4</v>
      </c>
      <c r="AA32" s="2">
        <f>COUNTIFS('OB History'!$B:$B,$A$32,'OB History'!R:R, 1)</f>
        <v>1</v>
      </c>
      <c r="AB32" s="2">
        <f>COUNTIFS('OB History'!$B:$B,$A$32,'OB History'!S:S, 1)</f>
        <v>1</v>
      </c>
      <c r="AC32" s="2">
        <f>COUNTIFS('OB History'!$B:$B,$A$32,'OB History'!T:T, 1)</f>
        <v>0</v>
      </c>
      <c r="AD32" s="2">
        <f>COUNTIFS('OB History'!$B:$B,$A$32,'OB History'!U:U, 1)</f>
        <v>1</v>
      </c>
      <c r="AE32" s="2">
        <f>COUNTIFS('OB History'!$B:$B,$A$32,'OB History'!V:V, 1)</f>
        <v>1</v>
      </c>
      <c r="AF32" s="2">
        <f>COUNTIFS('OB History'!$B:$B,$A$32,'OB History'!W:W, 1)</f>
        <v>6</v>
      </c>
      <c r="AG32" s="2">
        <f>COUNTIFS('OB History'!$B:$B,$A$32,'OB History'!X:X, 1)</f>
        <v>17</v>
      </c>
      <c r="AH32" s="2">
        <f>COUNTIFS('OB History'!$B:$B,$A$32,'OB History'!Y:Y, 1)</f>
        <v>7</v>
      </c>
      <c r="AI32" s="2">
        <f>COUNTIFS('OB History'!$B:$B,$A$32,'OB History'!Z:Z, 1)</f>
        <v>9</v>
      </c>
    </row>
    <row r="33" spans="1:35" x14ac:dyDescent="0.25">
      <c r="A33" s="2" t="s">
        <v>161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15</v>
      </c>
      <c r="I33" s="4">
        <f>AVERAGEIFS('OB History'!C:C,'OB History'!B:B,A33)</f>
        <v>15</v>
      </c>
      <c r="J33" s="35">
        <f t="array" ref="J33">MAX(IF('OB History'!B:B=A33, 'OB History'!C:C))</f>
        <v>15</v>
      </c>
      <c r="K33" s="34">
        <f>COUNTIFS('OB History'!B:B,A33,'OB History'!D:D, 1)</f>
        <v>0</v>
      </c>
      <c r="L33" s="2">
        <f>COUNTIFS('OB History'!B:B,A33,'OB History'!D:D, 0)</f>
        <v>1</v>
      </c>
      <c r="M33" s="88">
        <f>LOOKUP(2, 1/('OB History'!$B:$B=A33), 'OB History'!$AD:$AD)</f>
        <v>0</v>
      </c>
      <c r="N33" s="34">
        <f>SUMIFS('OB History'!F:F,'OB History'!B:B,A33)</f>
        <v>1</v>
      </c>
      <c r="O33" s="2">
        <f>SUMIFS('OB History'!E:E,'OB History'!B:B,A33)-N33</f>
        <v>3</v>
      </c>
      <c r="P33" s="88">
        <f>LOOKUP(2, 1/('OB History'!$B:$B=A33), 'OB History'!$AB:$AB)</f>
        <v>0.25</v>
      </c>
      <c r="Q33" s="34">
        <f>SUMIFS('OB History'!H:H,'OB History'!B:B,'Old Bow v2'!A33)</f>
        <v>8</v>
      </c>
      <c r="R33" s="2">
        <f>SUMIFS('OB History'!G:G,'OB History'!B:B,'Old Bow v2'!A33)-Q33</f>
        <v>11</v>
      </c>
      <c r="S33" s="88">
        <f>LOOKUP(2, 1/('OB History'!$B:$B=A33), 'OB History'!$AC:$AC)</f>
        <v>0.42</v>
      </c>
      <c r="T33" s="2">
        <f>COUNTIFS('OB History'!$B:$B,$A$33,'OB History'!K:K, 1)</f>
        <v>0</v>
      </c>
      <c r="U33" s="2">
        <f>COUNTIFS('OB History'!$B:$B,$A$33,'OB History'!L:L, 1)</f>
        <v>0</v>
      </c>
      <c r="V33" s="2">
        <f>COUNTIFS('OB History'!$B:$B,$A$33,'OB History'!M:M, 1)</f>
        <v>0</v>
      </c>
      <c r="W33" s="2">
        <f>COUNTIFS('OB History'!$B:$B,$A$33,'OB History'!N:N, 1)</f>
        <v>0</v>
      </c>
      <c r="X33" s="2">
        <f>COUNTIFS('OB History'!$B:$B,$A$33,'OB History'!O:O, 1)</f>
        <v>0</v>
      </c>
      <c r="Y33" s="2">
        <f>COUNTIFS('OB History'!$B:$B,$A$33,'OB History'!P:P, 1)</f>
        <v>0</v>
      </c>
      <c r="Z33" s="2">
        <f>COUNTIFS('OB History'!$B:$B,$A$33,'OB History'!Q:Q, 1)</f>
        <v>0</v>
      </c>
      <c r="AA33" s="2">
        <f>COUNTIFS('OB History'!$B:$B,$A$33,'OB History'!R:R, 1)</f>
        <v>0</v>
      </c>
      <c r="AB33" s="2">
        <f>COUNTIFS('OB History'!$B:$B,$A$33,'OB History'!S:S, 1)</f>
        <v>0</v>
      </c>
      <c r="AC33" s="2">
        <f>COUNTIFS('OB History'!$B:$B,$A$33,'OB History'!T:T, 1)</f>
        <v>0</v>
      </c>
      <c r="AD33" s="2">
        <f>COUNTIFS('OB History'!$B:$B,$A$33,'OB History'!U:U, 1)</f>
        <v>0</v>
      </c>
      <c r="AE33" s="2">
        <f>COUNTIFS('OB History'!$B:$B,$A$33,'OB History'!V:V, 1)</f>
        <v>0</v>
      </c>
      <c r="AF33" s="2">
        <f>COUNTIFS('OB History'!$B:$B,$A$33,'OB History'!W:W, 1)</f>
        <v>1</v>
      </c>
      <c r="AG33" s="2">
        <f>COUNTIFS('OB History'!$B:$B,$A$33,'OB History'!X:X, 1)</f>
        <v>0</v>
      </c>
      <c r="AH33" s="2">
        <f>COUNTIFS('OB History'!$B:$B,$A$33,'OB History'!Y:Y, 1)</f>
        <v>0</v>
      </c>
      <c r="AI33" s="2">
        <f>COUNTIFS('OB History'!$B:$B,$A$33,'OB History'!Z:Z, 1)</f>
        <v>0</v>
      </c>
    </row>
    <row r="34" spans="1:35" x14ac:dyDescent="0.25">
      <c r="A34" s="1" t="s">
        <v>43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4</v>
      </c>
      <c r="I34" s="4">
        <f>AVERAGEIFS('OB History'!C:C,'OB History'!B:B,A34)</f>
        <v>4</v>
      </c>
      <c r="J34" s="35">
        <f t="array" ref="J34">MAX(IF('OB History'!B:B=A34, 'OB History'!C:C))</f>
        <v>4</v>
      </c>
      <c r="K34" s="34">
        <f>COUNTIFS('OB History'!B:B,A34,'OB History'!D:D, 1)</f>
        <v>1</v>
      </c>
      <c r="L34" s="2">
        <f>COUNTIFS('OB History'!B:B,A34,'OB History'!D:D, 0)</f>
        <v>0</v>
      </c>
      <c r="M34" s="88">
        <f>LOOKUP(2, 1/('OB History'!$B:$B=A34), 'OB History'!$AD:$AD)</f>
        <v>1</v>
      </c>
      <c r="N34" s="34">
        <f>SUMIFS('OB History'!F:F,'OB History'!B:B,A34)</f>
        <v>3</v>
      </c>
      <c r="O34" s="2">
        <f>SUMIFS('OB History'!E:E,'OB History'!B:B,A34)-N34</f>
        <v>0</v>
      </c>
      <c r="P34" s="88">
        <f>LOOKUP(2, 1/('OB History'!$B:$B=A34), 'OB History'!$AB:$AB)</f>
        <v>1</v>
      </c>
      <c r="Q34" s="34">
        <f>SUMIFS('OB History'!H:H,'OB History'!B:B,'Old Bow v2'!A34)</f>
        <v>9</v>
      </c>
      <c r="R34" s="2">
        <f>SUMIFS('OB History'!G:G,'OB History'!B:B,'Old Bow v2'!A34)-Q34</f>
        <v>4</v>
      </c>
      <c r="S34" s="88">
        <f>LOOKUP(2, 1/('OB History'!$B:$B=A34), 'OB History'!$AC:$AC)</f>
        <v>0.69</v>
      </c>
      <c r="T34" s="2">
        <f>COUNTIFS('OB History'!$B:$B,$A$34,'OB History'!K:K, 1)</f>
        <v>0</v>
      </c>
      <c r="U34" s="2">
        <f>COUNTIFS('OB History'!$B:$B,$A$34,'OB History'!L:L, 1)</f>
        <v>0</v>
      </c>
      <c r="V34" s="2">
        <f>COUNTIFS('OB History'!$B:$B,$A$34,'OB History'!M:M, 1)</f>
        <v>0</v>
      </c>
      <c r="W34" s="2">
        <f>COUNTIFS('OB History'!$B:$B,$A$34,'OB History'!N:N, 1)</f>
        <v>0</v>
      </c>
      <c r="X34" s="2">
        <f>COUNTIFS('OB History'!$B:$B,$A$34,'OB History'!O:O, 1)</f>
        <v>0</v>
      </c>
      <c r="Y34" s="2">
        <f>COUNTIFS('OB History'!$B:$B,$A$34,'OB History'!P:P, 1)</f>
        <v>1</v>
      </c>
      <c r="Z34" s="2">
        <f>COUNTIFS('OB History'!$B:$B,$A$34,'OB History'!Q:Q, 1)</f>
        <v>0</v>
      </c>
      <c r="AA34" s="2">
        <f>COUNTIFS('OB History'!$B:$B,$A$34,'OB History'!R:R, 1)</f>
        <v>0</v>
      </c>
      <c r="AB34" s="2">
        <f>COUNTIFS('OB History'!$B:$B,$A$34,'OB History'!S:S, 1)</f>
        <v>0</v>
      </c>
      <c r="AC34" s="2">
        <f>COUNTIFS('OB History'!$B:$B,$A$34,'OB History'!T:T, 1)</f>
        <v>0</v>
      </c>
      <c r="AD34" s="2">
        <f>COUNTIFS('OB History'!$B:$B,$A$34,'OB History'!U:U, 1)</f>
        <v>0</v>
      </c>
      <c r="AE34" s="2">
        <f>COUNTIFS('OB History'!$B:$B,$A$34,'OB History'!V:V, 1)</f>
        <v>0</v>
      </c>
      <c r="AF34" s="2">
        <f>COUNTIFS('OB History'!$B:$B,$A$34,'OB History'!W:W, 1)</f>
        <v>0</v>
      </c>
      <c r="AG34" s="2">
        <f>COUNTIFS('OB History'!$B:$B,$A$34,'OB History'!X:X, 1)</f>
        <v>1</v>
      </c>
      <c r="AH34" s="2">
        <f>COUNTIFS('OB History'!$B:$B,$A$34,'OB History'!Y:Y, 1)</f>
        <v>0</v>
      </c>
      <c r="AI34" s="2">
        <f>COUNTIFS('OB History'!$B:$B,$A$34,'OB History'!Z:Z, 1)</f>
        <v>1</v>
      </c>
    </row>
    <row r="35" spans="1:35" x14ac:dyDescent="0.25">
      <c r="A35" s="2" t="s">
        <v>13</v>
      </c>
      <c r="B35" s="6" t="s">
        <v>124</v>
      </c>
      <c r="C35" s="1" t="s">
        <v>159</v>
      </c>
      <c r="D35" s="3">
        <v>5</v>
      </c>
      <c r="E35" s="3">
        <v>1</v>
      </c>
      <c r="F35" s="3">
        <v>1</v>
      </c>
      <c r="G35" s="3"/>
      <c r="H35" s="34">
        <f>SUMIFS('OB History'!C:C,'OB History'!B:B,A35)</f>
        <v>1506</v>
      </c>
      <c r="I35" s="4">
        <f>AVERAGEIFS('OB History'!C:C,'OB History'!B:B,A35)</f>
        <v>26.892857142857142</v>
      </c>
      <c r="J35" s="35">
        <f t="array" ref="J35">MAX(IF('OB History'!B:B=A35, 'OB History'!C:C))</f>
        <v>58</v>
      </c>
      <c r="K35" s="34">
        <f>COUNTIFS('OB History'!B:B,A35,'OB History'!D:D, 1)</f>
        <v>36</v>
      </c>
      <c r="L35" s="2">
        <f>COUNTIFS('OB History'!B:B,A35,'OB History'!D:D, 0)</f>
        <v>20</v>
      </c>
      <c r="M35" s="88">
        <f>LOOKUP(2, 1/('OB History'!$B:$B=A35), 'OB History'!$AD:$AD)</f>
        <v>0.6428571428571429</v>
      </c>
      <c r="N35" s="34">
        <f>SUMIFS('OB History'!F:F,'OB History'!B:B,A35)</f>
        <v>132</v>
      </c>
      <c r="O35" s="2">
        <f>SUMIFS('OB History'!E:E,'OB History'!B:B,A35)-N35</f>
        <v>98</v>
      </c>
      <c r="P35" s="88">
        <f>LOOKUP(2, 1/('OB History'!$B:$B=A35), 'OB History'!$AB:$AB)</f>
        <v>0.58214285714285718</v>
      </c>
      <c r="Q35" s="34">
        <f>SUMIFS('OB History'!H:H,'OB History'!B:B,'Old Bow v2'!A35)</f>
        <v>513</v>
      </c>
      <c r="R35" s="2">
        <f>SUMIFS('OB History'!G:G,'OB History'!B:B,'Old Bow v2'!A35)-Q35</f>
        <v>424</v>
      </c>
      <c r="S35" s="88">
        <f>LOOKUP(2, 1/('OB History'!$B:$B=A35), 'OB History'!$AC:$AC)</f>
        <v>0.55035714285714277</v>
      </c>
      <c r="T35" s="2">
        <f>COUNTIFS('OB History'!$B:$B,$A$35,'OB History'!K:K, 1)</f>
        <v>7</v>
      </c>
      <c r="U35" s="2">
        <f>COUNTIFS('OB History'!$B:$B,$A$35,'OB History'!L:L, 1)</f>
        <v>11</v>
      </c>
      <c r="V35" s="2">
        <f>COUNTIFS('OB History'!$B:$B,$A$35,'OB History'!M:M, 1)</f>
        <v>3</v>
      </c>
      <c r="W35" s="2">
        <f>COUNTIFS('OB History'!$B:$B,$A$35,'OB History'!N:N, 1)</f>
        <v>14</v>
      </c>
      <c r="X35" s="2">
        <f>COUNTIFS('OB History'!$B:$B,$A$35,'OB History'!O:O, 1)</f>
        <v>3</v>
      </c>
      <c r="Y35" s="2">
        <f>COUNTIFS('OB History'!$B:$B,$A$35,'OB History'!P:P, 1)</f>
        <v>18</v>
      </c>
      <c r="Z35" s="2">
        <f>COUNTIFS('OB History'!$B:$B,$A$35,'OB History'!Q:Q, 1)</f>
        <v>5</v>
      </c>
      <c r="AA35" s="2">
        <f>COUNTIFS('OB History'!$B:$B,$A$35,'OB History'!R:R, 1)</f>
        <v>4</v>
      </c>
      <c r="AB35" s="2">
        <f>COUNTIFS('OB History'!$B:$B,$A$35,'OB History'!S:S, 1)</f>
        <v>2</v>
      </c>
      <c r="AC35" s="2">
        <f>COUNTIFS('OB History'!$B:$B,$A$35,'OB History'!T:T, 1)</f>
        <v>2</v>
      </c>
      <c r="AD35" s="2">
        <f>COUNTIFS('OB History'!$B:$B,$A$35,'OB History'!U:U, 1)</f>
        <v>2</v>
      </c>
      <c r="AE35" s="2">
        <f>COUNTIFS('OB History'!$B:$B,$A$35,'OB History'!V:V, 1)</f>
        <v>5</v>
      </c>
      <c r="AF35" s="2">
        <f>COUNTIFS('OB History'!$B:$B,$A$35,'OB History'!W:W, 1)</f>
        <v>12</v>
      </c>
      <c r="AG35" s="2">
        <f>COUNTIFS('OB History'!$B:$B,$A$35,'OB History'!X:X, 1)</f>
        <v>15</v>
      </c>
      <c r="AH35" s="2">
        <f>COUNTIFS('OB History'!$B:$B,$A$35,'OB History'!Y:Y, 1)</f>
        <v>12</v>
      </c>
      <c r="AI35" s="2">
        <f>COUNTIFS('OB History'!$B:$B,$A$35,'OB History'!Z:Z, 1)</f>
        <v>17</v>
      </c>
    </row>
    <row r="36" spans="1:35" x14ac:dyDescent="0.25">
      <c r="A36" s="2" t="s">
        <v>2</v>
      </c>
      <c r="B36" s="6" t="s">
        <v>60</v>
      </c>
      <c r="C36" s="2" t="s">
        <v>79</v>
      </c>
      <c r="D36" s="3"/>
      <c r="E36" s="3"/>
      <c r="F36" s="3"/>
      <c r="G36" s="3"/>
      <c r="H36" s="34">
        <f>SUMIFS('OB History'!C:C,'OB History'!B:B,A36)</f>
        <v>424</v>
      </c>
      <c r="I36" s="4">
        <f>AVERAGEIFS('OB History'!C:C,'OB History'!B:B,A36)</f>
        <v>28.266666666666666</v>
      </c>
      <c r="J36" s="35">
        <f t="array" ref="J36">MAX(IF('OB History'!B:B=A36, 'OB History'!C:C))</f>
        <v>52</v>
      </c>
      <c r="K36" s="34">
        <f>COUNTIFS('OB History'!B:B,A36,'OB History'!D:D, 1)</f>
        <v>8</v>
      </c>
      <c r="L36" s="2">
        <f>COUNTIFS('OB History'!B:B,A36,'OB History'!D:D, 0)</f>
        <v>7</v>
      </c>
      <c r="M36" s="88">
        <f>LOOKUP(2, 1/('OB History'!$B:$B=A36), 'OB History'!$AD:$AD)</f>
        <v>0.53333333333333333</v>
      </c>
      <c r="N36" s="34">
        <f>SUMIFS('OB History'!F:F,'OB History'!B:B,A36)</f>
        <v>35</v>
      </c>
      <c r="O36" s="2">
        <f>SUMIFS('OB History'!E:E,'OB History'!B:B,A36)-N36</f>
        <v>29</v>
      </c>
      <c r="P36" s="88">
        <f>LOOKUP(2, 1/('OB History'!$B:$B=A36), 'OB History'!$AB:$AB)</f>
        <v>0.56333333333333335</v>
      </c>
      <c r="Q36" s="34">
        <f>SUMIFS('OB History'!H:H,'OB History'!B:B,'Old Bow v2'!A36)</f>
        <v>143</v>
      </c>
      <c r="R36" s="2">
        <f>SUMIFS('OB History'!G:G,'OB History'!B:B,'Old Bow v2'!A36)-Q36</f>
        <v>126</v>
      </c>
      <c r="S36" s="88">
        <f>LOOKUP(2, 1/('OB History'!$B:$B=A36), 'OB History'!$AC:$AC)</f>
        <v>0.54199999999999993</v>
      </c>
      <c r="T36" s="2">
        <f>COUNTIFS('OB History'!$B:$B,$A$36,'OB History'!K:K, 1)</f>
        <v>2</v>
      </c>
      <c r="U36" s="2">
        <f>COUNTIFS('OB History'!$B:$B,$A$36,'OB History'!L:L, 1)</f>
        <v>3</v>
      </c>
      <c r="V36" s="2">
        <f>COUNTIFS('OB History'!$B:$B,$A$36,'OB History'!M:M, 1)</f>
        <v>2</v>
      </c>
      <c r="W36" s="2">
        <f>COUNTIFS('OB History'!$B:$B,$A$36,'OB History'!N:N, 1)</f>
        <v>8</v>
      </c>
      <c r="X36" s="2">
        <f>COUNTIFS('OB History'!$B:$B,$A$36,'OB History'!O:O, 1)</f>
        <v>0</v>
      </c>
      <c r="Y36" s="2">
        <f>COUNTIFS('OB History'!$B:$B,$A$36,'OB History'!P:P, 1)</f>
        <v>3</v>
      </c>
      <c r="Z36" s="2">
        <f>COUNTIFS('OB History'!$B:$B,$A$36,'OB History'!Q:Q, 1)</f>
        <v>0</v>
      </c>
      <c r="AA36" s="2">
        <f>COUNTIFS('OB History'!$B:$B,$A$36,'OB History'!R:R, 1)</f>
        <v>1</v>
      </c>
      <c r="AB36" s="2">
        <f>COUNTIFS('OB History'!$B:$B,$A$36,'OB History'!S:S, 1)</f>
        <v>0</v>
      </c>
      <c r="AC36" s="2">
        <f>COUNTIFS('OB History'!$B:$B,$A$36,'OB History'!T:T, 1)</f>
        <v>0</v>
      </c>
      <c r="AD36" s="2">
        <f>COUNTIFS('OB History'!$B:$B,$A$36,'OB History'!U:U, 1)</f>
        <v>0</v>
      </c>
      <c r="AE36" s="2">
        <f>COUNTIFS('OB History'!$B:$B,$A$36,'OB History'!V:V, 1)</f>
        <v>0</v>
      </c>
      <c r="AF36" s="2">
        <f>COUNTIFS('OB History'!$B:$B,$A$36,'OB History'!W:W, 1)</f>
        <v>5</v>
      </c>
      <c r="AG36" s="2">
        <f>COUNTIFS('OB History'!$B:$B,$A$36,'OB History'!X:X, 1)</f>
        <v>2</v>
      </c>
      <c r="AH36" s="2">
        <f>COUNTIFS('OB History'!$B:$B,$A$36,'OB History'!Y:Y, 1)</f>
        <v>4</v>
      </c>
      <c r="AI36" s="2">
        <f>COUNTIFS('OB History'!$B:$B,$A$36,'OB History'!Z:Z, 1)</f>
        <v>5</v>
      </c>
    </row>
    <row r="37" spans="1:35" x14ac:dyDescent="0.25">
      <c r="A37" s="2" t="s">
        <v>54</v>
      </c>
      <c r="B37" s="6" t="s">
        <v>60</v>
      </c>
      <c r="C37" s="6" t="s">
        <v>79</v>
      </c>
      <c r="D37" s="3"/>
      <c r="E37" s="3"/>
      <c r="F37" s="3"/>
      <c r="G37" s="3"/>
      <c r="H37" s="34">
        <f>SUMIFS('OB History'!C:C,'OB History'!B:B,A37)</f>
        <v>65</v>
      </c>
      <c r="I37" s="4">
        <f>AVERAGEIFS('OB History'!C:C,'OB History'!B:B,A37)</f>
        <v>21.666666666666668</v>
      </c>
      <c r="J37" s="35">
        <f t="array" ref="J37">MAX(IF('OB History'!B:B=A37, 'OB History'!C:C))</f>
        <v>29</v>
      </c>
      <c r="K37" s="34">
        <f>COUNTIFS('OB History'!B:B,A37,'OB History'!D:D, 1)</f>
        <v>3</v>
      </c>
      <c r="L37" s="2">
        <f>COUNTIFS('OB History'!B:B,A37,'OB History'!D:D, 0)</f>
        <v>0</v>
      </c>
      <c r="M37" s="88">
        <f>LOOKUP(2, 1/('OB History'!$B:$B=A37), 'OB History'!$AD:$AD)</f>
        <v>1</v>
      </c>
      <c r="N37" s="34">
        <f>SUMIFS('OB History'!F:F,'OB History'!B:B,A37)</f>
        <v>9</v>
      </c>
      <c r="O37" s="2">
        <f>SUMIFS('OB History'!E:E,'OB History'!B:B,A37)-N37</f>
        <v>6</v>
      </c>
      <c r="P37" s="88">
        <f>LOOKUP(2, 1/('OB History'!$B:$B=A37), 'OB History'!$AB:$AB)</f>
        <v>0.6</v>
      </c>
      <c r="Q37" s="34">
        <f>SUMIFS('OB History'!H:H,'OB History'!B:B,'Old Bow v2'!A37)</f>
        <v>36</v>
      </c>
      <c r="R37" s="2">
        <f>SUMIFS('OB History'!G:G,'OB History'!B:B,'Old Bow v2'!A37)-Q37</f>
        <v>26</v>
      </c>
      <c r="S37" s="88">
        <f>LOOKUP(2, 1/('OB History'!$B:$B=A37), 'OB History'!$AC:$AC)</f>
        <v>0.57999999999999996</v>
      </c>
      <c r="T37" s="2">
        <f>COUNTIFS('OB History'!$B:$B,$A$37,'OB History'!K:K, 1)</f>
        <v>0</v>
      </c>
      <c r="U37" s="2">
        <f>COUNTIFS('OB History'!$B:$B,$A$37,'OB History'!L:L, 1)</f>
        <v>1</v>
      </c>
      <c r="V37" s="2">
        <f>COUNTIFS('OB History'!$B:$B,$A$37,'OB History'!M:M, 1)</f>
        <v>0</v>
      </c>
      <c r="W37" s="2">
        <f>COUNTIFS('OB History'!$B:$B,$A$37,'OB History'!N:N, 1)</f>
        <v>1</v>
      </c>
      <c r="X37" s="2">
        <f>COUNTIFS('OB History'!$B:$B,$A$37,'OB History'!O:O, 1)</f>
        <v>2</v>
      </c>
      <c r="Y37" s="2">
        <f>COUNTIFS('OB History'!$B:$B,$A$37,'OB History'!P:P, 1)</f>
        <v>1</v>
      </c>
      <c r="Z37" s="2">
        <f>COUNTIFS('OB History'!$B:$B,$A$37,'OB History'!Q:Q, 1)</f>
        <v>2</v>
      </c>
      <c r="AA37" s="2">
        <f>COUNTIFS('OB History'!$B:$B,$A$37,'OB History'!R:R, 1)</f>
        <v>0</v>
      </c>
      <c r="AB37" s="2">
        <f>COUNTIFS('OB History'!$B:$B,$A$37,'OB History'!S:S, 1)</f>
        <v>0</v>
      </c>
      <c r="AC37" s="2">
        <f>COUNTIFS('OB History'!$B:$B,$A$37,'OB History'!T:T, 1)</f>
        <v>0</v>
      </c>
      <c r="AD37" s="2">
        <f>COUNTIFS('OB History'!$B:$B,$A$37,'OB History'!U:U, 1)</f>
        <v>0</v>
      </c>
      <c r="AE37" s="2">
        <f>COUNTIFS('OB History'!$B:$B,$A$37,'OB History'!V:V, 1)</f>
        <v>1</v>
      </c>
      <c r="AF37" s="2">
        <f>COUNTIFS('OB History'!$B:$B,$A$37,'OB History'!W:W, 1)</f>
        <v>1</v>
      </c>
      <c r="AG37" s="2">
        <f>COUNTIFS('OB History'!$B:$B,$A$37,'OB History'!X:X, 1)</f>
        <v>0</v>
      </c>
      <c r="AH37" s="2">
        <f>COUNTIFS('OB History'!$B:$B,$A$37,'OB History'!Y:Y, 1)</f>
        <v>0</v>
      </c>
      <c r="AI37" s="2">
        <f>COUNTIFS('OB History'!$B:$B,$A$37,'OB History'!Z:Z, 1)</f>
        <v>0</v>
      </c>
    </row>
    <row r="38" spans="1:35" x14ac:dyDescent="0.25">
      <c r="A38" s="2" t="s">
        <v>5</v>
      </c>
      <c r="B38" s="6" t="s">
        <v>124</v>
      </c>
      <c r="C38" s="1" t="s">
        <v>159</v>
      </c>
      <c r="D38" s="3">
        <v>3</v>
      </c>
      <c r="E38" s="3"/>
      <c r="F38" s="3"/>
      <c r="G38" s="3"/>
      <c r="H38" s="34">
        <f>SUMIFS('OB History'!C:C,'OB History'!B:B,A38)</f>
        <v>389</v>
      </c>
      <c r="I38" s="4">
        <f>AVERAGEIFS('OB History'!C:C,'OB History'!B:B,A38)</f>
        <v>25.933333333333334</v>
      </c>
      <c r="J38" s="35">
        <f t="array" ref="J38">MAX(IF('OB History'!B:B=A38, 'OB History'!C:C))</f>
        <v>51</v>
      </c>
      <c r="K38" s="34">
        <f>COUNTIFS('OB History'!B:B,A38,'OB History'!D:D, 1)</f>
        <v>7</v>
      </c>
      <c r="L38" s="2">
        <f>COUNTIFS('OB History'!B:B,A38,'OB History'!D:D, 0)</f>
        <v>8</v>
      </c>
      <c r="M38" s="88">
        <f>LOOKUP(2, 1/('OB History'!$B:$B=A38), 'OB History'!$AD:$AD)</f>
        <v>0.46666666666666667</v>
      </c>
      <c r="N38" s="34">
        <f>SUMIFS('OB History'!F:F,'OB History'!B:B,A38)</f>
        <v>30</v>
      </c>
      <c r="O38" s="2">
        <f>SUMIFS('OB History'!E:E,'OB History'!B:B,A38)-N38</f>
        <v>36</v>
      </c>
      <c r="P38" s="88">
        <f>LOOKUP(2, 1/('OB History'!$B:$B=A38), 'OB History'!$AB:$AB)</f>
        <v>0.43666666666666659</v>
      </c>
      <c r="Q38" s="34">
        <f>SUMIFS('OB History'!H:H,'OB History'!B:B,'Old Bow v2'!A38)</f>
        <v>132</v>
      </c>
      <c r="R38" s="2">
        <f>SUMIFS('OB History'!G:G,'OB History'!B:B,'Old Bow v2'!A38)-Q38</f>
        <v>142</v>
      </c>
      <c r="S38" s="88">
        <f>LOOKUP(2, 1/('OB History'!$B:$B=A38), 'OB History'!$AC:$AC)</f>
        <v>0.46866666666666668</v>
      </c>
      <c r="T38" s="2">
        <f>COUNTIFS('OB History'!$B:$B,$A$38,'OB History'!K:K, 1)</f>
        <v>2</v>
      </c>
      <c r="U38" s="2">
        <f>COUNTIFS('OB History'!$B:$B,$A$38,'OB History'!L:L, 1)</f>
        <v>3</v>
      </c>
      <c r="V38" s="2">
        <f>COUNTIFS('OB History'!$B:$B,$A$38,'OB History'!M:M, 1)</f>
        <v>3</v>
      </c>
      <c r="W38" s="2">
        <f>COUNTIFS('OB History'!$B:$B,$A$38,'OB History'!N:N, 1)</f>
        <v>4</v>
      </c>
      <c r="X38" s="2">
        <f>COUNTIFS('OB History'!$B:$B,$A$38,'OB History'!O:O, 1)</f>
        <v>3</v>
      </c>
      <c r="Y38" s="2">
        <f>COUNTIFS('OB History'!$B:$B,$A$38,'OB History'!P:P, 1)</f>
        <v>2</v>
      </c>
      <c r="Z38" s="2">
        <f>COUNTIFS('OB History'!$B:$B,$A$38,'OB History'!Q:Q, 1)</f>
        <v>0</v>
      </c>
      <c r="AA38" s="2">
        <f>COUNTIFS('OB History'!$B:$B,$A$38,'OB History'!R:R, 1)</f>
        <v>1</v>
      </c>
      <c r="AB38" s="2">
        <f>COUNTIFS('OB History'!$B:$B,$A$38,'OB History'!S:S, 1)</f>
        <v>0</v>
      </c>
      <c r="AC38" s="2">
        <f>COUNTIFS('OB History'!$B:$B,$A$38,'OB History'!T:T, 1)</f>
        <v>0</v>
      </c>
      <c r="AD38" s="2">
        <f>COUNTIFS('OB History'!$B:$B,$A$38,'OB History'!U:U, 1)</f>
        <v>0</v>
      </c>
      <c r="AE38" s="2">
        <f>COUNTIFS('OB History'!$B:$B,$A$38,'OB History'!V:V, 1)</f>
        <v>0</v>
      </c>
      <c r="AF38" s="2">
        <f>COUNTIFS('OB History'!$B:$B,$A$38,'OB History'!W:W, 1)</f>
        <v>2</v>
      </c>
      <c r="AG38" s="2">
        <f>COUNTIFS('OB History'!$B:$B,$A$38,'OB History'!X:X, 1)</f>
        <v>5</v>
      </c>
      <c r="AH38" s="2">
        <f>COUNTIFS('OB History'!$B:$B,$A$38,'OB History'!Y:Y, 1)</f>
        <v>3</v>
      </c>
      <c r="AI38" s="2">
        <f>COUNTIFS('OB History'!$B:$B,$A$38,'OB History'!Z:Z, 1)</f>
        <v>2</v>
      </c>
    </row>
    <row r="39" spans="1:35" x14ac:dyDescent="0.25">
      <c r="A39" s="2" t="s">
        <v>38</v>
      </c>
      <c r="B39" s="2" t="s">
        <v>79</v>
      </c>
      <c r="C39" s="2" t="s">
        <v>79</v>
      </c>
      <c r="D39" s="3">
        <v>1</v>
      </c>
      <c r="E39" s="3"/>
      <c r="F39" s="3"/>
      <c r="G39" s="3"/>
      <c r="H39" s="34">
        <f>SUMIFS('OB History'!C:C,'OB History'!B:B,A39)</f>
        <v>97</v>
      </c>
      <c r="I39" s="4">
        <f>AVERAGEIFS('OB History'!C:C,'OB History'!B:B,A39)</f>
        <v>8.0833333333333339</v>
      </c>
      <c r="J39" s="35">
        <f t="array" ref="J39">MAX(IF('OB History'!B:B=A39, 'OB History'!C:C))</f>
        <v>28</v>
      </c>
      <c r="K39" s="34">
        <f>COUNTIFS('OB History'!B:B,A39,'OB History'!D:D, 1)</f>
        <v>5</v>
      </c>
      <c r="L39" s="2">
        <f>COUNTIFS('OB History'!B:B,A39,'OB History'!D:D, 0)</f>
        <v>7</v>
      </c>
      <c r="M39" s="88">
        <f>LOOKUP(2, 1/('OB History'!$B:$B=A39), 'OB History'!$AD:$AD)</f>
        <v>0.41666666666666669</v>
      </c>
      <c r="N39" s="34">
        <f>SUMIFS('OB History'!F:F,'OB History'!B:B,A39)</f>
        <v>20</v>
      </c>
      <c r="O39" s="2">
        <f>SUMIFS('OB History'!E:E,'OB History'!B:B,A39)-N39</f>
        <v>27</v>
      </c>
      <c r="P39" s="88">
        <f>LOOKUP(2, 1/('OB History'!$B:$B=A39), 'OB History'!$AB:$AB)</f>
        <v>0.40416666666666673</v>
      </c>
      <c r="Q39" s="34">
        <f>SUMIFS('OB History'!H:H,'OB History'!B:B,'Old Bow v2'!A39)</f>
        <v>85</v>
      </c>
      <c r="R39" s="2">
        <f>SUMIFS('OB History'!G:G,'OB History'!B:B,'Old Bow v2'!A39)-Q39</f>
        <v>104</v>
      </c>
      <c r="S39" s="88">
        <f>LOOKUP(2, 1/('OB History'!$B:$B=A39), 'OB History'!$AC:$AC)</f>
        <v>0.44333333333333336</v>
      </c>
      <c r="T39" s="2">
        <f>COUNTIFS('OB History'!$B:$B,$A$39,'OB History'!K:K, 1)</f>
        <v>1</v>
      </c>
      <c r="U39" s="2">
        <f>COUNTIFS('OB History'!$B:$B,$A$39,'OB History'!L:L, 1)</f>
        <v>1</v>
      </c>
      <c r="V39" s="2">
        <f>COUNTIFS('OB History'!$B:$B,$A$39,'OB History'!M:M, 1)</f>
        <v>1</v>
      </c>
      <c r="W39" s="2">
        <f>COUNTIFS('OB History'!$B:$B,$A$39,'OB History'!N:N, 1)</f>
        <v>3</v>
      </c>
      <c r="X39" s="2">
        <f>COUNTIFS('OB History'!$B:$B,$A$39,'OB History'!O:O, 1)</f>
        <v>0</v>
      </c>
      <c r="Y39" s="2">
        <f>COUNTIFS('OB History'!$B:$B,$A$39,'OB History'!P:P, 1)</f>
        <v>3</v>
      </c>
      <c r="Z39" s="2">
        <f>COUNTIFS('OB History'!$B:$B,$A$39,'OB History'!Q:Q, 1)</f>
        <v>0</v>
      </c>
      <c r="AA39" s="2">
        <f>COUNTIFS('OB History'!$B:$B,$A$39,'OB History'!R:R, 1)</f>
        <v>2</v>
      </c>
      <c r="AB39" s="2">
        <f>COUNTIFS('OB History'!$B:$B,$A$39,'OB History'!S:S, 1)</f>
        <v>0</v>
      </c>
      <c r="AC39" s="2">
        <f>COUNTIFS('OB History'!$B:$B,$A$39,'OB History'!T:T, 1)</f>
        <v>0</v>
      </c>
      <c r="AD39" s="2">
        <f>COUNTIFS('OB History'!$B:$B,$A$39,'OB History'!U:U, 1)</f>
        <v>0</v>
      </c>
      <c r="AE39" s="2">
        <f>COUNTIFS('OB History'!$B:$B,$A$39,'OB History'!V:V, 1)</f>
        <v>0</v>
      </c>
      <c r="AF39" s="2">
        <f>COUNTIFS('OB History'!$B:$B,$A$39,'OB History'!W:W, 1)</f>
        <v>2</v>
      </c>
      <c r="AG39" s="2">
        <f>COUNTIFS('OB History'!$B:$B,$A$39,'OB History'!X:X, 1)</f>
        <v>3</v>
      </c>
      <c r="AH39" s="2">
        <f>COUNTIFS('OB History'!$B:$B,$A$39,'OB History'!Y:Y, 1)</f>
        <v>2</v>
      </c>
      <c r="AI39" s="2">
        <f>COUNTIFS('OB History'!$B:$B,$A$39,'OB History'!Z:Z, 1)</f>
        <v>2</v>
      </c>
    </row>
    <row r="40" spans="1:35" x14ac:dyDescent="0.25">
      <c r="A40" s="2" t="s">
        <v>141</v>
      </c>
      <c r="B40" s="2" t="s">
        <v>79</v>
      </c>
      <c r="C40" s="2" t="s">
        <v>79</v>
      </c>
      <c r="D40" s="3"/>
      <c r="E40" s="3"/>
      <c r="F40" s="3"/>
      <c r="G40" s="3"/>
      <c r="H40" s="34">
        <f>SUMIFS('OB History'!C:C,'OB History'!B:B,A40)</f>
        <v>51</v>
      </c>
      <c r="I40" s="4">
        <f>AVERAGEIFS('OB History'!C:C,'OB History'!B:B,A40)</f>
        <v>17</v>
      </c>
      <c r="J40" s="35">
        <f t="array" ref="J40">MAX(IF('OB History'!B:B=A40, 'OB History'!C:C))</f>
        <v>20</v>
      </c>
      <c r="K40" s="34">
        <f>COUNTIFS('OB History'!B:B,A40,'OB History'!D:D, 1)</f>
        <v>1</v>
      </c>
      <c r="L40" s="2">
        <f>COUNTIFS('OB History'!B:B,A40,'OB History'!D:D, 0)</f>
        <v>2</v>
      </c>
      <c r="M40" s="88">
        <f>LOOKUP(2, 1/('OB History'!$B:$B=A40), 'OB History'!$AD:$AD)</f>
        <v>0.33333333333333331</v>
      </c>
      <c r="N40" s="34">
        <f>SUMIFS('OB History'!F:F,'OB History'!B:B,A40)</f>
        <v>7</v>
      </c>
      <c r="O40" s="2">
        <f>SUMIFS('OB History'!E:E,'OB History'!B:B,A40)-N40</f>
        <v>6</v>
      </c>
      <c r="P40" s="88">
        <f>LOOKUP(2, 1/('OB History'!$B:$B=A40), 'OB History'!$AB:$AB)</f>
        <v>0.6</v>
      </c>
      <c r="Q40" s="34">
        <f>SUMIFS('OB History'!H:H,'OB History'!B:B,'Old Bow v2'!A40)</f>
        <v>27</v>
      </c>
      <c r="R40" s="2">
        <f>SUMIFS('OB History'!G:G,'OB History'!B:B,'Old Bow v2'!A40)-Q40</f>
        <v>28</v>
      </c>
      <c r="S40" s="88">
        <f>LOOKUP(2, 1/('OB History'!$B:$B=A40), 'OB History'!$AC:$AC)</f>
        <v>0.51666666666666661</v>
      </c>
      <c r="T40" s="2">
        <f>COUNTIFS('OB History'!$B:$B,$A$40,'OB History'!K:K, 1)</f>
        <v>1</v>
      </c>
      <c r="U40" s="2">
        <f>COUNTIFS('OB History'!$B:$B,$A$40,'OB History'!L:L, 1)</f>
        <v>1</v>
      </c>
      <c r="V40" s="2">
        <f>COUNTIFS('OB History'!$B:$B,$A$40,'OB History'!M:M, 1)</f>
        <v>0</v>
      </c>
      <c r="W40" s="2">
        <f>COUNTIFS('OB History'!$B:$B,$A$40,'OB History'!N:N, 1)</f>
        <v>0</v>
      </c>
      <c r="X40" s="2">
        <f>COUNTIFS('OB History'!$B:$B,$A$40,'OB History'!O:O, 1)</f>
        <v>0</v>
      </c>
      <c r="Y40" s="2">
        <f>COUNTIFS('OB History'!$B:$B,$A$40,'OB History'!P:P, 1)</f>
        <v>1</v>
      </c>
      <c r="Z40" s="2">
        <f>COUNTIFS('OB History'!$B:$B,$A$40,'OB History'!Q:Q, 1)</f>
        <v>1</v>
      </c>
      <c r="AA40" s="2">
        <f>COUNTIFS('OB History'!$B:$B,$A$40,'OB History'!R:R, 1)</f>
        <v>0</v>
      </c>
      <c r="AB40" s="2">
        <f>COUNTIFS('OB History'!$B:$B,$A$40,'OB History'!S:S, 1)</f>
        <v>0</v>
      </c>
      <c r="AC40" s="2">
        <f>COUNTIFS('OB History'!$B:$B,$A$40,'OB History'!T:T, 1)</f>
        <v>0</v>
      </c>
      <c r="AD40" s="2">
        <f>COUNTIFS('OB History'!$B:$B,$A$40,'OB History'!U:U, 1)</f>
        <v>0</v>
      </c>
      <c r="AE40" s="2">
        <f>COUNTIFS('OB History'!$B:$B,$A$40,'OB History'!V:V, 1)</f>
        <v>0</v>
      </c>
      <c r="AF40" s="2">
        <f>COUNTIFS('OB History'!$B:$B,$A$40,'OB History'!W:W, 1)</f>
        <v>1</v>
      </c>
      <c r="AG40" s="2">
        <f>COUNTIFS('OB History'!$B:$B,$A$40,'OB History'!X:X, 1)</f>
        <v>1</v>
      </c>
      <c r="AH40" s="2">
        <f>COUNTIFS('OB History'!$B:$B,$A$40,'OB History'!Y:Y, 1)</f>
        <v>0</v>
      </c>
      <c r="AI40" s="2">
        <f>COUNTIFS('OB History'!$B:$B,$A$40,'OB History'!Z:Z, 1)</f>
        <v>1</v>
      </c>
    </row>
    <row r="41" spans="1:35" x14ac:dyDescent="0.25">
      <c r="A41" s="2" t="s">
        <v>149</v>
      </c>
      <c r="B41" s="2" t="s">
        <v>79</v>
      </c>
      <c r="C41" s="2" t="s">
        <v>79</v>
      </c>
      <c r="D41" s="3"/>
      <c r="E41" s="3"/>
      <c r="F41" s="3"/>
      <c r="G41" s="3"/>
      <c r="H41" s="34">
        <f>SUMIFS('OB History'!C:C,'OB History'!B:B,A41)</f>
        <v>4</v>
      </c>
      <c r="I41" s="4">
        <f>AVERAGEIFS('OB History'!C:C,'OB History'!B:B,A41)</f>
        <v>4</v>
      </c>
      <c r="J41" s="35">
        <f t="array" ref="J41">MAX(IF('OB History'!B:B=A41, 'OB History'!C:C))</f>
        <v>4</v>
      </c>
      <c r="K41" s="34">
        <f>COUNTIFS('OB History'!B:B,A41,'OB History'!D:D, 1)</f>
        <v>0</v>
      </c>
      <c r="L41" s="2">
        <f>COUNTIFS('OB History'!B:B,A41,'OB History'!D:D, 0)</f>
        <v>1</v>
      </c>
      <c r="M41" s="88">
        <f>LOOKUP(2, 1/('OB History'!$B:$B=A41), 'OB History'!$AD:$AD)</f>
        <v>0</v>
      </c>
      <c r="N41" s="34">
        <f>SUMIFS('OB History'!F:F,'OB History'!B:B,A41)</f>
        <v>2</v>
      </c>
      <c r="O41" s="2">
        <f>SUMIFS('OB History'!E:E,'OB History'!B:B,A41)-N41</f>
        <v>3</v>
      </c>
      <c r="P41" s="88">
        <f>LOOKUP(2, 1/('OB History'!$B:$B=A41), 'OB History'!$AB:$AB)</f>
        <v>0.4</v>
      </c>
      <c r="Q41" s="34">
        <f>SUMIFS('OB History'!H:H,'OB History'!B:B,'Old Bow v2'!A41)</f>
        <v>8</v>
      </c>
      <c r="R41" s="2">
        <f>SUMIFS('OB History'!G:G,'OB History'!B:B,'Old Bow v2'!A41)-Q41</f>
        <v>10</v>
      </c>
      <c r="S41" s="88">
        <f>LOOKUP(2, 1/('OB History'!$B:$B=A41), 'OB History'!$AC:$AC)</f>
        <v>0.44</v>
      </c>
      <c r="T41" s="2">
        <f>COUNTIFS('OB History'!$B:$B,$A$41,'OB History'!K:K, 1)</f>
        <v>1</v>
      </c>
      <c r="U41" s="2">
        <f>COUNTIFS('OB History'!$B:$B,$A$41,'OB History'!L:L, 1)</f>
        <v>0</v>
      </c>
      <c r="V41" s="2">
        <f>COUNTIFS('OB History'!$B:$B,$A$41,'OB History'!M:M, 1)</f>
        <v>0</v>
      </c>
      <c r="W41" s="2">
        <f>COUNTIFS('OB History'!$B:$B,$A$41,'OB History'!N:N, 1)</f>
        <v>0</v>
      </c>
      <c r="X41" s="2">
        <f>COUNTIFS('OB History'!$B:$B,$A$41,'OB History'!O:O, 1)</f>
        <v>0</v>
      </c>
      <c r="Y41" s="2">
        <f>COUNTIFS('OB History'!$B:$B,$A$41,'OB History'!P:P, 1)</f>
        <v>1</v>
      </c>
      <c r="Z41" s="2">
        <f>COUNTIFS('OB History'!$B:$B,$A$41,'OB History'!Q:Q, 1)</f>
        <v>0</v>
      </c>
      <c r="AA41" s="2">
        <f>COUNTIFS('OB History'!$B:$B,$A$41,'OB History'!R:R, 1)</f>
        <v>0</v>
      </c>
      <c r="AB41" s="2">
        <f>COUNTIFS('OB History'!$B:$B,$A$41,'OB History'!S:S, 1)</f>
        <v>0</v>
      </c>
      <c r="AC41" s="2">
        <f>COUNTIFS('OB History'!$B:$B,$A$41,'OB History'!T:T, 1)</f>
        <v>0</v>
      </c>
      <c r="AD41" s="2">
        <f>COUNTIFS('OB History'!$B:$B,$A$41,'OB History'!U:U, 1)</f>
        <v>0</v>
      </c>
      <c r="AE41" s="2">
        <f>COUNTIFS('OB History'!$B:$B,$A$41,'OB History'!V:V, 1)</f>
        <v>0</v>
      </c>
      <c r="AF41" s="2">
        <f>COUNTIFS('OB History'!$B:$B,$A$41,'OB History'!W:W, 1)</f>
        <v>0</v>
      </c>
      <c r="AG41" s="2">
        <f>COUNTIFS('OB History'!$B:$B,$A$41,'OB History'!X:X, 1)</f>
        <v>0</v>
      </c>
      <c r="AH41" s="2">
        <f>COUNTIFS('OB History'!$B:$B,$A$41,'OB History'!Y:Y, 1)</f>
        <v>0</v>
      </c>
      <c r="AI41" s="2">
        <f>COUNTIFS('OB History'!$B:$B,$A$41,'OB History'!Z:Z, 1)</f>
        <v>0</v>
      </c>
    </row>
    <row r="42" spans="1:35" x14ac:dyDescent="0.25">
      <c r="A42" s="2" t="s">
        <v>40</v>
      </c>
      <c r="B42" s="2" t="s">
        <v>79</v>
      </c>
      <c r="C42" s="2" t="s">
        <v>79</v>
      </c>
      <c r="D42" s="3"/>
      <c r="E42" s="3"/>
      <c r="F42" s="3"/>
      <c r="G42" s="3"/>
      <c r="H42" s="34">
        <f>SUMIFS('OB History'!C:C,'OB History'!B:B,A42)</f>
        <v>245</v>
      </c>
      <c r="I42" s="4">
        <f>AVERAGEIFS('OB History'!C:C,'OB History'!B:B,A42)</f>
        <v>17.5</v>
      </c>
      <c r="J42" s="35">
        <f t="array" ref="J42">MAX(IF('OB History'!B:B=A42, 'OB History'!C:C))</f>
        <v>28</v>
      </c>
      <c r="K42" s="34">
        <f>COUNTIFS('OB History'!B:B,A42,'OB History'!D:D, 1)</f>
        <v>4</v>
      </c>
      <c r="L42" s="2">
        <f>COUNTIFS('OB History'!B:B,A42,'OB History'!D:D, 0)</f>
        <v>10</v>
      </c>
      <c r="M42" s="88">
        <f>LOOKUP(2, 1/('OB History'!$B:$B=A42), 'OB History'!$AD:$AD)</f>
        <v>0.2857142857142857</v>
      </c>
      <c r="N42" s="34">
        <f>SUMIFS('OB History'!F:F,'OB History'!B:B,A42)</f>
        <v>25</v>
      </c>
      <c r="O42" s="2">
        <f>SUMIFS('OB History'!E:E,'OB History'!B:B,A42)-N42</f>
        <v>34</v>
      </c>
      <c r="P42" s="88">
        <f>LOOKUP(2, 1/('OB History'!$B:$B=A42), 'OB History'!$AB:$AB)</f>
        <v>0.42499999999999993</v>
      </c>
      <c r="Q42" s="34">
        <f>SUMIFS('OB History'!H:H,'OB History'!B:B,'Old Bow v2'!A42)</f>
        <v>106</v>
      </c>
      <c r="R42" s="2">
        <f>SUMIFS('OB History'!G:G,'OB History'!B:B,'Old Bow v2'!A42)-Q42</f>
        <v>134</v>
      </c>
      <c r="S42" s="88">
        <f>LOOKUP(2, 1/('OB History'!$B:$B=A42), 'OB History'!$AC:$AC)</f>
        <v>0.43285714285714288</v>
      </c>
      <c r="T42" s="2">
        <f>COUNTIFS('OB History'!$B:$B,$A$42,'OB History'!K:K, 1)</f>
        <v>3</v>
      </c>
      <c r="U42" s="2">
        <f>COUNTIFS('OB History'!$B:$B,$A$42,'OB History'!L:L, 1)</f>
        <v>2</v>
      </c>
      <c r="V42" s="2">
        <f>COUNTIFS('OB History'!$B:$B,$A$42,'OB History'!M:M, 1)</f>
        <v>1</v>
      </c>
      <c r="W42" s="2">
        <f>COUNTIFS('OB History'!$B:$B,$A$42,'OB History'!N:N, 1)</f>
        <v>1</v>
      </c>
      <c r="X42" s="2">
        <f>COUNTIFS('OB History'!$B:$B,$A$42,'OB History'!O:O, 1)</f>
        <v>1</v>
      </c>
      <c r="Y42" s="2">
        <f>COUNTIFS('OB History'!$B:$B,$A$42,'OB History'!P:P, 1)</f>
        <v>1</v>
      </c>
      <c r="Z42" s="2">
        <f>COUNTIFS('OB History'!$B:$B,$A$42,'OB History'!Q:Q, 1)</f>
        <v>2</v>
      </c>
      <c r="AA42" s="2">
        <f>COUNTIFS('OB History'!$B:$B,$A$42,'OB History'!R:R, 1)</f>
        <v>0</v>
      </c>
      <c r="AB42" s="2">
        <f>COUNTIFS('OB History'!$B:$B,$A$42,'OB History'!S:S, 1)</f>
        <v>1</v>
      </c>
      <c r="AC42" s="2">
        <f>COUNTIFS('OB History'!$B:$B,$A$42,'OB History'!T:T, 1)</f>
        <v>0</v>
      </c>
      <c r="AD42" s="2">
        <f>COUNTIFS('OB History'!$B:$B,$A$42,'OB History'!U:U, 1)</f>
        <v>0</v>
      </c>
      <c r="AE42" s="2">
        <f>COUNTIFS('OB History'!$B:$B,$A$42,'OB History'!V:V, 1)</f>
        <v>0</v>
      </c>
      <c r="AF42" s="2">
        <f>COUNTIFS('OB History'!$B:$B,$A$42,'OB History'!W:W, 1)</f>
        <v>1</v>
      </c>
      <c r="AG42" s="2">
        <f>COUNTIFS('OB History'!$B:$B,$A$42,'OB History'!X:X, 1)</f>
        <v>5</v>
      </c>
      <c r="AH42" s="2">
        <f>COUNTIFS('OB History'!$B:$B,$A$42,'OB History'!Y:Y, 1)</f>
        <v>3</v>
      </c>
      <c r="AI42" s="2">
        <f>COUNTIFS('OB History'!$B:$B,$A$42,'OB History'!Z:Z, 1)</f>
        <v>4</v>
      </c>
    </row>
    <row r="43" spans="1:35" x14ac:dyDescent="0.25">
      <c r="A43" s="2" t="s">
        <v>147</v>
      </c>
      <c r="B43" s="2" t="s">
        <v>79</v>
      </c>
      <c r="C43" s="2" t="s">
        <v>79</v>
      </c>
      <c r="D43" s="3"/>
      <c r="E43" s="3"/>
      <c r="F43" s="3"/>
      <c r="G43" s="3"/>
      <c r="H43" s="34">
        <f>SUMIFS('OB History'!C:C,'OB History'!B:B,A43)</f>
        <v>155</v>
      </c>
      <c r="I43" s="4">
        <f>AVERAGEIFS('OB History'!C:C,'OB History'!B:B,A43)</f>
        <v>17.222222222222221</v>
      </c>
      <c r="J43" s="35">
        <f t="array" ref="J43">MAX(IF('OB History'!B:B=A43, 'OB History'!C:C))</f>
        <v>34</v>
      </c>
      <c r="K43" s="34">
        <f>COUNTIFS('OB History'!B:B,A43,'OB History'!D:D, 1)</f>
        <v>1</v>
      </c>
      <c r="L43" s="2">
        <f>COUNTIFS('OB History'!B:B,A43,'OB History'!D:D, 0)</f>
        <v>8</v>
      </c>
      <c r="M43" s="88">
        <f>LOOKUP(2, 1/('OB History'!$B:$B=A43), 'OB History'!$AD:$AD)</f>
        <v>0.1111111111111111</v>
      </c>
      <c r="N43" s="34">
        <f>SUMIFS('OB History'!F:F,'OB History'!B:B,A43)</f>
        <v>11</v>
      </c>
      <c r="O43" s="2">
        <f>SUMIFS('OB History'!E:E,'OB History'!B:B,A43)-N43</f>
        <v>24</v>
      </c>
      <c r="P43" s="88">
        <f>LOOKUP(2, 1/('OB History'!$B:$B=A43), 'OB History'!$AB:$AB)</f>
        <v>0.28888888888888892</v>
      </c>
      <c r="Q43" s="34">
        <f>SUMIFS('OB History'!H:H,'OB History'!B:B,'Old Bow v2'!A43)</f>
        <v>59</v>
      </c>
      <c r="R43" s="2">
        <f>SUMIFS('OB History'!G:G,'OB History'!B:B,'Old Bow v2'!A43)-Q43</f>
        <v>84</v>
      </c>
      <c r="S43" s="88">
        <f>LOOKUP(2, 1/('OB History'!$B:$B=A43), 'OB History'!$AC:$AC)</f>
        <v>0.3988888888888889</v>
      </c>
      <c r="T43" s="2">
        <f>COUNTIFS('OB History'!$B:$B,$A$43,'OB History'!K:K, 1)</f>
        <v>3</v>
      </c>
      <c r="U43" s="2">
        <f>COUNTIFS('OB History'!$B:$B,$A$43,'OB History'!L:L, 1)</f>
        <v>1</v>
      </c>
      <c r="V43" s="2">
        <f>COUNTIFS('OB History'!$B:$B,$A$43,'OB History'!M:M, 1)</f>
        <v>0</v>
      </c>
      <c r="W43" s="2">
        <f>COUNTIFS('OB History'!$B:$B,$A$43,'OB History'!N:N, 1)</f>
        <v>1</v>
      </c>
      <c r="X43" s="2">
        <f>COUNTIFS('OB History'!$B:$B,$A$43,'OB History'!O:O, 1)</f>
        <v>0</v>
      </c>
      <c r="Y43" s="2">
        <f>COUNTIFS('OB History'!$B:$B,$A$43,'OB History'!P:P, 1)</f>
        <v>2</v>
      </c>
      <c r="Z43" s="2">
        <f>COUNTIFS('OB History'!$B:$B,$A$43,'OB History'!Q:Q, 1)</f>
        <v>0</v>
      </c>
      <c r="AA43" s="2">
        <f>COUNTIFS('OB History'!$B:$B,$A$43,'OB History'!R:R, 1)</f>
        <v>0</v>
      </c>
      <c r="AB43" s="2">
        <f>COUNTIFS('OB History'!$B:$B,$A$43,'OB History'!S:S, 1)</f>
        <v>1</v>
      </c>
      <c r="AC43" s="2">
        <f>COUNTIFS('OB History'!$B:$B,$A$43,'OB History'!T:T, 1)</f>
        <v>0</v>
      </c>
      <c r="AD43" s="2">
        <f>COUNTIFS('OB History'!$B:$B,$A$43,'OB History'!U:U, 1)</f>
        <v>0</v>
      </c>
      <c r="AE43" s="2">
        <f>COUNTIFS('OB History'!$B:$B,$A$43,'OB History'!V:V, 1)</f>
        <v>0</v>
      </c>
      <c r="AF43" s="2">
        <f>COUNTIFS('OB History'!$B:$B,$A$43,'OB History'!W:W, 1)</f>
        <v>0</v>
      </c>
      <c r="AG43" s="2">
        <f>COUNTIFS('OB History'!$B:$B,$A$43,'OB History'!X:X, 1)</f>
        <v>1</v>
      </c>
      <c r="AH43" s="2">
        <f>COUNTIFS('OB History'!$B:$B,$A$43,'OB History'!Y:Y, 1)</f>
        <v>1</v>
      </c>
      <c r="AI43" s="2">
        <f>COUNTIFS('OB History'!$B:$B,$A$43,'OB History'!Z:Z, 1)</f>
        <v>1</v>
      </c>
    </row>
    <row r="44" spans="1:35" x14ac:dyDescent="0.25">
      <c r="A44" s="2" t="s">
        <v>17</v>
      </c>
      <c r="B44" s="2" t="s">
        <v>79</v>
      </c>
      <c r="C44" s="2" t="s">
        <v>79</v>
      </c>
      <c r="D44" s="3">
        <v>10</v>
      </c>
      <c r="E44" s="3">
        <v>3</v>
      </c>
      <c r="F44" s="3"/>
      <c r="G44" s="3"/>
      <c r="H44" s="34">
        <f>SUMIFS('OB History'!C:C,'OB History'!B:B,A44)</f>
        <v>1275</v>
      </c>
      <c r="I44" s="4">
        <f>AVERAGEIFS('OB History'!C:C,'OB History'!B:B,A44)</f>
        <v>26.020408163265305</v>
      </c>
      <c r="J44" s="35">
        <f t="array" ref="J44">MAX(IF('OB History'!B:B=A44, 'OB History'!C:C))</f>
        <v>58</v>
      </c>
      <c r="K44" s="34">
        <f>COUNTIFS('OB History'!B:B,A44,'OB History'!D:D, 1)</f>
        <v>22</v>
      </c>
      <c r="L44" s="2">
        <f>COUNTIFS('OB History'!B:B,A44,'OB History'!D:D, 0)</f>
        <v>27</v>
      </c>
      <c r="M44" s="88">
        <f>LOOKUP(2, 1/('OB History'!$B:$B=A44), 'OB History'!$AD:$AD)</f>
        <v>0.44897959183673469</v>
      </c>
      <c r="N44" s="34">
        <f>SUMIFS('OB History'!F:F,'OB History'!B:B,A44)</f>
        <v>101</v>
      </c>
      <c r="O44" s="2">
        <f>SUMIFS('OB History'!E:E,'OB History'!B:B,A44)-N44</f>
        <v>102</v>
      </c>
      <c r="P44" s="88">
        <f>LOOKUP(2, 1/('OB History'!$B:$B=A44), 'OB History'!$AB:$AB)</f>
        <v>0.51020408163265318</v>
      </c>
      <c r="Q44" s="34">
        <f>SUMIFS('OB History'!H:H,'OB History'!B:B,'Old Bow v2'!A44)</f>
        <v>423</v>
      </c>
      <c r="R44" s="2">
        <f>SUMIFS('OB History'!G:G,'OB History'!B:B,'Old Bow v2'!A44)-Q44</f>
        <v>412</v>
      </c>
      <c r="S44" s="88">
        <f>LOOKUP(2, 1/('OB History'!$B:$B=A44), 'OB History'!$AC:$AC)</f>
        <v>0.51591836734693863</v>
      </c>
      <c r="T44" s="2">
        <f>COUNTIFS('OB History'!$B:$B,$A$44,'OB History'!K:K, 1)</f>
        <v>7</v>
      </c>
      <c r="U44" s="2">
        <f>COUNTIFS('OB History'!$B:$B,$A$44,'OB History'!L:L, 1)</f>
        <v>6</v>
      </c>
      <c r="V44" s="2">
        <f>COUNTIFS('OB History'!$B:$B,$A$44,'OB History'!M:M, 1)</f>
        <v>3</v>
      </c>
      <c r="W44" s="2">
        <f>COUNTIFS('OB History'!$B:$B,$A$44,'OB History'!N:N, 1)</f>
        <v>10</v>
      </c>
      <c r="X44" s="2">
        <f>COUNTIFS('OB History'!$B:$B,$A$44,'OB History'!O:O, 1)</f>
        <v>1</v>
      </c>
      <c r="Y44" s="2">
        <f>COUNTIFS('OB History'!$B:$B,$A$44,'OB History'!P:P, 1)</f>
        <v>10</v>
      </c>
      <c r="Z44" s="2">
        <f>COUNTIFS('OB History'!$B:$B,$A$44,'OB History'!Q:Q, 1)</f>
        <v>4</v>
      </c>
      <c r="AA44" s="2">
        <f>COUNTIFS('OB History'!$B:$B,$A$44,'OB History'!R:R, 1)</f>
        <v>3</v>
      </c>
      <c r="AB44" s="2">
        <f>COUNTIFS('OB History'!$B:$B,$A$44,'OB History'!S:S, 1)</f>
        <v>1</v>
      </c>
      <c r="AC44" s="2">
        <f>COUNTIFS('OB History'!$B:$B,$A$44,'OB History'!T:T, 1)</f>
        <v>1</v>
      </c>
      <c r="AD44" s="2">
        <f>COUNTIFS('OB History'!$B:$B,$A$44,'OB History'!U:U, 1)</f>
        <v>1</v>
      </c>
      <c r="AE44" s="2">
        <f>COUNTIFS('OB History'!$B:$B,$A$44,'OB History'!V:V, 1)</f>
        <v>3</v>
      </c>
      <c r="AF44" s="2">
        <f>COUNTIFS('OB History'!$B:$B,$A$44,'OB History'!W:W, 1)</f>
        <v>7</v>
      </c>
      <c r="AG44" s="2">
        <f>COUNTIFS('OB History'!$B:$B,$A$44,'OB History'!X:X, 1)</f>
        <v>20</v>
      </c>
      <c r="AH44" s="2">
        <f>COUNTIFS('OB History'!$B:$B,$A$44,'OB History'!Y:Y, 1)</f>
        <v>8</v>
      </c>
      <c r="AI44" s="2">
        <f>COUNTIFS('OB History'!$B:$B,$A$44,'OB History'!Z:Z, 1)</f>
        <v>16</v>
      </c>
    </row>
    <row r="45" spans="1:35" x14ac:dyDescent="0.25">
      <c r="A45" s="2" t="s">
        <v>167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29</v>
      </c>
      <c r="I45" s="4">
        <f>AVERAGEIFS('OB History'!C:C,'OB History'!B:B,A45)</f>
        <v>14.5</v>
      </c>
      <c r="J45" s="35">
        <f t="array" ref="J45">MAX(IF('OB History'!B:B=A45, 'OB History'!C:C))</f>
        <v>18</v>
      </c>
      <c r="K45" s="34">
        <f>COUNTIFS('OB History'!B:B,A45,'OB History'!D:D, 1)</f>
        <v>0</v>
      </c>
      <c r="L45" s="2">
        <f>COUNTIFS('OB History'!B:B,A45,'OB History'!D:D, 0)</f>
        <v>2</v>
      </c>
      <c r="M45" s="88">
        <f>LOOKUP(2, 1/('OB History'!$B:$B=A45), 'OB History'!$AD:$AD)</f>
        <v>0</v>
      </c>
      <c r="N45" s="34">
        <f>SUMIFS('OB History'!F:F,'OB History'!B:B,A45)</f>
        <v>0</v>
      </c>
      <c r="O45" s="2">
        <f>SUMIFS('OB History'!E:E,'OB History'!B:B,A45)-N45</f>
        <v>6</v>
      </c>
      <c r="P45" s="88">
        <f>LOOKUP(2, 1/('OB History'!$B:$B=A45), 'OB History'!$AB:$AB)</f>
        <v>0</v>
      </c>
      <c r="Q45" s="34">
        <f>SUMIFS('OB History'!H:H,'OB History'!B:B,'Old Bow v2'!A45)</f>
        <v>7</v>
      </c>
      <c r="R45" s="2">
        <f>SUMIFS('OB History'!G:G,'OB History'!B:B,'Old Bow v2'!A45)-Q45</f>
        <v>18</v>
      </c>
      <c r="S45" s="88">
        <f>LOOKUP(2, 1/('OB History'!$B:$B=A45), 'OB History'!$AC:$AC)</f>
        <v>0.28000000000000003</v>
      </c>
      <c r="T45" s="2">
        <f>COUNTIFS('OB History'!$B:$B,$A$45,'OB History'!K:K, 1)</f>
        <v>0</v>
      </c>
      <c r="U45" s="2">
        <f>COUNTIFS('OB History'!$B:$B,$A$45,'OB History'!L:L, 1)</f>
        <v>0</v>
      </c>
      <c r="V45" s="2">
        <f>COUNTIFS('OB History'!$B:$B,$A$45,'OB History'!M:M, 1)</f>
        <v>0</v>
      </c>
      <c r="W45" s="2">
        <f>COUNTIFS('OB History'!$B:$B,$A$45,'OB History'!N:N, 1)</f>
        <v>0</v>
      </c>
      <c r="X45" s="2">
        <f>COUNTIFS('OB History'!$B:$B,$A$45,'OB History'!O:O, 1)</f>
        <v>0</v>
      </c>
      <c r="Y45" s="2">
        <f>COUNTIFS('OB History'!$B:$B,$A$45,'OB History'!P:P, 1)</f>
        <v>0</v>
      </c>
      <c r="Z45" s="2">
        <f>COUNTIFS('OB History'!$B:$B,$A$45,'OB History'!Q:Q, 1)</f>
        <v>0</v>
      </c>
      <c r="AA45" s="2">
        <f>COUNTIFS('OB History'!$B:$B,$A$45,'OB History'!R:R, 1)</f>
        <v>0</v>
      </c>
      <c r="AB45" s="2">
        <f>COUNTIFS('OB History'!$B:$B,$A$45,'OB History'!S:S, 1)</f>
        <v>0</v>
      </c>
      <c r="AC45" s="2">
        <f>COUNTIFS('OB History'!$B:$B,$A$45,'OB History'!T:T, 1)</f>
        <v>0</v>
      </c>
      <c r="AD45" s="2">
        <f>COUNTIFS('OB History'!$B:$B,$A$45,'OB History'!U:U, 1)</f>
        <v>0</v>
      </c>
      <c r="AE45" s="2">
        <f>COUNTIFS('OB History'!$B:$B,$A$45,'OB History'!V:V, 1)</f>
        <v>0</v>
      </c>
      <c r="AF45" s="2">
        <f>COUNTIFS('OB History'!$B:$B,$A$45,'OB History'!W:W, 1)</f>
        <v>0</v>
      </c>
      <c r="AG45" s="2">
        <f>COUNTIFS('OB History'!$B:$B,$A$45,'OB History'!X:X, 1)</f>
        <v>0</v>
      </c>
      <c r="AH45" s="2">
        <f>COUNTIFS('OB History'!$B:$B,$A$45,'OB History'!Y:Y, 1)</f>
        <v>0</v>
      </c>
      <c r="AI45" s="2">
        <f>COUNTIFS('OB History'!$B:$B,$A$45,'OB History'!Z:Z, 1)</f>
        <v>0</v>
      </c>
    </row>
    <row r="46" spans="1:35" x14ac:dyDescent="0.25">
      <c r="A46" s="2" t="s">
        <v>155</v>
      </c>
      <c r="B46" s="6" t="s">
        <v>60</v>
      </c>
      <c r="C46" s="2" t="s">
        <v>79</v>
      </c>
      <c r="D46" s="3">
        <v>6</v>
      </c>
      <c r="E46" s="3">
        <v>1</v>
      </c>
      <c r="F46" s="3"/>
      <c r="G46" s="3"/>
      <c r="H46" s="34">
        <f>SUMIFS('OB History'!C:C,'OB History'!B:B,A46)</f>
        <v>336</v>
      </c>
      <c r="I46" s="4">
        <f>AVERAGEIFS('OB History'!C:C,'OB History'!B:B,A46)</f>
        <v>17.684210526315791</v>
      </c>
      <c r="J46" s="35">
        <f t="array" ref="J46">MAX(IF('OB History'!B:B=A46, 'OB History'!C:C))</f>
        <v>43</v>
      </c>
      <c r="K46" s="34">
        <f>COUNTIFS('OB History'!B:B,A46,'OB History'!D:D, 1)</f>
        <v>6</v>
      </c>
      <c r="L46" s="2">
        <f>COUNTIFS('OB History'!B:B,A46,'OB History'!D:D, 0)</f>
        <v>13</v>
      </c>
      <c r="M46" s="88">
        <f>LOOKUP(2, 1/('OB History'!$B:$B=A46), 'OB History'!$AD:$AD)</f>
        <v>0.31578947368421051</v>
      </c>
      <c r="N46" s="34">
        <f>SUMIFS('OB History'!F:F,'OB History'!B:B,A46)</f>
        <v>34</v>
      </c>
      <c r="O46" s="2">
        <f>SUMIFS('OB History'!E:E,'OB History'!B:B,A46)-N46</f>
        <v>50</v>
      </c>
      <c r="P46" s="88">
        <f>LOOKUP(2, 1/('OB History'!$B:$B=A46), 'OB History'!$AB:$AB)</f>
        <v>0.38157894736842102</v>
      </c>
      <c r="Q46" s="34">
        <f>SUMIFS('OB History'!H:H,'OB History'!B:B,'Old Bow v2'!A46)</f>
        <v>160</v>
      </c>
      <c r="R46" s="2">
        <f>SUMIFS('OB History'!G:G,'OB History'!B:B,'Old Bow v2'!A46)-Q46</f>
        <v>177</v>
      </c>
      <c r="S46" s="88">
        <f>LOOKUP(2, 1/('OB History'!$B:$B=A46), 'OB History'!$AC:$AC)</f>
        <v>0.45684210526315788</v>
      </c>
      <c r="T46" s="2">
        <f>COUNTIFS('OB History'!$B:$B,$A$46,'OB History'!K:K, 1)</f>
        <v>3</v>
      </c>
      <c r="U46" s="2">
        <f>COUNTIFS('OB History'!$B:$B,$A$46,'OB History'!L:L, 1)</f>
        <v>2</v>
      </c>
      <c r="V46" s="2">
        <f>COUNTIFS('OB History'!$B:$B,$A$46,'OB History'!M:M, 1)</f>
        <v>2</v>
      </c>
      <c r="W46" s="2">
        <f>COUNTIFS('OB History'!$B:$B,$A$46,'OB History'!N:N, 1)</f>
        <v>5</v>
      </c>
      <c r="X46" s="2">
        <f>COUNTIFS('OB History'!$B:$B,$A$46,'OB History'!O:O, 1)</f>
        <v>2</v>
      </c>
      <c r="Y46" s="2">
        <f>COUNTIFS('OB History'!$B:$B,$A$46,'OB History'!P:P, 1)</f>
        <v>5</v>
      </c>
      <c r="Z46" s="2">
        <f>COUNTIFS('OB History'!$B:$B,$A$46,'OB History'!Q:Q, 1)</f>
        <v>1</v>
      </c>
      <c r="AA46" s="2">
        <f>COUNTIFS('OB History'!$B:$B,$A$46,'OB History'!R:R, 1)</f>
        <v>0</v>
      </c>
      <c r="AB46" s="2">
        <f>COUNTIFS('OB History'!$B:$B,$A$46,'OB History'!S:S, 1)</f>
        <v>1</v>
      </c>
      <c r="AC46" s="2">
        <f>COUNTIFS('OB History'!$B:$B,$A$46,'OB History'!T:T, 1)</f>
        <v>1</v>
      </c>
      <c r="AD46" s="2">
        <f>COUNTIFS('OB History'!$B:$B,$A$46,'OB History'!U:U, 1)</f>
        <v>0</v>
      </c>
      <c r="AE46" s="2">
        <f>COUNTIFS('OB History'!$B:$B,$A$46,'OB History'!V:V, 1)</f>
        <v>1</v>
      </c>
      <c r="AF46" s="2">
        <f>COUNTIFS('OB History'!$B:$B,$A$46,'OB History'!W:W, 1)</f>
        <v>2</v>
      </c>
      <c r="AG46" s="2">
        <f>COUNTIFS('OB History'!$B:$B,$A$46,'OB History'!X:X, 1)</f>
        <v>4</v>
      </c>
      <c r="AH46" s="2">
        <f>COUNTIFS('OB History'!$B:$B,$A$46,'OB History'!Y:Y, 1)</f>
        <v>3</v>
      </c>
      <c r="AI46" s="2">
        <f>COUNTIFS('OB History'!$B:$B,$A$46,'OB History'!Z:Z, 1)</f>
        <v>2</v>
      </c>
    </row>
    <row r="47" spans="1:35" x14ac:dyDescent="0.25">
      <c r="A47" s="2" t="s">
        <v>6</v>
      </c>
      <c r="B47" s="2" t="s">
        <v>60</v>
      </c>
      <c r="C47" s="2" t="s">
        <v>79</v>
      </c>
      <c r="D47" s="3"/>
      <c r="E47" s="3"/>
      <c r="F47" s="3"/>
      <c r="G47" s="3"/>
      <c r="H47" s="34">
        <f>SUMIFS('OB History'!C:C,'OB History'!B:B,A47)</f>
        <v>596</v>
      </c>
      <c r="I47" s="4">
        <f>AVERAGEIFS('OB History'!C:C,'OB History'!B:B,A47)</f>
        <v>23.84</v>
      </c>
      <c r="J47" s="35">
        <f t="array" ref="J47">MAX(IF('OB History'!B:B=A47, 'OB History'!C:C))</f>
        <v>51</v>
      </c>
      <c r="K47" s="34">
        <f>COUNTIFS('OB History'!B:B,A47,'OB History'!D:D, 1)</f>
        <v>17</v>
      </c>
      <c r="L47" s="2">
        <f>COUNTIFS('OB History'!B:B,A47,'OB History'!D:D, 0)</f>
        <v>8</v>
      </c>
      <c r="M47" s="88">
        <f>LOOKUP(2, 1/('OB History'!$B:$B=A47), 'OB History'!$AD:$AD)</f>
        <v>0.68</v>
      </c>
      <c r="N47" s="34">
        <f>SUMIFS('OB History'!F:F,'OB History'!B:B,A47)</f>
        <v>61</v>
      </c>
      <c r="O47" s="2">
        <f>SUMIFS('OB History'!E:E,'OB History'!B:B,A47)-N47</f>
        <v>41</v>
      </c>
      <c r="P47" s="88">
        <f>LOOKUP(2, 1/('OB History'!$B:$B=A47), 'OB History'!$AB:$AB)</f>
        <v>0.61799999999999999</v>
      </c>
      <c r="Q47" s="34">
        <f>SUMIFS('OB History'!H:H,'OB History'!B:B,'Old Bow v2'!A47)</f>
        <v>235</v>
      </c>
      <c r="R47" s="2">
        <f>SUMIFS('OB History'!G:G,'OB History'!B:B,'Old Bow v2'!A47)-Q47</f>
        <v>196</v>
      </c>
      <c r="S47" s="88">
        <f>LOOKUP(2, 1/('OB History'!$B:$B=A47), 'OB History'!$AC:$AC)</f>
        <v>0.55559999999999998</v>
      </c>
      <c r="T47" s="2">
        <f>COUNTIFS('OB History'!$B:$B,$A$47,'OB History'!K:K, 1)</f>
        <v>2</v>
      </c>
      <c r="U47" s="2">
        <f>COUNTIFS('OB History'!$B:$B,$A$47,'OB History'!L:L, 1)</f>
        <v>5</v>
      </c>
      <c r="V47" s="2">
        <f>COUNTIFS('OB History'!$B:$B,$A$47,'OB History'!M:M, 1)</f>
        <v>6</v>
      </c>
      <c r="W47" s="2">
        <f>COUNTIFS('OB History'!$B:$B,$A$47,'OB History'!N:N, 1)</f>
        <v>3</v>
      </c>
      <c r="X47" s="2">
        <f>COUNTIFS('OB History'!$B:$B,$A$47,'OB History'!O:O, 1)</f>
        <v>1</v>
      </c>
      <c r="Y47" s="2">
        <f>COUNTIFS('OB History'!$B:$B,$A$47,'OB History'!P:P, 1)</f>
        <v>8</v>
      </c>
      <c r="Z47" s="2">
        <f>COUNTIFS('OB History'!$B:$B,$A$47,'OB History'!Q:Q, 1)</f>
        <v>3</v>
      </c>
      <c r="AA47" s="2">
        <f>COUNTIFS('OB History'!$B:$B,$A$47,'OB History'!R:R, 1)</f>
        <v>2</v>
      </c>
      <c r="AB47" s="2">
        <f>COUNTIFS('OB History'!$B:$B,$A$47,'OB History'!S:S, 1)</f>
        <v>1</v>
      </c>
      <c r="AC47" s="2">
        <f>COUNTIFS('OB History'!$B:$B,$A$47,'OB History'!T:T, 1)</f>
        <v>2</v>
      </c>
      <c r="AD47" s="2">
        <f>COUNTIFS('OB History'!$B:$B,$A$47,'OB History'!U:U, 1)</f>
        <v>0</v>
      </c>
      <c r="AE47" s="2">
        <f>COUNTIFS('OB History'!$B:$B,$A$47,'OB History'!V:V, 1)</f>
        <v>1</v>
      </c>
      <c r="AF47" s="2">
        <f>COUNTIFS('OB History'!$B:$B,$A$47,'OB History'!W:W, 1)</f>
        <v>7</v>
      </c>
      <c r="AG47" s="2">
        <f>COUNTIFS('OB History'!$B:$B,$A$47,'OB History'!X:X, 1)</f>
        <v>7</v>
      </c>
      <c r="AH47" s="2">
        <f>COUNTIFS('OB History'!$B:$B,$A$47,'OB History'!Y:Y, 1)</f>
        <v>5</v>
      </c>
      <c r="AI47" s="2">
        <f>COUNTIFS('OB History'!$B:$B,$A$47,'OB History'!Z:Z, 1)</f>
        <v>8</v>
      </c>
    </row>
    <row r="48" spans="1:35" x14ac:dyDescent="0.25">
      <c r="A48" s="2" t="s">
        <v>18</v>
      </c>
      <c r="B48" s="6" t="s">
        <v>60</v>
      </c>
      <c r="C48" s="2" t="s">
        <v>79</v>
      </c>
      <c r="D48" s="3">
        <v>2</v>
      </c>
      <c r="E48" s="3">
        <v>3</v>
      </c>
      <c r="F48" s="3"/>
      <c r="G48" s="3">
        <v>1</v>
      </c>
      <c r="H48" s="34">
        <f>SUMIFS('OB History'!C:C,'OB History'!B:B,A48)</f>
        <v>745</v>
      </c>
      <c r="I48" s="4">
        <f>AVERAGEIFS('OB History'!C:C,'OB History'!B:B,A48)</f>
        <v>26.607142857142858</v>
      </c>
      <c r="J48" s="35">
        <f t="array" ref="J48">MAX(IF('OB History'!B:B=A48, 'OB History'!C:C))</f>
        <v>55</v>
      </c>
      <c r="K48" s="34">
        <f>COUNTIFS('OB History'!B:B,A48,'OB History'!D:D, 1)</f>
        <v>13</v>
      </c>
      <c r="L48" s="2">
        <f>COUNTIFS('OB History'!B:B,A48,'OB History'!D:D, 0)</f>
        <v>15</v>
      </c>
      <c r="M48" s="88">
        <f>LOOKUP(2, 1/('OB History'!$B:$B=A48), 'OB History'!$AD:$AD)</f>
        <v>0.4642857142857143</v>
      </c>
      <c r="N48" s="34">
        <f>SUMIFS('OB History'!F:F,'OB History'!B:B,A48)</f>
        <v>56</v>
      </c>
      <c r="O48" s="2">
        <f>SUMIFS('OB History'!E:E,'OB History'!B:B,A48)-N48</f>
        <v>61</v>
      </c>
      <c r="P48" s="88">
        <f>LOOKUP(2, 1/('OB History'!$B:$B=A48), 'OB History'!$AB:$AB)</f>
        <v>0.46964285714285714</v>
      </c>
      <c r="Q48" s="34">
        <f>SUMIFS('OB History'!H:H,'OB History'!B:B,'Old Bow v2'!A48)</f>
        <v>235</v>
      </c>
      <c r="R48" s="2">
        <f>SUMIFS('OB History'!G:G,'OB History'!B:B,'Old Bow v2'!A48)-Q48</f>
        <v>248</v>
      </c>
      <c r="S48" s="88">
        <f>LOOKUP(2, 1/('OB History'!$B:$B=A48), 'OB History'!$AC:$AC)</f>
        <v>0.48392857142857154</v>
      </c>
      <c r="T48" s="2">
        <f>COUNTIFS('OB History'!$B:$B,$A$48,'OB History'!K:K, 1)</f>
        <v>3</v>
      </c>
      <c r="U48" s="2">
        <f>COUNTIFS('OB History'!$B:$B,$A$48,'OB History'!L:L, 1)</f>
        <v>3</v>
      </c>
      <c r="V48" s="2">
        <f>COUNTIFS('OB History'!$B:$B,$A$48,'OB History'!M:M, 1)</f>
        <v>1</v>
      </c>
      <c r="W48" s="2">
        <f>COUNTIFS('OB History'!$B:$B,$A$48,'OB History'!N:N, 1)</f>
        <v>10</v>
      </c>
      <c r="X48" s="2">
        <f>COUNTIFS('OB History'!$B:$B,$A$48,'OB History'!O:O, 1)</f>
        <v>3</v>
      </c>
      <c r="Y48" s="2">
        <f>COUNTIFS('OB History'!$B:$B,$A$48,'OB History'!P:P, 1)</f>
        <v>7</v>
      </c>
      <c r="Z48" s="2">
        <f>COUNTIFS('OB History'!$B:$B,$A$48,'OB History'!Q:Q, 1)</f>
        <v>3</v>
      </c>
      <c r="AA48" s="2">
        <f>COUNTIFS('OB History'!$B:$B,$A$48,'OB History'!R:R, 1)</f>
        <v>2</v>
      </c>
      <c r="AB48" s="2">
        <f>COUNTIFS('OB History'!$B:$B,$A$48,'OB History'!S:S, 1)</f>
        <v>0</v>
      </c>
      <c r="AC48" s="2">
        <f>COUNTIFS('OB History'!$B:$B,$A$48,'OB History'!T:T, 1)</f>
        <v>1</v>
      </c>
      <c r="AD48" s="2">
        <f>COUNTIFS('OB History'!$B:$B,$A$48,'OB History'!U:U, 1)</f>
        <v>1</v>
      </c>
      <c r="AE48" s="2">
        <f>COUNTIFS('OB History'!$B:$B,$A$48,'OB History'!V:V, 1)</f>
        <v>0</v>
      </c>
      <c r="AF48" s="2">
        <f>COUNTIFS('OB History'!$B:$B,$A$48,'OB History'!W:W, 1)</f>
        <v>6</v>
      </c>
      <c r="AG48" s="2">
        <f>COUNTIFS('OB History'!$B:$B,$A$48,'OB History'!X:X, 1)</f>
        <v>7</v>
      </c>
      <c r="AH48" s="2">
        <f>COUNTIFS('OB History'!$B:$B,$A$48,'OB History'!Y:Y, 1)</f>
        <v>3</v>
      </c>
      <c r="AI48" s="2">
        <f>COUNTIFS('OB History'!$B:$B,$A$48,'OB History'!Z:Z, 1)</f>
        <v>6</v>
      </c>
    </row>
    <row r="49" spans="1:35" x14ac:dyDescent="0.25">
      <c r="A49" s="2" t="s">
        <v>113</v>
      </c>
      <c r="B49" s="2" t="s">
        <v>79</v>
      </c>
      <c r="C49" s="2" t="s">
        <v>79</v>
      </c>
      <c r="D49" s="3">
        <v>1</v>
      </c>
      <c r="E49" s="3"/>
      <c r="F49" s="3"/>
      <c r="G49" s="3"/>
      <c r="H49" s="34">
        <f>SUMIFS('OB History'!C:C,'OB History'!B:B,A49)</f>
        <v>192</v>
      </c>
      <c r="I49" s="4">
        <f>AVERAGEIFS('OB History'!C:C,'OB History'!B:B,A49)</f>
        <v>19.2</v>
      </c>
      <c r="J49" s="35">
        <f t="array" ref="J49">MAX(IF('OB History'!B:B=A49, 'OB History'!C:C))</f>
        <v>49</v>
      </c>
      <c r="K49" s="34">
        <f>COUNTIFS('OB History'!B:B,A49,'OB History'!D:D, 1)</f>
        <v>7</v>
      </c>
      <c r="L49" s="2">
        <f>COUNTIFS('OB History'!B:B,A49,'OB History'!D:D, 0)</f>
        <v>3</v>
      </c>
      <c r="M49" s="88">
        <f>LOOKUP(2, 1/('OB History'!$B:$B=A49), 'OB History'!$AD:$AD)</f>
        <v>0.7</v>
      </c>
      <c r="N49" s="34">
        <f>SUMIFS('OB History'!F:F,'OB History'!B:B,A49)</f>
        <v>23</v>
      </c>
      <c r="O49" s="2">
        <f>SUMIFS('OB History'!E:E,'OB History'!B:B,A49)-N49</f>
        <v>15</v>
      </c>
      <c r="P49" s="88">
        <f>LOOKUP(2, 1/('OB History'!$B:$B=A49), 'OB History'!$AB:$AB)</f>
        <v>0.6100000000000001</v>
      </c>
      <c r="Q49" s="34">
        <f>SUMIFS('OB History'!H:H,'OB History'!B:B,'Old Bow v2'!A49)</f>
        <v>85</v>
      </c>
      <c r="R49" s="2">
        <f>SUMIFS('OB History'!G:G,'OB History'!B:B,'Old Bow v2'!A49)-Q49</f>
        <v>73</v>
      </c>
      <c r="S49" s="88">
        <f>LOOKUP(2, 1/('OB History'!$B:$B=A49), 'OB History'!$AC:$AC)</f>
        <v>0.53299999999999992</v>
      </c>
      <c r="T49" s="2">
        <f>COUNTIFS('OB History'!$B:$B,$A$49,'OB History'!K:K, 1)</f>
        <v>0</v>
      </c>
      <c r="U49" s="2">
        <f>COUNTIFS('OB History'!$B:$B,$A$49,'OB History'!L:L, 1)</f>
        <v>4</v>
      </c>
      <c r="V49" s="2">
        <f>COUNTIFS('OB History'!$B:$B,$A$49,'OB History'!M:M, 1)</f>
        <v>1</v>
      </c>
      <c r="W49" s="2">
        <f>COUNTIFS('OB History'!$B:$B,$A$49,'OB History'!N:N, 1)</f>
        <v>2</v>
      </c>
      <c r="X49" s="2">
        <f>COUNTIFS('OB History'!$B:$B,$A$49,'OB History'!O:O, 1)</f>
        <v>0</v>
      </c>
      <c r="Y49" s="2">
        <f>COUNTIFS('OB History'!$B:$B,$A$49,'OB History'!P:P, 1)</f>
        <v>1</v>
      </c>
      <c r="Z49" s="2">
        <f>COUNTIFS('OB History'!$B:$B,$A$49,'OB History'!Q:Q, 1)</f>
        <v>2</v>
      </c>
      <c r="AA49" s="2">
        <f>COUNTIFS('OB History'!$B:$B,$A$49,'OB History'!R:R, 1)</f>
        <v>1</v>
      </c>
      <c r="AB49" s="2">
        <f>COUNTIFS('OB History'!$B:$B,$A$49,'OB History'!S:S, 1)</f>
        <v>0</v>
      </c>
      <c r="AC49" s="2">
        <f>COUNTIFS('OB History'!$B:$B,$A$49,'OB History'!T:T, 1)</f>
        <v>0</v>
      </c>
      <c r="AD49" s="2">
        <f>COUNTIFS('OB History'!$B:$B,$A$49,'OB History'!U:U, 1)</f>
        <v>0</v>
      </c>
      <c r="AE49" s="2">
        <f>COUNTIFS('OB History'!$B:$B,$A$49,'OB History'!V:V, 1)</f>
        <v>1</v>
      </c>
      <c r="AF49" s="2">
        <f>COUNTIFS('OB History'!$B:$B,$A$49,'OB History'!W:W, 1)</f>
        <v>2</v>
      </c>
      <c r="AG49" s="2">
        <f>COUNTIFS('OB History'!$B:$B,$A$49,'OB History'!X:X, 1)</f>
        <v>4</v>
      </c>
      <c r="AH49" s="2">
        <f>COUNTIFS('OB History'!$B:$B,$A$49,'OB History'!Y:Y, 1)</f>
        <v>2</v>
      </c>
      <c r="AI49" s="2">
        <f>COUNTIFS('OB History'!$B:$B,$A$49,'OB History'!Z:Z, 1)</f>
        <v>3</v>
      </c>
    </row>
    <row r="50" spans="1:35" x14ac:dyDescent="0.25">
      <c r="A50" s="2" t="s">
        <v>170</v>
      </c>
      <c r="B50" s="2" t="s">
        <v>79</v>
      </c>
      <c r="C50" s="2" t="s">
        <v>79</v>
      </c>
      <c r="D50" s="3"/>
      <c r="E50" s="3"/>
      <c r="F50" s="3"/>
      <c r="G50" s="3"/>
      <c r="H50" s="34">
        <f>SUMIFS('OB History'!C:C,'OB History'!B:B,A50)</f>
        <v>2</v>
      </c>
      <c r="I50" s="4">
        <f>AVERAGEIFS('OB History'!C:C,'OB History'!B:B,A50)</f>
        <v>2</v>
      </c>
      <c r="J50" s="35">
        <f t="array" ref="J50">MAX(IF('OB History'!B:B=A50, 'OB History'!C:C))</f>
        <v>2</v>
      </c>
      <c r="K50" s="34">
        <f>COUNTIFS('OB History'!B:B,A50,'OB History'!D:D, 1)</f>
        <v>0</v>
      </c>
      <c r="L50" s="2">
        <f>COUNTIFS('OB History'!B:B,A50,'OB History'!D:D, 0)</f>
        <v>1</v>
      </c>
      <c r="M50" s="88">
        <f>LOOKUP(2, 1/('OB History'!$B:$B=A50), 'OB History'!$AD:$AD)</f>
        <v>0</v>
      </c>
      <c r="N50" s="34">
        <f>SUMIFS('OB History'!F:F,'OB History'!B:B,A50)</f>
        <v>2</v>
      </c>
      <c r="O50" s="2">
        <f>SUMIFS('OB History'!E:E,'OB History'!B:B,A50)-N50</f>
        <v>3</v>
      </c>
      <c r="P50" s="88">
        <f>LOOKUP(2, 1/('OB History'!$B:$B=A50), 'OB History'!$AB:$AB)</f>
        <v>0.4</v>
      </c>
      <c r="Q50" s="34">
        <f>SUMIFS('OB History'!H:H,'OB History'!B:B,'Old Bow v2'!A50)</f>
        <v>6</v>
      </c>
      <c r="R50" s="2">
        <f>SUMIFS('OB History'!G:G,'OB History'!B:B,'Old Bow v2'!A50)-Q50</f>
        <v>14</v>
      </c>
      <c r="S50" s="88">
        <f>LOOKUP(2, 1/('OB History'!$B:$B=A50), 'OB History'!$AC:$AC)</f>
        <v>0.3</v>
      </c>
      <c r="T50" s="2">
        <f>COUNTIFS('OB History'!$B:$B,$A$50,'OB History'!K:K, 1)</f>
        <v>0</v>
      </c>
      <c r="U50" s="2">
        <f>COUNTIFS('OB History'!$B:$B,$A$50,'OB History'!L:L, 1)</f>
        <v>0</v>
      </c>
      <c r="V50" s="2">
        <f>COUNTIFS('OB History'!$B:$B,$A$50,'OB History'!M:M, 1)</f>
        <v>0</v>
      </c>
      <c r="W50" s="2">
        <f>COUNTIFS('OB History'!$B:$B,$A$50,'OB History'!N:N, 1)</f>
        <v>0</v>
      </c>
      <c r="X50" s="2">
        <f>COUNTIFS('OB History'!$B:$B,$A$50,'OB History'!O:O, 1)</f>
        <v>0</v>
      </c>
      <c r="Y50" s="2">
        <f>COUNTIFS('OB History'!$B:$B,$A$50,'OB History'!P:P, 1)</f>
        <v>0</v>
      </c>
      <c r="Z50" s="2">
        <f>COUNTIFS('OB History'!$B:$B,$A$50,'OB History'!Q:Q, 1)</f>
        <v>0</v>
      </c>
      <c r="AA50" s="2">
        <f>COUNTIFS('OB History'!$B:$B,$A$50,'OB History'!R:R, 1)</f>
        <v>0</v>
      </c>
      <c r="AB50" s="2">
        <f>COUNTIFS('OB History'!$B:$B,$A$50,'OB History'!S:S, 1)</f>
        <v>0</v>
      </c>
      <c r="AC50" s="2">
        <f>COUNTIFS('OB History'!$B:$B,$A$50,'OB History'!T:T, 1)</f>
        <v>0</v>
      </c>
      <c r="AD50" s="2">
        <f>COUNTIFS('OB History'!$B:$B,$A$50,'OB History'!U:U, 1)</f>
        <v>0</v>
      </c>
      <c r="AE50" s="2">
        <f>COUNTIFS('OB History'!$B:$B,$A$50,'OB History'!V:V, 1)</f>
        <v>0</v>
      </c>
      <c r="AF50" s="2">
        <f>COUNTIFS('OB History'!$B:$B,$A$50,'OB History'!W:W, 1)</f>
        <v>1</v>
      </c>
      <c r="AG50" s="2">
        <f>COUNTIFS('OB History'!$B:$B,$A$50,'OB History'!X:X, 1)</f>
        <v>0</v>
      </c>
      <c r="AH50" s="2">
        <f>COUNTIFS('OB History'!$B:$B,$A$50,'OB History'!Y:Y, 1)</f>
        <v>1</v>
      </c>
      <c r="AI50" s="2">
        <f>COUNTIFS('OB History'!$B:$B,$A$50,'OB History'!Z:Z, 1)</f>
        <v>0</v>
      </c>
    </row>
    <row r="51" spans="1:35" x14ac:dyDescent="0.25">
      <c r="A51" s="2" t="s">
        <v>14</v>
      </c>
      <c r="B51" s="6" t="s">
        <v>124</v>
      </c>
      <c r="C51" s="1" t="s">
        <v>160</v>
      </c>
      <c r="D51" s="3">
        <v>4</v>
      </c>
      <c r="E51" s="3">
        <v>1</v>
      </c>
      <c r="F51" s="3"/>
      <c r="G51" s="3"/>
      <c r="H51" s="34">
        <f>SUMIFS('OB History'!C:C,'OB History'!B:B,A51)</f>
        <v>1062</v>
      </c>
      <c r="I51" s="4">
        <f>AVERAGEIFS('OB History'!C:C,'OB History'!B:B,A51)</f>
        <v>24.697674418604652</v>
      </c>
      <c r="J51" s="35">
        <f t="array" ref="J51">MAX(IF('OB History'!B:B=A51, 'OB History'!C:C))</f>
        <v>56</v>
      </c>
      <c r="K51" s="34">
        <f>COUNTIFS('OB History'!B:B,A51,'OB History'!D:D, 1)</f>
        <v>20</v>
      </c>
      <c r="L51" s="2">
        <f>COUNTIFS('OB History'!B:B,A51,'OB History'!D:D, 0)</f>
        <v>23</v>
      </c>
      <c r="M51" s="88">
        <f>LOOKUP(2, 1/('OB History'!$B:$B=A51), 'OB History'!$AD:$AD)</f>
        <v>0.46511627906976744</v>
      </c>
      <c r="N51" s="34">
        <f>SUMIFS('OB History'!F:F,'OB History'!B:B,A51)</f>
        <v>84</v>
      </c>
      <c r="O51" s="2">
        <f>SUMIFS('OB History'!E:E,'OB History'!B:B,A51)-N51</f>
        <v>93</v>
      </c>
      <c r="P51" s="88">
        <f>LOOKUP(2, 1/('OB History'!$B:$B=A51), 'OB History'!$AB:$AB)</f>
        <v>0.47441860465116276</v>
      </c>
      <c r="Q51" s="34">
        <f>SUMIFS('OB History'!H:H,'OB History'!B:B,'Old Bow v2'!A51)</f>
        <v>352</v>
      </c>
      <c r="R51" s="2">
        <f>SUMIFS('OB History'!G:G,'OB History'!B:B,'Old Bow v2'!A51)-Q51</f>
        <v>382</v>
      </c>
      <c r="S51" s="88">
        <f>LOOKUP(2, 1/('OB History'!$B:$B=A51), 'OB History'!$AC:$AC)</f>
        <v>0.48511627906976751</v>
      </c>
      <c r="T51" s="2">
        <f>COUNTIFS('OB History'!$B:$B,$A$51,'OB History'!K:K, 1)</f>
        <v>4</v>
      </c>
      <c r="U51" s="2">
        <f>COUNTIFS('OB History'!$B:$B,$A$51,'OB History'!L:L, 1)</f>
        <v>9</v>
      </c>
      <c r="V51" s="2">
        <f>COUNTIFS('OB History'!$B:$B,$A$51,'OB History'!M:M, 1)</f>
        <v>4</v>
      </c>
      <c r="W51" s="2">
        <f>COUNTIFS('OB History'!$B:$B,$A$51,'OB History'!N:N, 1)</f>
        <v>8</v>
      </c>
      <c r="X51" s="2">
        <f>COUNTIFS('OB History'!$B:$B,$A$51,'OB History'!O:O, 1)</f>
        <v>3</v>
      </c>
      <c r="Y51" s="2">
        <f>COUNTIFS('OB History'!$B:$B,$A$51,'OB History'!P:P, 1)</f>
        <v>6</v>
      </c>
      <c r="Z51" s="2">
        <f>COUNTIFS('OB History'!$B:$B,$A$51,'OB History'!Q:Q, 1)</f>
        <v>1</v>
      </c>
      <c r="AA51" s="2">
        <f>COUNTIFS('OB History'!$B:$B,$A$51,'OB History'!R:R, 1)</f>
        <v>1</v>
      </c>
      <c r="AB51" s="2">
        <f>COUNTIFS('OB History'!$B:$B,$A$51,'OB History'!S:S, 1)</f>
        <v>1</v>
      </c>
      <c r="AC51" s="2">
        <f>COUNTIFS('OB History'!$B:$B,$A$51,'OB History'!T:T, 1)</f>
        <v>0</v>
      </c>
      <c r="AD51" s="2">
        <f>COUNTIFS('OB History'!$B:$B,$A$51,'OB History'!U:U, 1)</f>
        <v>0</v>
      </c>
      <c r="AE51" s="2">
        <f>COUNTIFS('OB History'!$B:$B,$A$51,'OB History'!V:V, 1)</f>
        <v>3</v>
      </c>
      <c r="AF51" s="2">
        <f>COUNTIFS('OB History'!$B:$B,$A$51,'OB History'!W:W, 1)</f>
        <v>9</v>
      </c>
      <c r="AG51" s="2">
        <f>COUNTIFS('OB History'!$B:$B,$A$51,'OB History'!X:X, 1)</f>
        <v>21</v>
      </c>
      <c r="AH51" s="2">
        <f>COUNTIFS('OB History'!$B:$B,$A$51,'OB History'!Y:Y, 1)</f>
        <v>4</v>
      </c>
      <c r="AI51" s="2">
        <f>COUNTIFS('OB History'!$B:$B,$A$51,'OB History'!Z:Z, 1)</f>
        <v>10</v>
      </c>
    </row>
    <row r="52" spans="1:35" x14ac:dyDescent="0.25">
      <c r="A52" s="2" t="s">
        <v>70</v>
      </c>
      <c r="B52" s="6" t="s">
        <v>79</v>
      </c>
      <c r="C52" s="6" t="s">
        <v>79</v>
      </c>
      <c r="D52" s="3"/>
      <c r="E52" s="3"/>
      <c r="F52" s="3"/>
      <c r="G52" s="3"/>
      <c r="H52" s="34">
        <f>SUMIFS('OB History'!C:C,'OB History'!B:B,A52)</f>
        <v>99</v>
      </c>
      <c r="I52" s="4">
        <f>AVERAGEIFS('OB History'!C:C,'OB History'!B:B,A52)</f>
        <v>19.8</v>
      </c>
      <c r="J52" s="35">
        <f t="array" ref="J52">MAX(IF('OB History'!B:B=A52, 'OB History'!C:C))</f>
        <v>27</v>
      </c>
      <c r="K52" s="34">
        <f>COUNTIFS('OB History'!B:B,A52,'OB History'!D:D, 1)</f>
        <v>3</v>
      </c>
      <c r="L52" s="2">
        <f>COUNTIFS('OB History'!B:B,A52,'OB History'!D:D, 0)</f>
        <v>2</v>
      </c>
      <c r="M52" s="88">
        <f>LOOKUP(2, 1/('OB History'!$B:$B=A52), 'OB History'!$AD:$AD)</f>
        <v>0.6</v>
      </c>
      <c r="N52" s="34">
        <f>SUMIFS('OB History'!F:F,'OB History'!B:B,A52)</f>
        <v>13</v>
      </c>
      <c r="O52" s="2">
        <f>SUMIFS('OB History'!E:E,'OB History'!B:B,A52)-N52</f>
        <v>10</v>
      </c>
      <c r="P52" s="88">
        <f>LOOKUP(2, 1/('OB History'!$B:$B=A52), 'OB History'!$AB:$AB)</f>
        <v>0.6</v>
      </c>
      <c r="Q52" s="34">
        <f>SUMIFS('OB History'!H:H,'OB History'!B:B,'Old Bow v2'!A52)</f>
        <v>51</v>
      </c>
      <c r="R52" s="2">
        <f>SUMIFS('OB History'!G:G,'OB History'!B:B,'Old Bow v2'!A52)-Q52</f>
        <v>46</v>
      </c>
      <c r="S52" s="88">
        <f>LOOKUP(2, 1/('OB History'!$B:$B=A52), 'OB History'!$AC:$AC)</f>
        <v>0.53600000000000003</v>
      </c>
      <c r="T52" s="2">
        <f>COUNTIFS('OB History'!$B:$B,$A$52,'OB History'!K:K, 1)</f>
        <v>1</v>
      </c>
      <c r="U52" s="2">
        <f>COUNTIFS('OB History'!$B:$B,$A$52,'OB History'!L:L, 1)</f>
        <v>0</v>
      </c>
      <c r="V52" s="2">
        <f>COUNTIFS('OB History'!$B:$B,$A$52,'OB History'!M:M, 1)</f>
        <v>0</v>
      </c>
      <c r="W52" s="2">
        <f>COUNTIFS('OB History'!$B:$B,$A$52,'OB History'!N:N, 1)</f>
        <v>2</v>
      </c>
      <c r="X52" s="2">
        <f>COUNTIFS('OB History'!$B:$B,$A$52,'OB History'!O:O, 1)</f>
        <v>1</v>
      </c>
      <c r="Y52" s="2">
        <f>COUNTIFS('OB History'!$B:$B,$A$52,'OB History'!P:P, 1)</f>
        <v>0</v>
      </c>
      <c r="Z52" s="2">
        <f>COUNTIFS('OB History'!$B:$B,$A$52,'OB History'!Q:Q, 1)</f>
        <v>0</v>
      </c>
      <c r="AA52" s="2">
        <f>COUNTIFS('OB History'!$B:$B,$A$52,'OB History'!R:R, 1)</f>
        <v>2</v>
      </c>
      <c r="AB52" s="2">
        <f>COUNTIFS('OB History'!$B:$B,$A$52,'OB History'!S:S, 1)</f>
        <v>0</v>
      </c>
      <c r="AC52" s="2">
        <f>COUNTIFS('OB History'!$B:$B,$A$52,'OB History'!T:T, 1)</f>
        <v>0</v>
      </c>
      <c r="AD52" s="2">
        <f>COUNTIFS('OB History'!$B:$B,$A$52,'OB History'!U:U, 1)</f>
        <v>0</v>
      </c>
      <c r="AE52" s="2">
        <f>COUNTIFS('OB History'!$B:$B,$A$52,'OB History'!V:V, 1)</f>
        <v>1</v>
      </c>
      <c r="AF52" s="2">
        <f>COUNTIFS('OB History'!$B:$B,$A$52,'OB History'!W:W, 1)</f>
        <v>0</v>
      </c>
      <c r="AG52" s="2">
        <f>COUNTIFS('OB History'!$B:$B,$A$52,'OB History'!X:X, 1)</f>
        <v>4</v>
      </c>
      <c r="AH52" s="2">
        <f>COUNTIFS('OB History'!$B:$B,$A$52,'OB History'!Y:Y, 1)</f>
        <v>0</v>
      </c>
      <c r="AI52" s="2">
        <f>COUNTIFS('OB History'!$B:$B,$A$52,'OB History'!Z:Z, 1)</f>
        <v>2</v>
      </c>
    </row>
    <row r="53" spans="1:35" x14ac:dyDescent="0.25">
      <c r="A53" s="2" t="s">
        <v>4</v>
      </c>
      <c r="B53" s="6" t="s">
        <v>60</v>
      </c>
      <c r="C53" s="2" t="s">
        <v>79</v>
      </c>
      <c r="D53" s="3">
        <v>2</v>
      </c>
      <c r="E53" s="3"/>
      <c r="F53" s="3"/>
      <c r="G53" s="3"/>
      <c r="H53" s="34">
        <f>SUMIFS('OB History'!C:C,'OB History'!B:B,A53)</f>
        <v>252</v>
      </c>
      <c r="I53" s="4">
        <f>AVERAGEIFS('OB History'!C:C,'OB History'!B:B,A53)</f>
        <v>22.90909090909091</v>
      </c>
      <c r="J53" s="35">
        <f t="array" ref="J53">MAX(IF('OB History'!B:B=A53, 'OB History'!C:C))</f>
        <v>46</v>
      </c>
      <c r="K53" s="34">
        <f>COUNTIFS('OB History'!B:B,A53,'OB History'!D:D, 1)</f>
        <v>6</v>
      </c>
      <c r="L53" s="2">
        <f>COUNTIFS('OB History'!B:B,A53,'OB History'!D:D, 0)</f>
        <v>5</v>
      </c>
      <c r="M53" s="88">
        <f>LOOKUP(2, 1/('OB History'!$B:$B=A53), 'OB History'!$AD:$AD)</f>
        <v>0.54545454545454541</v>
      </c>
      <c r="N53" s="34">
        <f>SUMIFS('OB History'!F:F,'OB History'!B:B,A53)</f>
        <v>21</v>
      </c>
      <c r="O53" s="2">
        <f>SUMIFS('OB History'!E:E,'OB History'!B:B,A53)-N53</f>
        <v>24</v>
      </c>
      <c r="P53" s="88">
        <f>LOOKUP(2, 1/('OB History'!$B:$B=A53), 'OB History'!$AB:$AB)</f>
        <v>0.43636363636363634</v>
      </c>
      <c r="Q53" s="34">
        <f>SUMIFS('OB History'!H:H,'OB History'!B:B,'Old Bow v2'!A53)</f>
        <v>90</v>
      </c>
      <c r="R53" s="2">
        <f>SUMIFS('OB History'!G:G,'OB History'!B:B,'Old Bow v2'!A53)-Q53</f>
        <v>94</v>
      </c>
      <c r="S53" s="88">
        <f>LOOKUP(2, 1/('OB History'!$B:$B=A53), 'OB History'!$AC:$AC)</f>
        <v>0.4681818181818182</v>
      </c>
      <c r="T53" s="2">
        <f>COUNTIFS('OB History'!$B:$B,$A$53,'OB History'!K:K, 1)</f>
        <v>1</v>
      </c>
      <c r="U53" s="2">
        <f>COUNTIFS('OB History'!$B:$B,$A$53,'OB History'!L:L, 1)</f>
        <v>5</v>
      </c>
      <c r="V53" s="2">
        <f>COUNTIFS('OB History'!$B:$B,$A$53,'OB History'!M:M, 1)</f>
        <v>3</v>
      </c>
      <c r="W53" s="2">
        <f>COUNTIFS('OB History'!$B:$B,$A$53,'OB History'!N:N, 1)</f>
        <v>1</v>
      </c>
      <c r="X53" s="2">
        <f>COUNTIFS('OB History'!$B:$B,$A$53,'OB History'!O:O, 1)</f>
        <v>3</v>
      </c>
      <c r="Y53" s="2">
        <f>COUNTIFS('OB History'!$B:$B,$A$53,'OB History'!P:P, 1)</f>
        <v>3</v>
      </c>
      <c r="Z53" s="2">
        <f>COUNTIFS('OB History'!$B:$B,$A$53,'OB History'!Q:Q, 1)</f>
        <v>1</v>
      </c>
      <c r="AA53" s="2">
        <f>COUNTIFS('OB History'!$B:$B,$A$53,'OB History'!R:R, 1)</f>
        <v>0</v>
      </c>
      <c r="AB53" s="2">
        <f>COUNTIFS('OB History'!$B:$B,$A$53,'OB History'!S:S, 1)</f>
        <v>0</v>
      </c>
      <c r="AC53" s="2">
        <f>COUNTIFS('OB History'!$B:$B,$A$53,'OB History'!T:T, 1)</f>
        <v>0</v>
      </c>
      <c r="AD53" s="2">
        <f>COUNTIFS('OB History'!$B:$B,$A$53,'OB History'!U:U, 1)</f>
        <v>0</v>
      </c>
      <c r="AE53" s="2">
        <f>COUNTIFS('OB History'!$B:$B,$A$53,'OB History'!V:V, 1)</f>
        <v>0</v>
      </c>
      <c r="AF53" s="2">
        <f>COUNTIFS('OB History'!$B:$B,$A$53,'OB History'!W:W, 1)</f>
        <v>0</v>
      </c>
      <c r="AG53" s="2">
        <f>COUNTIFS('OB History'!$B:$B,$A$53,'OB History'!X:X, 1)</f>
        <v>1</v>
      </c>
      <c r="AH53" s="2">
        <f>COUNTIFS('OB History'!$B:$B,$A$53,'OB History'!Y:Y, 1)</f>
        <v>2</v>
      </c>
      <c r="AI53" s="2">
        <f>COUNTIFS('OB History'!$B:$B,$A$53,'OB History'!Z:Z, 1)</f>
        <v>1</v>
      </c>
    </row>
    <row r="54" spans="1:35" x14ac:dyDescent="0.25">
      <c r="A54" s="2" t="s">
        <v>55</v>
      </c>
      <c r="B54" s="2" t="s">
        <v>79</v>
      </c>
      <c r="C54" s="2" t="s">
        <v>79</v>
      </c>
      <c r="D54" s="3"/>
      <c r="E54" s="3"/>
      <c r="F54" s="3"/>
      <c r="G54" s="3"/>
      <c r="H54" s="34">
        <f>SUMIFS('OB History'!C:C,'OB History'!B:B,A54)</f>
        <v>139</v>
      </c>
      <c r="I54" s="4">
        <f>AVERAGEIFS('OB History'!C:C,'OB History'!B:B,A54)</f>
        <v>9.9285714285714288</v>
      </c>
      <c r="J54" s="35">
        <f t="array" ref="J54">MAX(IF('OB History'!B:B=A54, 'OB History'!C:C))</f>
        <v>20</v>
      </c>
      <c r="K54" s="34">
        <f>COUNTIFS('OB History'!B:B,A54,'OB History'!D:D, 1)</f>
        <v>8</v>
      </c>
      <c r="L54" s="2">
        <f>COUNTIFS('OB History'!B:B,A54,'OB History'!D:D, 0)</f>
        <v>6</v>
      </c>
      <c r="M54" s="88">
        <f>LOOKUP(2, 1/('OB History'!$B:$B=A54), 'OB History'!$AD:$AD)</f>
        <v>0.5714285714285714</v>
      </c>
      <c r="N54" s="34">
        <f>SUMIFS('OB History'!F:F,'OB History'!B:B,A54)</f>
        <v>32</v>
      </c>
      <c r="O54" s="2">
        <f>SUMIFS('OB History'!E:E,'OB History'!B:B,A54)-N54</f>
        <v>26</v>
      </c>
      <c r="P54" s="88">
        <f>LOOKUP(2, 1/('OB History'!$B:$B=A54), 'OB History'!$AB:$AB)</f>
        <v>0.5714285714285714</v>
      </c>
      <c r="Q54" s="34">
        <f>SUMIFS('OB History'!H:H,'OB History'!B:B,'Old Bow v2'!A54)</f>
        <v>126</v>
      </c>
      <c r="R54" s="2">
        <f>SUMIFS('OB History'!G:G,'OB History'!B:B,'Old Bow v2'!A54)-Q54</f>
        <v>108</v>
      </c>
      <c r="S54" s="88">
        <f>LOOKUP(2, 1/('OB History'!$B:$B=A54), 'OB History'!$AC:$AC)</f>
        <v>0.54357142857142871</v>
      </c>
      <c r="T54" s="2">
        <f>COUNTIFS('OB History'!$B:$B,$A$54,'OB History'!K:K, 1)</f>
        <v>3</v>
      </c>
      <c r="U54" s="2">
        <f>COUNTIFS('OB History'!$B:$B,$A$54,'OB History'!L:L, 1)</f>
        <v>1</v>
      </c>
      <c r="V54" s="2">
        <f>COUNTIFS('OB History'!$B:$B,$A$54,'OB History'!M:M, 1)</f>
        <v>1</v>
      </c>
      <c r="W54" s="2">
        <f>COUNTIFS('OB History'!$B:$B,$A$54,'OB History'!N:N, 1)</f>
        <v>6</v>
      </c>
      <c r="X54" s="2">
        <f>COUNTIFS('OB History'!$B:$B,$A$54,'OB History'!O:O, 1)</f>
        <v>1</v>
      </c>
      <c r="Y54" s="2">
        <f>COUNTIFS('OB History'!$B:$B,$A$54,'OB History'!P:P, 1)</f>
        <v>1</v>
      </c>
      <c r="Z54" s="2">
        <f>COUNTIFS('OB History'!$B:$B,$A$54,'OB History'!Q:Q, 1)</f>
        <v>1</v>
      </c>
      <c r="AA54" s="2">
        <f>COUNTIFS('OB History'!$B:$B,$A$54,'OB History'!R:R, 1)</f>
        <v>0</v>
      </c>
      <c r="AB54" s="2">
        <f>COUNTIFS('OB History'!$B:$B,$A$54,'OB History'!S:S, 1)</f>
        <v>0</v>
      </c>
      <c r="AC54" s="2">
        <f>COUNTIFS('OB History'!$B:$B,$A$54,'OB History'!T:T, 1)</f>
        <v>0</v>
      </c>
      <c r="AD54" s="2">
        <f>COUNTIFS('OB History'!$B:$B,$A$54,'OB History'!U:U, 1)</f>
        <v>1</v>
      </c>
      <c r="AE54" s="2">
        <f>COUNTIFS('OB History'!$B:$B,$A$54,'OB History'!V:V, 1)</f>
        <v>0</v>
      </c>
      <c r="AF54" s="2">
        <f>COUNTIFS('OB History'!$B:$B,$A$54,'OB History'!W:W, 1)</f>
        <v>3</v>
      </c>
      <c r="AG54" s="2">
        <f>COUNTIFS('OB History'!$B:$B,$A$54,'OB History'!X:X, 1)</f>
        <v>8</v>
      </c>
      <c r="AH54" s="2">
        <f>COUNTIFS('OB History'!$B:$B,$A$54,'OB History'!Y:Y, 1)</f>
        <v>3</v>
      </c>
      <c r="AI54" s="2">
        <f>COUNTIFS('OB History'!$B:$B,$A$54,'OB History'!Z:Z, 1)</f>
        <v>3</v>
      </c>
    </row>
  </sheetData>
  <autoFilter ref="A1:AI54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826"/>
  <sheetViews>
    <sheetView workbookViewId="0">
      <pane ySplit="1" topLeftCell="A780" activePane="bottomLeft" state="frozen"/>
      <selection pane="bottomLeft" activeCell="A817" sqref="A817:Z82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167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18</v>
      </c>
      <c r="AB736" s="86">
        <f>AVERAGEIFS($I$2:I736, $B$2:B736, B736)</f>
        <v>0</v>
      </c>
      <c r="AC736" s="86">
        <f>AVERAGEIFS($J$2:J736, $B$2:B736, B736)</f>
        <v>0.31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167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14.5</v>
      </c>
      <c r="AB751" s="86">
        <f>AVERAGEIFS($I$2:I751, $B$2:B751, B751)</f>
        <v>0</v>
      </c>
      <c r="AC751" s="86">
        <f>AVERAGEIFS($J$2:J751, $B$2:B751, B751)</f>
        <v>0.28000000000000003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169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170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</sheetData>
  <autoFilter ref="A1:AD77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1" sqref="C3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171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169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74</v>
      </c>
      <c r="I3" s="4">
        <f>AVERAGEIFS('OB History S2'!C:C,'OB History S2'!B:B,A3)</f>
        <v>10.571428571428571</v>
      </c>
      <c r="J3" s="35">
        <f t="array" ref="J3">MAX(IF('OB History S2'!B:B=A3, 'OB History S2'!C:C))</f>
        <v>22</v>
      </c>
      <c r="K3" s="34">
        <f>COUNTIFS('OB History S2'!B:B,A3,'OB History S2'!D:D, 1)</f>
        <v>5</v>
      </c>
      <c r="L3" s="2">
        <f>COUNTIFS('OB History S2'!B:B,A3,'OB History S2'!D:D, 0)</f>
        <v>2</v>
      </c>
      <c r="M3" s="88">
        <f>LOOKUP(2, 1/('OB History S2'!$B:$B=A3), 'OB History S2'!$AD:$AD)</f>
        <v>0.7142857142857143</v>
      </c>
      <c r="N3" s="34">
        <f>SUMIFS('OB History S2'!F:F,'OB History S2'!B:B,A3)</f>
        <v>17</v>
      </c>
      <c r="O3" s="2">
        <f>SUMIFS('OB History S2'!E:E,'OB History S2'!B:B,A3)-N3</f>
        <v>10</v>
      </c>
      <c r="P3" s="88">
        <f>LOOKUP(2, 1/('OB History S2'!$B:$B=A3), 'OB History S2'!$AB:$AB)</f>
        <v>0.6428571428571429</v>
      </c>
      <c r="Q3" s="34">
        <f>SUMIFS('OB History S2'!H:H,'OB History S2'!B:B,A3)</f>
        <v>63</v>
      </c>
      <c r="R3" s="2">
        <f>SUMIFS('OB History S2'!G:G,'OB History S2'!B:B,A3)-Q3</f>
        <v>48</v>
      </c>
      <c r="S3" s="88">
        <f>LOOKUP(2, 1/('OB History S2'!$B:$B=A3), 'OB History S2'!$AC:$AC)</f>
        <v>0.58714285714285719</v>
      </c>
      <c r="T3" s="2">
        <f>COUNTIFS('OB History S2'!$B:$B,$A$3,'OB History S2'!K:K, 1)</f>
        <v>1</v>
      </c>
      <c r="U3" s="2">
        <f>COUNTIFS('OB History S2'!$B:$B,$A$3,'OB History S2'!L:L, 1)</f>
        <v>2</v>
      </c>
      <c r="V3" s="2">
        <f>COUNTIFS('OB History S2'!$B:$B,$A$3,'OB History S2'!M:M, 1)</f>
        <v>0</v>
      </c>
      <c r="W3" s="2">
        <f>COUNTIFS('OB History S2'!$B:$B,$A$3,'OB History S2'!N:N, 1)</f>
        <v>2</v>
      </c>
      <c r="X3" s="2">
        <f>COUNTIFS('OB History S2'!$B:$B,$A$3,'OB History S2'!O:O, 1)</f>
        <v>0</v>
      </c>
      <c r="Y3" s="2">
        <f>COUNTIFS('OB History S2'!$B:$B,$A$3,'OB History S2'!P:P, 1)</f>
        <v>1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2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37</v>
      </c>
      <c r="I4" s="4">
        <f>AVERAGEIFS('OB History S2'!C:C,'OB History S2'!B:B,A4)</f>
        <v>6.166666666666667</v>
      </c>
      <c r="J4" s="35">
        <f t="array" ref="J4">MAX(IF('OB History S2'!B:B=A4, 'OB History S2'!C:C))</f>
        <v>14</v>
      </c>
      <c r="K4" s="34">
        <f>COUNTIFS('OB History S2'!B:B,A4,'OB History S2'!D:D, 1)</f>
        <v>3</v>
      </c>
      <c r="L4" s="2">
        <f>COUNTIFS('OB History S2'!B:B,A4,'OB History S2'!D:D, 0)</f>
        <v>3</v>
      </c>
      <c r="M4" s="88">
        <f>LOOKUP(2, 1/('OB History S2'!$B:$B=A4), 'OB History S2'!$AD:$AD)</f>
        <v>0.5</v>
      </c>
      <c r="N4" s="34">
        <f>SUMIFS('OB History S2'!F:F,'OB History S2'!B:B,A4)</f>
        <v>11</v>
      </c>
      <c r="O4" s="2">
        <f>SUMIFS('OB History S2'!E:E,'OB History S2'!B:B,A4)-N4</f>
        <v>11</v>
      </c>
      <c r="P4" s="88">
        <f>LOOKUP(2, 1/('OB History S2'!$B:$B=A4), 'OB History S2'!$AB:$AB)</f>
        <v>0.5</v>
      </c>
      <c r="Q4" s="34">
        <f>SUMIFS('OB History S2'!H:H,'OB History S2'!B:B,A4)</f>
        <v>45</v>
      </c>
      <c r="R4" s="2">
        <f>SUMIFS('OB History S2'!G:G,'OB History S2'!B:B,A4)-Q4</f>
        <v>46</v>
      </c>
      <c r="S4" s="88">
        <f>LOOKUP(2, 1/('OB History S2'!$B:$B=A4), 'OB History S2'!$AC:$AC)</f>
        <v>0.49</v>
      </c>
      <c r="T4" s="2">
        <f>COUNTIFS('OB History S2'!$B:$B,$A$4,'OB History S2'!K:K, 1)</f>
        <v>0</v>
      </c>
      <c r="U4" s="2">
        <f>COUNTIFS('OB History S2'!$B:$B,$A$4,'OB History S2'!L:L, 1)</f>
        <v>0</v>
      </c>
      <c r="V4" s="2">
        <f>COUNTIFS('OB History S2'!$B:$B,$A$4,'OB History S2'!M:M, 1)</f>
        <v>0</v>
      </c>
      <c r="W4" s="2">
        <f>COUNTIFS('OB History S2'!$B:$B,$A$4,'OB History S2'!N:N, 1)</f>
        <v>2</v>
      </c>
      <c r="X4" s="2">
        <f>COUNTIFS('OB History S2'!$B:$B,$A$4,'OB History S2'!O:O, 1)</f>
        <v>0</v>
      </c>
      <c r="Y4" s="2">
        <f>COUNTIFS('OB History S2'!$B:$B,$A$4,'OB History S2'!P:P, 1)</f>
        <v>1</v>
      </c>
      <c r="Z4" s="2">
        <f>COUNTIFS('OB History S2'!$B:$B,$A$4,'OB History S2'!Q:Q, 1)</f>
        <v>1</v>
      </c>
      <c r="AA4" s="2">
        <f>COUNTIFS('OB History S2'!$B:$B,$A$4,'OB History S2'!R:R, 1)</f>
        <v>0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2</v>
      </c>
      <c r="AG4" s="2">
        <f>COUNTIFS('OB History S2'!$B:$B,$A$4,'OB History S2'!X:X, 1)</f>
        <v>1</v>
      </c>
      <c r="AH4" s="2">
        <f>COUNTIFS('OB History S2'!$B:$B,$A$4,'OB History S2'!Y:Y, 1)</f>
        <v>1</v>
      </c>
      <c r="AI4" s="2">
        <f>COUNTIFS('OB History S2'!$B:$B,$A$4,'OB History S2'!Z:Z, 1)</f>
        <v>1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3</v>
      </c>
      <c r="E5" s="2"/>
      <c r="F5" s="2"/>
      <c r="G5" s="2"/>
      <c r="H5" s="34">
        <f>SUMIFS('OB History S2'!C:C,'OB History S2'!B:B,A5)</f>
        <v>198</v>
      </c>
      <c r="I5" s="4">
        <f>AVERAGEIFS('OB History S2'!C:C,'OB History S2'!B:B,A5)</f>
        <v>19.8</v>
      </c>
      <c r="J5" s="35">
        <f t="array" ref="J5">MAX(IF('OB History S2'!B:B=A5, 'OB History S2'!C:C))</f>
        <v>36</v>
      </c>
      <c r="K5" s="34">
        <f>COUNTIFS('OB History S2'!B:B,A5,'OB History S2'!D:D, 1)</f>
        <v>6</v>
      </c>
      <c r="L5" s="2">
        <f>COUNTIFS('OB History S2'!B:B,A5,'OB History S2'!D:D, 0)</f>
        <v>4</v>
      </c>
      <c r="M5" s="88">
        <f>LOOKUP(2, 1/('OB History S2'!$B:$B=A5), 'OB History S2'!$AD:$AD)</f>
        <v>0.6</v>
      </c>
      <c r="N5" s="34">
        <f>SUMIFS('OB History S2'!F:F,'OB History S2'!B:B,A5)</f>
        <v>20</v>
      </c>
      <c r="O5" s="2">
        <f>SUMIFS('OB History S2'!E:E,'OB History S2'!B:B,A5)-N5</f>
        <v>21</v>
      </c>
      <c r="P5" s="88">
        <f>LOOKUP(2, 1/('OB History S2'!$B:$B=A5), 'OB History S2'!$AB:$AB)</f>
        <v>0.45499999999999996</v>
      </c>
      <c r="Q5" s="34">
        <f>SUMIFS('OB History S2'!H:H,'OB History S2'!B:B,A5)</f>
        <v>81</v>
      </c>
      <c r="R5" s="2">
        <f>SUMIFS('OB History S2'!G:G,'OB History S2'!B:B,A5)-Q5</f>
        <v>89</v>
      </c>
      <c r="S5" s="88">
        <f>LOOKUP(2, 1/('OB History S2'!$B:$B=A5), 'OB History S2'!$AC:$AC)</f>
        <v>0.46799999999999997</v>
      </c>
      <c r="T5" s="2">
        <f>COUNTIFS('OB History S2'!$B:$B,$A$5,'OB History S2'!K:K, 1)</f>
        <v>0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3</v>
      </c>
      <c r="X5" s="2">
        <f>COUNTIFS('OB History S2'!$B:$B,$A$5,'OB History S2'!O:O, 1)</f>
        <v>0</v>
      </c>
      <c r="Y5" s="2">
        <f>COUNTIFS('OB History S2'!$B:$B,$A$5,'OB History S2'!P:P, 1)</f>
        <v>0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1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3</v>
      </c>
      <c r="AI5" s="2">
        <f>COUNTIFS('OB History S2'!$B:$B,$A$5,'OB History S2'!Z:Z, 1)</f>
        <v>4</v>
      </c>
    </row>
    <row r="6" spans="1:35" x14ac:dyDescent="0.25">
      <c r="A6" s="2" t="s">
        <v>34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29</v>
      </c>
      <c r="I6" s="4">
        <f>AVERAGEIFS('OB History S2'!C:C,'OB History S2'!B:B,A6)</f>
        <v>14.5</v>
      </c>
      <c r="J6" s="35">
        <f t="array" ref="J6">MAX(IF('OB History S2'!B:B=A6, 'OB History S2'!C:C))</f>
        <v>18</v>
      </c>
      <c r="K6" s="34">
        <f>COUNTIFS('OB History S2'!B:B,A6,'OB History S2'!D:D, 1)</f>
        <v>2</v>
      </c>
      <c r="L6" s="2">
        <f>COUNTIFS('OB History S2'!B:B,A6,'OB History S2'!D:D, 0)</f>
        <v>0</v>
      </c>
      <c r="M6" s="88">
        <f>LOOKUP(2, 1/('OB History S2'!$B:$B=A6), 'OB History S2'!$AD:$AD)</f>
        <v>1</v>
      </c>
      <c r="N6" s="34">
        <f>SUMIFS('OB History S2'!F:F,'OB History S2'!B:B,A6)</f>
        <v>6</v>
      </c>
      <c r="O6" s="2">
        <f>SUMIFS('OB History S2'!E:E,'OB History S2'!B:B,A6)-N6</f>
        <v>2</v>
      </c>
      <c r="P6" s="88">
        <f>LOOKUP(2, 1/('OB History S2'!$B:$B=A6), 'OB History S2'!$AB:$AB)</f>
        <v>0.8</v>
      </c>
      <c r="Q6" s="34">
        <f>SUMIFS('OB History S2'!H:H,'OB History S2'!B:B,A6)</f>
        <v>20</v>
      </c>
      <c r="R6" s="2">
        <f>SUMIFS('OB History S2'!G:G,'OB History S2'!B:B,A6)-Q6</f>
        <v>12</v>
      </c>
      <c r="S6" s="88">
        <f>LOOKUP(2, 1/('OB History S2'!$B:$B=A6), 'OB History S2'!$AC:$AC)</f>
        <v>0.66999999999999993</v>
      </c>
      <c r="T6" s="2">
        <f>COUNTIFS('OB History S2'!$B:$B,$A$6,'OB History S2'!K:K, 1)</f>
        <v>0</v>
      </c>
      <c r="U6" s="2">
        <f>COUNTIFS('OB History S2'!$B:$B,$A$6,'OB History S2'!L:L, 1)</f>
        <v>2</v>
      </c>
      <c r="V6" s="2">
        <f>COUNTIFS('OB History S2'!$B:$B,$A$6,'OB History S2'!M:M, 1)</f>
        <v>0</v>
      </c>
      <c r="W6" s="2">
        <f>COUNTIFS('OB History S2'!$B:$B,$A$6,'OB History S2'!N:N, 1)</f>
        <v>0</v>
      </c>
      <c r="X6" s="2">
        <f>COUNTIFS('OB History S2'!$B:$B,$A$6,'OB History S2'!O:O, 1)</f>
        <v>0</v>
      </c>
      <c r="Y6" s="2">
        <f>COUNTIFS('OB History S2'!$B:$B,$A$6,'OB History S2'!P:P, 1)</f>
        <v>0</v>
      </c>
      <c r="Z6" s="2">
        <f>COUNTIFS('OB History S2'!$B:$B,$A$6,'OB History S2'!Q:Q, 1)</f>
        <v>0</v>
      </c>
      <c r="AA6" s="2">
        <f>COUNTIFS('OB History S2'!$B:$B,$A$6,'OB History S2'!R:R, 1)</f>
        <v>0</v>
      </c>
      <c r="AB6" s="2">
        <f>COUNTIFS('OB History S2'!$B:$B,$A$6,'OB History S2'!S:S, 1)</f>
        <v>0</v>
      </c>
      <c r="AC6" s="2">
        <f>COUNTIFS('OB History S2'!$B:$B,$A$6,'OB History S2'!T:T, 1)</f>
        <v>0</v>
      </c>
      <c r="AD6" s="2">
        <f>COUNTIFS('OB History S2'!$B:$B,$A$6,'OB History S2'!U:U, 1)</f>
        <v>0</v>
      </c>
      <c r="AE6" s="2">
        <f>COUNTIFS('OB History S2'!$B:$B,$A$6,'OB History S2'!V:V, 1)</f>
        <v>0</v>
      </c>
      <c r="AF6" s="2">
        <f>COUNTIFS('OB History S2'!$B:$B,$A$6,'OB History S2'!W:W, 1)</f>
        <v>0</v>
      </c>
      <c r="AG6" s="2">
        <f>COUNTIFS('OB History S2'!$B:$B,$A$6,'OB History S2'!X:X, 1)</f>
        <v>2</v>
      </c>
      <c r="AH6" s="2">
        <f>COUNTIFS('OB History S2'!$B:$B,$A$6,'OB History S2'!Y:Y, 1)</f>
        <v>2</v>
      </c>
      <c r="AI6" s="2">
        <f>COUNTIFS('OB History S2'!$B:$B,$A$6,'OB History S2'!Z:Z, 1)</f>
        <v>0</v>
      </c>
    </row>
    <row r="7" spans="1:35" x14ac:dyDescent="0.25">
      <c r="A7" s="2" t="s">
        <v>35</v>
      </c>
      <c r="B7" s="6" t="s">
        <v>124</v>
      </c>
      <c r="C7" s="2" t="s">
        <v>79</v>
      </c>
      <c r="D7" s="2"/>
      <c r="E7" s="2"/>
      <c r="F7" s="2"/>
      <c r="G7" s="2"/>
      <c r="H7" s="34">
        <f>SUMIFS('OB History S2'!C:C,'OB History S2'!B:B,A7)</f>
        <v>206</v>
      </c>
      <c r="I7" s="4">
        <f>AVERAGEIFS('OB History S2'!C:C,'OB History S2'!B:B,A7)</f>
        <v>13.733333333333333</v>
      </c>
      <c r="J7" s="35">
        <f t="array" ref="J7">MAX(IF('OB History S2'!B:B=A7, 'OB History S2'!C:C))</f>
        <v>32</v>
      </c>
      <c r="K7" s="34">
        <f>COUNTIFS('OB History S2'!B:B,A7,'OB History S2'!D:D, 1)</f>
        <v>7</v>
      </c>
      <c r="L7" s="2">
        <f>COUNTIFS('OB History S2'!B:B,A7,'OB History S2'!D:D, 0)</f>
        <v>8</v>
      </c>
      <c r="M7" s="88">
        <f>LOOKUP(2, 1/('OB History S2'!$B:$B=A7), 'OB History S2'!$AD:$AD)</f>
        <v>0.46666666666666667</v>
      </c>
      <c r="N7" s="34">
        <f>SUMIFS('OB History S2'!F:F,'OB History S2'!B:B,A7)</f>
        <v>26</v>
      </c>
      <c r="O7" s="2">
        <f>SUMIFS('OB History S2'!E:E,'OB History S2'!B:B,A7)-N7</f>
        <v>34</v>
      </c>
      <c r="P7" s="88">
        <f>LOOKUP(2, 1/('OB History S2'!$B:$B=A7), 'OB History S2'!$AB:$AB)</f>
        <v>0.40333333333333327</v>
      </c>
      <c r="Q7" s="34">
        <f>SUMIFS('OB History S2'!H:H,'OB History S2'!B:B,A7)</f>
        <v>110</v>
      </c>
      <c r="R7" s="2">
        <f>SUMIFS('OB History S2'!G:G,'OB History S2'!B:B,A7)-Q7</f>
        <v>135</v>
      </c>
      <c r="S7" s="88">
        <f>LOOKUP(2, 1/('OB History S2'!$B:$B=A7), 'OB History S2'!$AC:$AC)</f>
        <v>0.42866666666666664</v>
      </c>
      <c r="T7" s="2">
        <f>COUNTIFS('OB History S2'!$B:$B,$A$7,'OB History S2'!K:K, 1)</f>
        <v>2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3</v>
      </c>
      <c r="X7" s="2">
        <f>COUNTIFS('OB History S2'!$B:$B,$A$7,'OB History S2'!O:O, 1)</f>
        <v>2</v>
      </c>
      <c r="Y7" s="2">
        <f>COUNTIFS('OB History S2'!$B:$B,$A$7,'OB History S2'!P:P, 1)</f>
        <v>3</v>
      </c>
      <c r="Z7" s="2">
        <f>COUNTIFS('OB History S2'!$B:$B,$A$7,'OB History S2'!Q:Q, 1)</f>
        <v>0</v>
      </c>
      <c r="AA7" s="2">
        <f>COUNTIFS('OB History S2'!$B:$B,$A$7,'OB History S2'!R:R, 1)</f>
        <v>1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2</v>
      </c>
      <c r="AG7" s="2">
        <f>COUNTIFS('OB History S2'!$B:$B,$A$7,'OB History S2'!X:X, 1)</f>
        <v>5</v>
      </c>
      <c r="AH7" s="2">
        <f>COUNTIFS('OB History S2'!$B:$B,$A$7,'OB History S2'!Y:Y, 1)</f>
        <v>2</v>
      </c>
      <c r="AI7" s="2">
        <f>COUNTIFS('OB History S2'!$B:$B,$A$7,'OB History S2'!Z:Z, 1)</f>
        <v>4</v>
      </c>
    </row>
    <row r="8" spans="1:35" ht="15.75" x14ac:dyDescent="0.25">
      <c r="A8" s="2" t="s">
        <v>19</v>
      </c>
      <c r="B8" s="80" t="s">
        <v>79</v>
      </c>
      <c r="C8" s="2" t="s">
        <v>79</v>
      </c>
      <c r="D8" s="2">
        <v>1</v>
      </c>
      <c r="E8" s="2">
        <v>1</v>
      </c>
      <c r="F8" s="2"/>
      <c r="G8" s="2"/>
      <c r="H8" s="34">
        <f>SUMIFS('OB History S2'!C:C,'OB History S2'!B:B,A8)</f>
        <v>77</v>
      </c>
      <c r="I8" s="4">
        <f>AVERAGEIFS('OB History S2'!C:C,'OB History S2'!B:B,A8)</f>
        <v>12.833333333333334</v>
      </c>
      <c r="J8" s="35">
        <f t="array" ref="J8">MAX(IF('OB History S2'!B:B=A8, 'OB History S2'!C:C))</f>
        <v>24</v>
      </c>
      <c r="K8" s="34">
        <f>COUNTIFS('OB History S2'!B:B,A8,'OB History S2'!D:D, 1)</f>
        <v>3</v>
      </c>
      <c r="L8" s="2">
        <f>COUNTIFS('OB History S2'!B:B,A8,'OB History S2'!D:D, 0)</f>
        <v>3</v>
      </c>
      <c r="M8" s="88">
        <f>LOOKUP(2, 1/('OB History S2'!$B:$B=A8), 'OB History S2'!$AD:$AD)</f>
        <v>0.5</v>
      </c>
      <c r="N8" s="34">
        <f>SUMIFS('OB History S2'!F:F,'OB History S2'!B:B,A8)</f>
        <v>14</v>
      </c>
      <c r="O8" s="2">
        <f>SUMIFS('OB History S2'!E:E,'OB History S2'!B:B,A8)-N8</f>
        <v>11</v>
      </c>
      <c r="P8" s="88">
        <f>LOOKUP(2, 1/('OB History S2'!$B:$B=A8), 'OB History S2'!$AB:$AB)</f>
        <v>0.59166666666666667</v>
      </c>
      <c r="Q8" s="34">
        <f>SUMIFS('OB History S2'!H:H,'OB History S2'!B:B,A8)</f>
        <v>53</v>
      </c>
      <c r="R8" s="2">
        <f>SUMIFS('OB History S2'!G:G,'OB History S2'!B:B,A8)-Q8</f>
        <v>49</v>
      </c>
      <c r="S8" s="88">
        <f>LOOKUP(2, 1/('OB History S2'!$B:$B=A8), 'OB History S2'!$AC:$AC)</f>
        <v>0.52500000000000002</v>
      </c>
      <c r="T8" s="2">
        <f>COUNTIFS('OB History S2'!$B:$B,$A$8,'OB History S2'!K:K, 1)</f>
        <v>2</v>
      </c>
      <c r="U8" s="2">
        <f>COUNTIFS('OB History S2'!$B:$B,$A$8,'OB History S2'!L:L, 1)</f>
        <v>1</v>
      </c>
      <c r="V8" s="2">
        <f>COUNTIFS('OB History S2'!$B:$B,$A$8,'OB History S2'!M:M, 1)</f>
        <v>0</v>
      </c>
      <c r="W8" s="2">
        <f>COUNTIFS('OB History S2'!$B:$B,$A$8,'OB History S2'!N:N, 1)</f>
        <v>1</v>
      </c>
      <c r="X8" s="2">
        <f>COUNTIFS('OB History S2'!$B:$B,$A$8,'OB History S2'!O:O, 1)</f>
        <v>0</v>
      </c>
      <c r="Y8" s="2">
        <f>COUNTIFS('OB History S2'!$B:$B,$A$8,'OB History S2'!P:P, 1)</f>
        <v>2</v>
      </c>
      <c r="Z8" s="2">
        <f>COUNTIFS('OB History S2'!$B:$B,$A$8,'OB History S2'!Q:Q, 1)</f>
        <v>0</v>
      </c>
      <c r="AA8" s="2">
        <f>COUNTIFS('OB History S2'!$B:$B,$A$8,'OB History S2'!R:R, 1)</f>
        <v>1</v>
      </c>
      <c r="AB8" s="2">
        <f>COUNTIFS('OB History S2'!$B:$B,$A$8,'OB History S2'!S:S, 1)</f>
        <v>0</v>
      </c>
      <c r="AC8" s="2">
        <f>COUNTIFS('OB History S2'!$B:$B,$A$8,'OB History S2'!T:T, 1)</f>
        <v>0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0</v>
      </c>
      <c r="AG8" s="2">
        <f>COUNTIFS('OB History S2'!$B:$B,$A$8,'OB History S2'!X:X, 1)</f>
        <v>1</v>
      </c>
      <c r="AH8" s="2">
        <f>COUNTIFS('OB History S2'!$B:$B,$A$8,'OB History S2'!Y:Y, 1)</f>
        <v>3</v>
      </c>
      <c r="AI8" s="2">
        <f>COUNTIFS('OB History S2'!$B:$B,$A$8,'OB History S2'!Z:Z, 1)</f>
        <v>3</v>
      </c>
    </row>
    <row r="9" spans="1:35" x14ac:dyDescent="0.25">
      <c r="A9" s="1" t="s">
        <v>42</v>
      </c>
      <c r="B9" s="6" t="s">
        <v>60</v>
      </c>
      <c r="C9" s="2" t="s">
        <v>79</v>
      </c>
      <c r="D9" s="2"/>
      <c r="E9" s="2"/>
      <c r="F9" s="2"/>
      <c r="G9" s="2"/>
      <c r="H9" s="34">
        <f>SUMIFS('OB History S2'!C:C,'OB History S2'!B:B,A9)</f>
        <v>41</v>
      </c>
      <c r="I9" s="4">
        <f>AVERAGEIFS('OB History S2'!C:C,'OB History S2'!B:B,A9)</f>
        <v>13.666666666666666</v>
      </c>
      <c r="J9" s="35">
        <f t="array" ref="J9">MAX(IF('OB History S2'!B:B=A9, 'OB History S2'!C:C))</f>
        <v>29</v>
      </c>
      <c r="K9" s="34">
        <f>COUNTIFS('OB History S2'!B:B,A9,'OB History S2'!D:D, 1)</f>
        <v>0</v>
      </c>
      <c r="L9" s="2">
        <f>COUNTIFS('OB History S2'!B:B,A9,'OB History S2'!D:D, 0)</f>
        <v>3</v>
      </c>
      <c r="M9" s="88">
        <f>LOOKUP(2, 1/('OB History S2'!$B:$B=A9), 'OB History S2'!$AD:$AD)</f>
        <v>0</v>
      </c>
      <c r="N9" s="34">
        <f>SUMIFS('OB History S2'!F:F,'OB History S2'!B:B,A9)</f>
        <v>2</v>
      </c>
      <c r="O9" s="2">
        <f>SUMIFS('OB History S2'!E:E,'OB History S2'!B:B,A9)-N9</f>
        <v>9</v>
      </c>
      <c r="P9" s="88">
        <f>LOOKUP(2, 1/('OB History S2'!$B:$B=A9), 'OB History S2'!$AB:$AB)</f>
        <v>0.13333333333333333</v>
      </c>
      <c r="Q9" s="34">
        <f>SUMIFS('OB History S2'!H:H,'OB History S2'!B:B,A9)</f>
        <v>16</v>
      </c>
      <c r="R9" s="2">
        <f>SUMIFS('OB History S2'!G:G,'OB History S2'!B:B,A9)-Q9</f>
        <v>29</v>
      </c>
      <c r="S9" s="88">
        <f>LOOKUP(2, 1/('OB History S2'!$B:$B=A9), 'OB History S2'!$AC:$AC)</f>
        <v>0.32333333333333331</v>
      </c>
      <c r="T9" s="2">
        <f>COUNTIFS('OB History S2'!$B:$B,$A$9,'OB History S2'!K:K, 1)</f>
        <v>1</v>
      </c>
      <c r="U9" s="2">
        <f>COUNTIFS('OB History S2'!$B:$B,$A$9,'OB History S2'!L:L, 1)</f>
        <v>0</v>
      </c>
      <c r="V9" s="2">
        <f>COUNTIFS('OB History S2'!$B:$B,$A$9,'OB History S2'!M:M, 1)</f>
        <v>0</v>
      </c>
      <c r="W9" s="2">
        <f>COUNTIFS('OB History S2'!$B:$B,$A$9,'OB History S2'!N:N, 1)</f>
        <v>0</v>
      </c>
      <c r="X9" s="2">
        <f>COUNTIFS('OB History S2'!$B:$B,$A$9,'OB History S2'!O:O, 1)</f>
        <v>0</v>
      </c>
      <c r="Y9" s="2">
        <f>COUNTIFS('OB History S2'!$B:$B,$A$9,'OB History S2'!P:P, 1)</f>
        <v>0</v>
      </c>
      <c r="Z9" s="2">
        <f>COUNTIFS('OB History S2'!$B:$B,$A$9,'OB History S2'!Q:Q, 1)</f>
        <v>0</v>
      </c>
      <c r="AA9" s="2">
        <f>COUNTIFS('OB History S2'!$B:$B,$A$9,'OB History S2'!R:R, 1)</f>
        <v>0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1</v>
      </c>
      <c r="AG9" s="2">
        <f>COUNTIFS('OB History S2'!$B:$B,$A$9,'OB History S2'!X:X, 1)</f>
        <v>0</v>
      </c>
      <c r="AH9" s="2">
        <f>COUNTIFS('OB History S2'!$B:$B,$A$9,'OB History S2'!Y:Y, 1)</f>
        <v>0</v>
      </c>
      <c r="AI9" s="2">
        <f>COUNTIFS('OB History S2'!$B:$B,$A$9,'OB History S2'!Z:Z, 1)</f>
        <v>0</v>
      </c>
    </row>
    <row r="10" spans="1:35" x14ac:dyDescent="0.25">
      <c r="A10" s="1" t="s">
        <v>25</v>
      </c>
      <c r="B10" s="6" t="s">
        <v>79</v>
      </c>
      <c r="C10" s="2" t="s">
        <v>79</v>
      </c>
      <c r="D10" s="2"/>
      <c r="E10" s="2"/>
      <c r="F10" s="2"/>
      <c r="G10" s="2"/>
      <c r="H10" s="34">
        <f>SUMIFS('OB History S2'!C:C,'OB History S2'!B:B,A10)</f>
        <v>248</v>
      </c>
      <c r="I10" s="4">
        <f>AVERAGEIFS('OB History S2'!C:C,'OB History S2'!B:B,A10)</f>
        <v>19.076923076923077</v>
      </c>
      <c r="J10" s="35">
        <f t="array" ref="J10">MAX(IF('OB History S2'!B:B=A10, 'OB History S2'!C:C))</f>
        <v>35</v>
      </c>
      <c r="K10" s="34">
        <f>COUNTIFS('OB History S2'!B:B,A10,'OB History S2'!D:D, 1)</f>
        <v>8</v>
      </c>
      <c r="L10" s="2">
        <f>COUNTIFS('OB History S2'!B:B,A10,'OB History S2'!D:D, 0)</f>
        <v>5</v>
      </c>
      <c r="M10" s="88">
        <f>LOOKUP(2, 1/('OB History S2'!$B:$B=A10), 'OB History S2'!$AD:$AD)</f>
        <v>0.61538461538461542</v>
      </c>
      <c r="N10" s="34">
        <f>SUMIFS('OB History S2'!F:F,'OB History S2'!B:B,A10)</f>
        <v>30</v>
      </c>
      <c r="O10" s="2">
        <f>SUMIFS('OB History S2'!E:E,'OB History S2'!B:B,A10)-N10</f>
        <v>26</v>
      </c>
      <c r="P10" s="88">
        <f>LOOKUP(2, 1/('OB History S2'!$B:$B=A10), 'OB History S2'!$AB:$AB)</f>
        <v>0.5346153846153846</v>
      </c>
      <c r="Q10" s="34">
        <f>SUMIFS('OB History S2'!H:H,'OB History S2'!B:B,A10)</f>
        <v>113</v>
      </c>
      <c r="R10" s="2">
        <f>SUMIFS('OB History S2'!G:G,'OB History S2'!B:B,A10)-Q10</f>
        <v>116</v>
      </c>
      <c r="S10" s="88">
        <f>LOOKUP(2, 1/('OB History S2'!$B:$B=A10), 'OB History S2'!$AC:$AC)</f>
        <v>0.5</v>
      </c>
      <c r="T10" s="2">
        <f>COUNTIFS('OB History S2'!$B:$B,$A$10,'OB History S2'!K:K, 1)</f>
        <v>2</v>
      </c>
      <c r="U10" s="2">
        <f>COUNTIFS('OB History S2'!$B:$B,$A$10,'OB History S2'!L:L, 1)</f>
        <v>2</v>
      </c>
      <c r="V10" s="2">
        <f>COUNTIFS('OB History S2'!$B:$B,$A$10,'OB History S2'!M:M, 1)</f>
        <v>1</v>
      </c>
      <c r="W10" s="2">
        <f>COUNTIFS('OB History S2'!$B:$B,$A$10,'OB History S2'!N:N, 1)</f>
        <v>2</v>
      </c>
      <c r="X10" s="2">
        <f>COUNTIFS('OB History S2'!$B:$B,$A$10,'OB History S2'!O:O, 1)</f>
        <v>1</v>
      </c>
      <c r="Y10" s="2">
        <f>COUNTIFS('OB History S2'!$B:$B,$A$10,'OB History S2'!P:P, 1)</f>
        <v>2</v>
      </c>
      <c r="Z10" s="2">
        <f>COUNTIFS('OB History S2'!$B:$B,$A$10,'OB History S2'!Q:Q, 1)</f>
        <v>2</v>
      </c>
      <c r="AA10" s="2">
        <f>COUNTIFS('OB History S2'!$B:$B,$A$10,'OB History S2'!R:R, 1)</f>
        <v>1</v>
      </c>
      <c r="AB10" s="2">
        <f>COUNTIFS('OB History S2'!$B:$B,$A$10,'OB History S2'!S:S, 1)</f>
        <v>2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1</v>
      </c>
      <c r="AF10" s="2">
        <f>COUNTIFS('OB History S2'!$B:$B,$A$10,'OB History S2'!W:W, 1)</f>
        <v>2</v>
      </c>
      <c r="AG10" s="2">
        <f>COUNTIFS('OB History S2'!$B:$B,$A$10,'OB History S2'!X:X, 1)</f>
        <v>4</v>
      </c>
      <c r="AH10" s="2">
        <f>COUNTIFS('OB History S2'!$B:$B,$A$10,'OB History S2'!Y:Y, 1)</f>
        <v>3</v>
      </c>
      <c r="AI10" s="2">
        <f>COUNTIFS('OB History S2'!$B:$B,$A$10,'OB History S2'!Z:Z, 1)</f>
        <v>5</v>
      </c>
    </row>
    <row r="11" spans="1:35" x14ac:dyDescent="0.25">
      <c r="A11" s="1" t="s">
        <v>146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80</v>
      </c>
      <c r="I11" s="4">
        <f>AVERAGEIFS('OB History S2'!C:C,'OB History S2'!B:B,A11)</f>
        <v>13.333333333333334</v>
      </c>
      <c r="J11" s="35">
        <f t="array" ref="J11">MAX(IF('OB History S2'!B:B=A11, 'OB History S2'!C:C))</f>
        <v>27</v>
      </c>
      <c r="K11" s="34">
        <f>COUNTIFS('OB History S2'!B:B,A11,'OB History S2'!D:D, 1)</f>
        <v>1</v>
      </c>
      <c r="L11" s="2">
        <f>COUNTIFS('OB History S2'!B:B,A11,'OB History S2'!D:D, 0)</f>
        <v>5</v>
      </c>
      <c r="M11" s="88">
        <f>LOOKUP(2, 1/('OB History S2'!$B:$B=A11), 'OB History S2'!$AD:$AD)</f>
        <v>0.16666666666666666</v>
      </c>
      <c r="N11" s="34">
        <f>SUMIFS('OB History S2'!F:F,'OB History S2'!B:B,A11)</f>
        <v>8</v>
      </c>
      <c r="O11" s="2">
        <f>SUMIFS('OB History S2'!E:E,'OB History S2'!B:B,A11)-N11</f>
        <v>15</v>
      </c>
      <c r="P11" s="88">
        <f>LOOKUP(2, 1/('OB History S2'!$B:$B=A11), 'OB History S2'!$AB:$AB)</f>
        <v>0.34166666666666662</v>
      </c>
      <c r="Q11" s="34">
        <f>SUMIFS('OB History S2'!H:H,'OB History S2'!B:B,A11)</f>
        <v>45</v>
      </c>
      <c r="R11" s="2">
        <f>SUMIFS('OB History S2'!G:G,'OB History S2'!B:B,A11)-Q11</f>
        <v>57</v>
      </c>
      <c r="S11" s="88">
        <f>LOOKUP(2, 1/('OB History S2'!$B:$B=A11), 'OB History S2'!$AC:$AC)</f>
        <v>0.44</v>
      </c>
      <c r="T11" s="2">
        <f>COUNTIFS('OB History S2'!$B:$B,$A$11,'OB History S2'!K:K, 1)</f>
        <v>0</v>
      </c>
      <c r="U11" s="2">
        <f>COUNTIFS('OB History S2'!$B:$B,$A$11,'OB History S2'!L:L, 1)</f>
        <v>1</v>
      </c>
      <c r="V11" s="2">
        <f>COUNTIFS('OB History S2'!$B:$B,$A$11,'OB History S2'!M:M, 1)</f>
        <v>1</v>
      </c>
      <c r="W11" s="2">
        <f>COUNTIFS('OB History S2'!$B:$B,$A$11,'OB History S2'!N:N, 1)</f>
        <v>2</v>
      </c>
      <c r="X11" s="2">
        <f>COUNTIFS('OB History S2'!$B:$B,$A$11,'OB History S2'!O:O, 1)</f>
        <v>0</v>
      </c>
      <c r="Y11" s="2">
        <f>COUNTIFS('OB History S2'!$B:$B,$A$11,'OB History S2'!P:P, 1)</f>
        <v>0</v>
      </c>
      <c r="Z11" s="2">
        <f>COUNTIFS('OB History S2'!$B:$B,$A$11,'OB History S2'!Q:Q, 1)</f>
        <v>1</v>
      </c>
      <c r="AA11" s="2">
        <f>COUNTIFS('OB History S2'!$B:$B,$A$11,'OB History S2'!R:R, 1)</f>
        <v>0</v>
      </c>
      <c r="AB11" s="2">
        <f>COUNTIFS('OB History S2'!$B:$B,$A$11,'OB History S2'!S:S, 1)</f>
        <v>0</v>
      </c>
      <c r="AC11" s="2">
        <f>COUNTIFS('OB History S2'!$B:$B,$A$11,'OB History S2'!T:T, 1)</f>
        <v>0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2</v>
      </c>
      <c r="AG11" s="2">
        <f>COUNTIFS('OB History S2'!$B:$B,$A$11,'OB History S2'!X:X, 1)</f>
        <v>0</v>
      </c>
      <c r="AH11" s="2">
        <f>COUNTIFS('OB History S2'!$B:$B,$A$11,'OB History S2'!Y:Y, 1)</f>
        <v>1</v>
      </c>
      <c r="AI11" s="2">
        <f>COUNTIFS('OB History S2'!$B:$B,$A$11,'OB History S2'!Z:Z, 1)</f>
        <v>0</v>
      </c>
    </row>
    <row r="12" spans="1:35" x14ac:dyDescent="0.25">
      <c r="A12" s="1" t="s">
        <v>27</v>
      </c>
      <c r="B12" s="6" t="s">
        <v>76</v>
      </c>
      <c r="C12" s="6" t="s">
        <v>79</v>
      </c>
      <c r="D12" s="6">
        <v>2</v>
      </c>
      <c r="E12" s="6"/>
      <c r="F12" s="6"/>
      <c r="G12" s="6"/>
      <c r="H12" s="34">
        <f>SUMIFS('OB History S2'!C:C,'OB History S2'!B:B,A12)</f>
        <v>127</v>
      </c>
      <c r="I12" s="4">
        <f>AVERAGEIFS('OB History S2'!C:C,'OB History S2'!B:B,A12)</f>
        <v>18.142857142857142</v>
      </c>
      <c r="J12" s="35">
        <f t="array" ref="J12">MAX(IF('OB History S2'!B:B=A12, 'OB History S2'!C:C))</f>
        <v>44</v>
      </c>
      <c r="K12" s="34">
        <f>COUNTIFS('OB History S2'!B:B,A12,'OB History S2'!D:D, 1)</f>
        <v>5</v>
      </c>
      <c r="L12" s="2">
        <f>COUNTIFS('OB History S2'!B:B,A12,'OB History S2'!D:D, 0)</f>
        <v>2</v>
      </c>
      <c r="M12" s="88">
        <f>LOOKUP(2, 1/('OB History S2'!$B:$B=A12), 'OB History S2'!$AD:$AD)</f>
        <v>0.7142857142857143</v>
      </c>
      <c r="N12" s="34">
        <f>SUMIFS('OB History S2'!F:F,'OB History S2'!B:B,A12)</f>
        <v>18</v>
      </c>
      <c r="O12" s="2">
        <f>SUMIFS('OB History S2'!E:E,'OB History S2'!B:B,A12)-N12</f>
        <v>12</v>
      </c>
      <c r="P12" s="88">
        <f>LOOKUP(2, 1/('OB History S2'!$B:$B=A12), 'OB History S2'!$AB:$AB)</f>
        <v>0.6071428571428571</v>
      </c>
      <c r="Q12" s="34">
        <f>SUMIFS('OB History S2'!H:H,'OB History S2'!B:B,A12)</f>
        <v>65</v>
      </c>
      <c r="R12" s="2">
        <f>SUMIFS('OB History S2'!G:G,'OB History S2'!B:B,A12)-Q12</f>
        <v>48</v>
      </c>
      <c r="S12" s="88">
        <f>LOOKUP(2, 1/('OB History S2'!$B:$B=A12), 'OB History S2'!$AC:$AC)</f>
        <v>0.58571428571428574</v>
      </c>
      <c r="T12" s="2">
        <f>COUNTIFS('OB History S2'!$B:$B,$A$12,'OB History S2'!K:K, 1)</f>
        <v>0</v>
      </c>
      <c r="U12" s="2">
        <f>COUNTIFS('OB History S2'!$B:$B,$A$12,'OB History S2'!L:L, 1)</f>
        <v>2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2</v>
      </c>
      <c r="Z12" s="2">
        <f>COUNTIFS('OB History S2'!$B:$B,$A$12,'OB History S2'!Q:Q, 1)</f>
        <v>2</v>
      </c>
      <c r="AA12" s="2">
        <f>COUNTIFS('OB History S2'!$B:$B,$A$12,'OB History S2'!R:R, 1)</f>
        <v>2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1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3</v>
      </c>
      <c r="AI12" s="2">
        <f>COUNTIFS('OB History S2'!$B:$B,$A$12,'OB History S2'!Z:Z, 1)</f>
        <v>0</v>
      </c>
    </row>
    <row r="13" spans="1:35" x14ac:dyDescent="0.25">
      <c r="A13" s="1" t="s">
        <v>26</v>
      </c>
      <c r="B13" s="6" t="s">
        <v>124</v>
      </c>
      <c r="C13" s="6" t="s">
        <v>79</v>
      </c>
      <c r="D13" s="6"/>
      <c r="E13" s="6"/>
      <c r="F13" s="6"/>
      <c r="G13" s="6"/>
      <c r="H13" s="34">
        <f>SUMIFS('OB History S2'!C:C,'OB History S2'!B:B,A13)</f>
        <v>149</v>
      </c>
      <c r="I13" s="4">
        <f>AVERAGEIFS('OB History S2'!C:C,'OB History S2'!B:B,A13)</f>
        <v>16.555555555555557</v>
      </c>
      <c r="J13" s="35">
        <f t="array" ref="J13">MAX(IF('OB History S2'!B:B=A13, 'OB History S2'!C:C))</f>
        <v>41</v>
      </c>
      <c r="K13" s="34">
        <f>COUNTIFS('OB History S2'!B:B,A13,'OB History S2'!D:D, 1)</f>
        <v>4</v>
      </c>
      <c r="L13" s="2">
        <f>COUNTIFS('OB History S2'!B:B,A13,'OB History S2'!D:D, 0)</f>
        <v>5</v>
      </c>
      <c r="M13" s="88">
        <f>LOOKUP(2, 1/('OB History S2'!$B:$B=A13), 'OB History S2'!$AD:$AD)</f>
        <v>0.44444444444444442</v>
      </c>
      <c r="N13" s="34">
        <f>SUMIFS('OB History S2'!F:F,'OB History S2'!B:B,A13)</f>
        <v>18</v>
      </c>
      <c r="O13" s="2">
        <f>SUMIFS('OB History S2'!E:E,'OB History S2'!B:B,A13)-N13</f>
        <v>19</v>
      </c>
      <c r="P13" s="88">
        <f>LOOKUP(2, 1/('OB History S2'!$B:$B=A13), 'OB History S2'!$AB:$AB)</f>
        <v>0.48888888888888893</v>
      </c>
      <c r="Q13" s="34">
        <f>SUMIFS('OB History S2'!H:H,'OB History S2'!B:B,A13)</f>
        <v>73</v>
      </c>
      <c r="R13" s="2">
        <f>SUMIFS('OB History S2'!G:G,'OB History S2'!B:B,A13)-Q13</f>
        <v>80</v>
      </c>
      <c r="S13" s="88">
        <f>LOOKUP(2, 1/('OB History S2'!$B:$B=A13), 'OB History S2'!$AC:$AC)</f>
        <v>0.46555555555555561</v>
      </c>
      <c r="T13" s="2">
        <f>COUNTIFS('OB History S2'!$B:$B,$A$13,'OB History S2'!K:K, 1)</f>
        <v>1</v>
      </c>
      <c r="U13" s="2">
        <f>COUNTIFS('OB History S2'!$B:$B,$A$13,'OB History S2'!L:L, 1)</f>
        <v>1</v>
      </c>
      <c r="V13" s="2">
        <f>COUNTIFS('OB History S2'!$B:$B,$A$13,'OB History S2'!M:M, 1)</f>
        <v>0</v>
      </c>
      <c r="W13" s="2">
        <f>COUNTIFS('OB History S2'!$B:$B,$A$13,'OB History S2'!N:N, 1)</f>
        <v>0</v>
      </c>
      <c r="X13" s="2">
        <f>COUNTIFS('OB History S2'!$B:$B,$A$13,'OB History S2'!O:O, 1)</f>
        <v>0</v>
      </c>
      <c r="Y13" s="2">
        <f>COUNTIFS('OB History S2'!$B:$B,$A$13,'OB History S2'!P:P, 1)</f>
        <v>3</v>
      </c>
      <c r="Z13" s="2">
        <f>COUNTIFS('OB History S2'!$B:$B,$A$13,'OB History S2'!Q:Q, 1)</f>
        <v>1</v>
      </c>
      <c r="AA13" s="2">
        <f>COUNTIFS('OB History S2'!$B:$B,$A$13,'OB History S2'!R:R, 1)</f>
        <v>2</v>
      </c>
      <c r="AB13" s="2">
        <f>COUNTIFS('OB History S2'!$B:$B,$A$13,'OB History S2'!S:S, 1)</f>
        <v>1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1</v>
      </c>
      <c r="AG13" s="2">
        <f>COUNTIFS('OB History S2'!$B:$B,$A$13,'OB History S2'!X:X, 1)</f>
        <v>2</v>
      </c>
      <c r="AH13" s="2">
        <f>COUNTIFS('OB History S2'!$B:$B,$A$13,'OB History S2'!Y:Y, 1)</f>
        <v>3</v>
      </c>
      <c r="AI13" s="2">
        <f>COUNTIFS('OB History S2'!$B:$B,$A$13,'OB History S2'!Z:Z, 1)</f>
        <v>2</v>
      </c>
    </row>
    <row r="14" spans="1:35" x14ac:dyDescent="0.25">
      <c r="A14" s="1" t="s">
        <v>74</v>
      </c>
      <c r="B14" s="6" t="s">
        <v>79</v>
      </c>
      <c r="C14" s="6" t="s">
        <v>79</v>
      </c>
      <c r="D14" s="6"/>
      <c r="E14" s="6"/>
      <c r="F14" s="6"/>
      <c r="G14" s="6"/>
      <c r="H14" s="34">
        <f>SUMIFS('OB History S2'!C:C,'OB History S2'!B:B,A14)</f>
        <v>10</v>
      </c>
      <c r="I14" s="4">
        <f>AVERAGEIFS('OB History S2'!C:C,'OB History S2'!B:B,A14)</f>
        <v>10</v>
      </c>
      <c r="J14" s="35">
        <f t="array" ref="J14">MAX(IF('OB History S2'!B:B=A14, 'OB History S2'!C:C))</f>
        <v>10</v>
      </c>
      <c r="K14" s="34">
        <f>COUNTIFS('OB History S2'!B:B,A14,'OB History S2'!D:D, 1)</f>
        <v>0</v>
      </c>
      <c r="L14" s="2">
        <f>COUNTIFS('OB History S2'!B:B,A14,'OB History S2'!D:D, 0)</f>
        <v>1</v>
      </c>
      <c r="M14" s="88">
        <f>LOOKUP(2, 1/('OB History S2'!$B:$B=A14), 'OB History S2'!$AD:$AD)</f>
        <v>0</v>
      </c>
      <c r="N14" s="34">
        <f>SUMIFS('OB History S2'!F:F,'OB History S2'!B:B,A14)</f>
        <v>2</v>
      </c>
      <c r="O14" s="2">
        <f>SUMIFS('OB History S2'!E:E,'OB History S2'!B:B,A14)-N14</f>
        <v>3</v>
      </c>
      <c r="P14" s="88">
        <f>LOOKUP(2, 1/('OB History S2'!$B:$B=A14), 'OB History S2'!$AB:$AB)</f>
        <v>0.4</v>
      </c>
      <c r="Q14" s="34">
        <f>SUMIFS('OB History S2'!H:H,'OB History S2'!B:B,A14)</f>
        <v>6</v>
      </c>
      <c r="R14" s="2">
        <f>SUMIFS('OB History S2'!G:G,'OB History S2'!B:B,A14)-Q14</f>
        <v>14</v>
      </c>
      <c r="S14" s="88">
        <f>LOOKUP(2, 1/('OB History S2'!$B:$B=A14), 'OB History S2'!$AC:$AC)</f>
        <v>0.3</v>
      </c>
      <c r="T14" s="2">
        <f>COUNTIFS('OB History S2'!$B:$B,$A$14,'OB History S2'!K:K, 1)</f>
        <v>0</v>
      </c>
      <c r="U14" s="2">
        <f>COUNTIFS('OB History S2'!$B:$B,$A$14,'OB History S2'!L:L, 1)</f>
        <v>0</v>
      </c>
      <c r="V14" s="2">
        <f>COUNTIFS('OB History S2'!$B:$B,$A$14,'OB History S2'!M:M, 1)</f>
        <v>0</v>
      </c>
      <c r="W14" s="2">
        <f>COUNTIFS('OB History S2'!$B:$B,$A$14,'OB History S2'!N:N, 1)</f>
        <v>0</v>
      </c>
      <c r="X14" s="2">
        <f>COUNTIFS('OB History S2'!$B:$B,$A$14,'OB History S2'!O:O, 1)</f>
        <v>0</v>
      </c>
      <c r="Y14" s="2">
        <f>COUNTIFS('OB History S2'!$B:$B,$A$14,'OB History S2'!P:P, 1)</f>
        <v>0</v>
      </c>
      <c r="Z14" s="2">
        <f>COUNTIFS('OB History S2'!$B:$B,$A$14,'OB History S2'!Q:Q, 1)</f>
        <v>0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1</v>
      </c>
      <c r="AG14" s="2">
        <f>COUNTIFS('OB History S2'!$B:$B,$A$14,'OB History S2'!X:X, 1)</f>
        <v>0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152</v>
      </c>
      <c r="B15" s="6" t="s">
        <v>79</v>
      </c>
      <c r="C15" s="2" t="s">
        <v>79</v>
      </c>
      <c r="D15" s="2"/>
      <c r="E15" s="2"/>
      <c r="F15" s="2"/>
      <c r="G15" s="2"/>
      <c r="H15" s="34">
        <f>SUMIFS('OB History S2'!C:C,'OB History S2'!B:B,A15)</f>
        <v>47</v>
      </c>
      <c r="I15" s="4">
        <f>AVERAGEIFS('OB History S2'!C:C,'OB History S2'!B:B,A15)</f>
        <v>15.666666666666666</v>
      </c>
      <c r="J15" s="35">
        <f t="array" ref="J15">MAX(IF('OB History S2'!B:B=A15, 'OB History S2'!C:C))</f>
        <v>19</v>
      </c>
      <c r="K15" s="34">
        <f>COUNTIFS('OB History S2'!B:B,A15,'OB History S2'!D:D, 1)</f>
        <v>0</v>
      </c>
      <c r="L15" s="2">
        <f>COUNTIFS('OB History S2'!B:B,A15,'OB History S2'!D:D, 0)</f>
        <v>3</v>
      </c>
      <c r="M15" s="88">
        <f>LOOKUP(2, 1/('OB History S2'!$B:$B=A15), 'OB History S2'!$AD:$AD)</f>
        <v>0</v>
      </c>
      <c r="N15" s="34">
        <f>SUMIFS('OB History S2'!F:F,'OB History S2'!B:B,A15)</f>
        <v>4</v>
      </c>
      <c r="O15" s="2">
        <f>SUMIFS('OB History S2'!E:E,'OB History S2'!B:B,A15)-N15</f>
        <v>9</v>
      </c>
      <c r="P15" s="88">
        <f>LOOKUP(2, 1/('OB History S2'!$B:$B=A15), 'OB History S2'!$AB:$AB)</f>
        <v>0.26666666666666666</v>
      </c>
      <c r="Q15" s="34">
        <f>SUMIFS('OB History S2'!H:H,'OB History S2'!B:B,A15)</f>
        <v>22</v>
      </c>
      <c r="R15" s="2">
        <f>SUMIFS('OB History S2'!G:G,'OB History S2'!B:B,A15)-Q15</f>
        <v>33</v>
      </c>
      <c r="S15" s="88">
        <f>LOOKUP(2, 1/('OB History S2'!$B:$B=A15), 'OB History S2'!$AC:$AC)</f>
        <v>0.37666666666666665</v>
      </c>
      <c r="T15" s="2">
        <f>COUNTIFS('OB History S2'!$B:$B,$A$15,'OB History S2'!K:K, 1)</f>
        <v>0</v>
      </c>
      <c r="U15" s="2">
        <f>COUNTIFS('OB History S2'!$B:$B,$A$15,'OB History S2'!L:L, 1)</f>
        <v>0</v>
      </c>
      <c r="V15" s="2">
        <f>COUNTIFS('OB History S2'!$B:$B,$A$15,'OB History S2'!M:M, 1)</f>
        <v>1</v>
      </c>
      <c r="W15" s="2">
        <f>COUNTIFS('OB History S2'!$B:$B,$A$15,'OB History S2'!N:N, 1)</f>
        <v>0</v>
      </c>
      <c r="X15" s="2">
        <f>COUNTIFS('OB History S2'!$B:$B,$A$15,'OB History S2'!O:O, 1)</f>
        <v>0</v>
      </c>
      <c r="Y15" s="2">
        <f>COUNTIFS('OB History S2'!$B:$B,$A$15,'OB History S2'!P:P, 1)</f>
        <v>1</v>
      </c>
      <c r="Z15" s="2">
        <f>COUNTIFS('OB History S2'!$B:$B,$A$15,'OB History S2'!Q:Q, 1)</f>
        <v>1</v>
      </c>
      <c r="AA15" s="2">
        <f>COUNTIFS('OB History S2'!$B:$B,$A$15,'OB History S2'!R:R, 1)</f>
        <v>0</v>
      </c>
      <c r="AB15" s="2">
        <f>COUNTIFS('OB History S2'!$B:$B,$A$15,'OB History S2'!S:S, 1)</f>
        <v>0</v>
      </c>
      <c r="AC15" s="2">
        <f>COUNTIFS('OB History S2'!$B:$B,$A$15,'OB History S2'!T:T, 1)</f>
        <v>0</v>
      </c>
      <c r="AD15" s="2">
        <f>COUNTIFS('OB History S2'!$B:$B,$A$15,'OB History S2'!U:U, 1)</f>
        <v>0</v>
      </c>
      <c r="AE15" s="2">
        <f>COUNTIFS('OB History S2'!$B:$B,$A$15,'OB History S2'!V:V, 1)</f>
        <v>0</v>
      </c>
      <c r="AF15" s="2">
        <f>COUNTIFS('OB History S2'!$B:$B,$A$15,'OB History S2'!W:W, 1)</f>
        <v>0</v>
      </c>
      <c r="AG15" s="2">
        <f>COUNTIFS('OB History S2'!$B:$B,$A$15,'OB History S2'!X:X, 1)</f>
        <v>1</v>
      </c>
      <c r="AH15" s="2">
        <f>COUNTIFS('OB History S2'!$B:$B,$A$15,'OB History S2'!Y:Y, 1)</f>
        <v>0</v>
      </c>
      <c r="AI15" s="2">
        <f>COUNTIFS('OB History S2'!$B:$B,$A$15,'OB History S2'!Z:Z, 1)</f>
        <v>0</v>
      </c>
    </row>
    <row r="16" spans="1:35" ht="15.75" x14ac:dyDescent="0.25">
      <c r="A16" s="1" t="s">
        <v>45</v>
      </c>
      <c r="B16" s="80" t="s">
        <v>60</v>
      </c>
      <c r="C16" s="2" t="s">
        <v>79</v>
      </c>
      <c r="D16" s="2"/>
      <c r="E16" s="2"/>
      <c r="F16" s="2"/>
      <c r="G16" s="2"/>
      <c r="H16" s="34">
        <f>SUMIFS('OB History S2'!C:C,'OB History S2'!B:B,A16)</f>
        <v>97</v>
      </c>
      <c r="I16" s="4">
        <f>AVERAGEIFS('OB History S2'!C:C,'OB History S2'!B:B,A16)</f>
        <v>13.857142857142858</v>
      </c>
      <c r="J16" s="35">
        <f t="array" ref="J16">MAX(IF('OB History S2'!B:B=A16, 'OB History S2'!C:C))</f>
        <v>26</v>
      </c>
      <c r="K16" s="34">
        <f>COUNTIFS('OB History S2'!B:B,A16,'OB History S2'!D:D, 1)</f>
        <v>4</v>
      </c>
      <c r="L16" s="2">
        <f>COUNTIFS('OB History S2'!B:B,A16,'OB History S2'!D:D, 0)</f>
        <v>3</v>
      </c>
      <c r="M16" s="88">
        <f>LOOKUP(2, 1/('OB History S2'!$B:$B=A16), 'OB History S2'!$AD:$AD)</f>
        <v>0.5714285714285714</v>
      </c>
      <c r="N16" s="34">
        <f>SUMIFS('OB History S2'!F:F,'OB History S2'!B:B,A16)</f>
        <v>16</v>
      </c>
      <c r="O16" s="2">
        <f>SUMIFS('OB History S2'!E:E,'OB History S2'!B:B,A16)-N16</f>
        <v>15</v>
      </c>
      <c r="P16" s="88">
        <f>LOOKUP(2, 1/('OB History S2'!$B:$B=A16), 'OB History S2'!$AB:$AB)</f>
        <v>0.51428571428571435</v>
      </c>
      <c r="Q16" s="34">
        <f>SUMIFS('OB History S2'!H:H,'OB History S2'!B:B,A16)</f>
        <v>58</v>
      </c>
      <c r="R16" s="2">
        <f>SUMIFS('OB History S2'!G:G,'OB History S2'!B:B,A16)-Q16</f>
        <v>61</v>
      </c>
      <c r="S16" s="88">
        <f>LOOKUP(2, 1/('OB History S2'!$B:$B=A16), 'OB History S2'!$AC:$AC)</f>
        <v>0.4871428571428571</v>
      </c>
      <c r="T16" s="2">
        <f>COUNTIFS('OB History S2'!$B:$B,$A$16,'OB History S2'!K:K, 1)</f>
        <v>1</v>
      </c>
      <c r="U16" s="2">
        <f>COUNTIFS('OB History S2'!$B:$B,$A$16,'OB History S2'!L:L, 1)</f>
        <v>1</v>
      </c>
      <c r="V16" s="2">
        <f>COUNTIFS('OB History S2'!$B:$B,$A$16,'OB History S2'!M:M, 1)</f>
        <v>2</v>
      </c>
      <c r="W16" s="2">
        <f>COUNTIFS('OB History S2'!$B:$B,$A$16,'OB History S2'!N:N, 1)</f>
        <v>1</v>
      </c>
      <c r="X16" s="2">
        <f>COUNTIFS('OB History S2'!$B:$B,$A$16,'OB History S2'!O:O, 1)</f>
        <v>0</v>
      </c>
      <c r="Y16" s="2">
        <f>COUNTIFS('OB History S2'!$B:$B,$A$16,'OB History S2'!P:P, 1)</f>
        <v>1</v>
      </c>
      <c r="Z16" s="2">
        <f>COUNTIFS('OB History S2'!$B:$B,$A$16,'OB History S2'!Q:Q, 1)</f>
        <v>0</v>
      </c>
      <c r="AA16" s="2">
        <f>COUNTIFS('OB History S2'!$B:$B,$A$16,'OB History S2'!R:R, 1)</f>
        <v>0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0</v>
      </c>
      <c r="AF16" s="2">
        <f>COUNTIFS('OB History S2'!$B:$B,$A$16,'OB History S2'!W:W, 1)</f>
        <v>1</v>
      </c>
      <c r="AG16" s="2">
        <f>COUNTIFS('OB History S2'!$B:$B,$A$16,'OB History S2'!X:X, 1)</f>
        <v>1</v>
      </c>
      <c r="AH16" s="2">
        <f>COUNTIFS('OB History S2'!$B:$B,$A$16,'OB History S2'!Y:Y, 1)</f>
        <v>3</v>
      </c>
      <c r="AI16" s="2">
        <f>COUNTIFS('OB History S2'!$B:$B,$A$16,'OB History S2'!Z:Z, 1)</f>
        <v>3</v>
      </c>
    </row>
    <row r="17" spans="1:35" x14ac:dyDescent="0.25">
      <c r="A17" s="2" t="s">
        <v>52</v>
      </c>
      <c r="B17" s="2" t="s">
        <v>79</v>
      </c>
      <c r="C17" s="2" t="s">
        <v>79</v>
      </c>
      <c r="D17" s="2"/>
      <c r="E17" s="2"/>
      <c r="F17" s="2"/>
      <c r="G17" s="2"/>
      <c r="H17" s="34">
        <f>SUMIFS('OB History S2'!C:C,'OB History S2'!B:B,A17)</f>
        <v>34</v>
      </c>
      <c r="I17" s="4">
        <f>AVERAGEIFS('OB History S2'!C:C,'OB History S2'!B:B,A17)</f>
        <v>34</v>
      </c>
      <c r="J17" s="35">
        <f t="array" ref="J17">MAX(IF('OB History S2'!B:B=A17, 'OB History S2'!C:C))</f>
        <v>34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8</v>
      </c>
      <c r="R17" s="2">
        <f>SUMIFS('OB History S2'!G:G,'OB History S2'!B:B,A17)-Q17</f>
        <v>13</v>
      </c>
      <c r="S17" s="88">
        <f>LOOKUP(2, 1/('OB History S2'!$B:$B=A17), 'OB History S2'!$AC:$AC)</f>
        <v>0.38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1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0</v>
      </c>
      <c r="AG17" s="2">
        <f>COUNTIFS('OB History S2'!$B:$B,$A$17,'OB History S2'!X:X, 1)</f>
        <v>1</v>
      </c>
      <c r="AH17" s="2">
        <f>COUNTIFS('OB History S2'!$B:$B,$A$17,'OB History S2'!Y:Y, 1)</f>
        <v>0</v>
      </c>
      <c r="AI17" s="2">
        <f>COUNTIFS('OB History S2'!$B:$B,$A$17,'OB History S2'!Z:Z, 1)</f>
        <v>0</v>
      </c>
    </row>
    <row r="18" spans="1:35" x14ac:dyDescent="0.25">
      <c r="A18" s="1" t="s">
        <v>44</v>
      </c>
      <c r="B18" s="2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38</v>
      </c>
      <c r="I18" s="4">
        <f>AVERAGEIFS('OB History S2'!C:C,'OB History S2'!B:B,A18)</f>
        <v>19</v>
      </c>
      <c r="J18" s="35">
        <f t="array" ref="J18">MAX(IF('OB History S2'!B:B=A18, 'OB History S2'!C:C))</f>
        <v>28</v>
      </c>
      <c r="K18" s="34">
        <f>COUNTIFS('OB History S2'!B:B,A18,'OB History S2'!D:D, 1)</f>
        <v>2</v>
      </c>
      <c r="L18" s="2">
        <f>COUNTIFS('OB History S2'!B:B,A18,'OB History S2'!D:D, 0)</f>
        <v>0</v>
      </c>
      <c r="M18" s="88">
        <f>LOOKUP(2, 1/('OB History S2'!$B:$B=A18), 'OB History S2'!$AD:$AD)</f>
        <v>1</v>
      </c>
      <c r="N18" s="34">
        <f>SUMIFS('OB History S2'!F:F,'OB History S2'!B:B,A18)</f>
        <v>6</v>
      </c>
      <c r="O18" s="2">
        <f>SUMIFS('OB History S2'!E:E,'OB History S2'!B:B,A18)-N18</f>
        <v>2</v>
      </c>
      <c r="P18" s="88">
        <f>LOOKUP(2, 1/('OB History S2'!$B:$B=A18), 'OB History S2'!$AB:$AB)</f>
        <v>0.8</v>
      </c>
      <c r="Q18" s="34">
        <f>SUMIFS('OB History S2'!H:H,'OB History S2'!B:B,A18)</f>
        <v>20</v>
      </c>
      <c r="R18" s="2">
        <f>SUMIFS('OB History S2'!G:G,'OB History S2'!B:B,A18)-Q18</f>
        <v>13</v>
      </c>
      <c r="S18" s="88">
        <f>LOOKUP(2, 1/('OB History S2'!$B:$B=A18), 'OB History S2'!$AC:$AC)</f>
        <v>0.63500000000000001</v>
      </c>
      <c r="T18" s="2">
        <f>COUNTIFS('OB History S2'!$B:$B,$A$18,'OB History S2'!K:K, 1)</f>
        <v>0</v>
      </c>
      <c r="U18" s="2">
        <f>COUNTIFS('OB History S2'!$B:$B,$A$18,'OB History S2'!L:L, 1)</f>
        <v>1</v>
      </c>
      <c r="V18" s="2">
        <f>COUNTIFS('OB History S2'!$B:$B,$A$18,'OB History S2'!M:M, 1)</f>
        <v>0</v>
      </c>
      <c r="W18" s="2">
        <f>COUNTIFS('OB History S2'!$B:$B,$A$18,'OB History S2'!N:N, 1)</f>
        <v>0</v>
      </c>
      <c r="X18" s="2">
        <f>COUNTIFS('OB History S2'!$B:$B,$A$18,'OB History S2'!O:O, 1)</f>
        <v>0</v>
      </c>
      <c r="Y18" s="2">
        <f>COUNTIFS('OB History S2'!$B:$B,$A$18,'OB History S2'!P:P, 1)</f>
        <v>0</v>
      </c>
      <c r="Z18" s="2">
        <f>COUNTIFS('OB History S2'!$B:$B,$A$18,'OB History S2'!Q:Q, 1)</f>
        <v>1</v>
      </c>
      <c r="AA18" s="2">
        <f>COUNTIFS('OB History S2'!$B:$B,$A$18,'OB History S2'!R:R, 1)</f>
        <v>0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1</v>
      </c>
      <c r="AG18" s="2">
        <f>COUNTIFS('OB History S2'!$B:$B,$A$18,'OB History S2'!X:X, 1)</f>
        <v>1</v>
      </c>
      <c r="AH18" s="2">
        <f>COUNTIFS('OB History S2'!$B:$B,$A$18,'OB History S2'!Y:Y, 1)</f>
        <v>2</v>
      </c>
      <c r="AI18" s="2">
        <f>COUNTIFS('OB History S2'!$B:$B,$A$18,'OB History S2'!Z:Z, 1)</f>
        <v>0</v>
      </c>
    </row>
    <row r="19" spans="1:35" x14ac:dyDescent="0.25">
      <c r="A19" s="2" t="s">
        <v>1</v>
      </c>
      <c r="B19" s="6" t="s">
        <v>124</v>
      </c>
      <c r="C19" s="2" t="s">
        <v>79</v>
      </c>
      <c r="D19" s="2"/>
      <c r="E19" s="2"/>
      <c r="F19" s="2"/>
      <c r="G19" s="2"/>
      <c r="H19" s="34">
        <f>SUMIFS('OB History S2'!C:C,'OB History S2'!B:B,A19)</f>
        <v>63</v>
      </c>
      <c r="I19" s="4">
        <f>AVERAGEIFS('OB History S2'!C:C,'OB History S2'!B:B,A19)</f>
        <v>15.75</v>
      </c>
      <c r="J19" s="35">
        <f t="array" ref="J19">MAX(IF('OB History S2'!B:B=A19, 'OB History S2'!C:C))</f>
        <v>24</v>
      </c>
      <c r="K19" s="34">
        <f>COUNTIFS('OB History S2'!B:B,A19,'OB History S2'!D:D, 1)</f>
        <v>1</v>
      </c>
      <c r="L19" s="2">
        <f>COUNTIFS('OB History S2'!B:B,A19,'OB History S2'!D:D, 0)</f>
        <v>3</v>
      </c>
      <c r="M19" s="88">
        <f>LOOKUP(2, 1/('OB History S2'!$B:$B=A19), 'OB History S2'!$AD:$AD)</f>
        <v>0.25</v>
      </c>
      <c r="N19" s="34">
        <f>SUMIFS('OB History S2'!F:F,'OB History S2'!B:B,A19)</f>
        <v>6</v>
      </c>
      <c r="O19" s="2">
        <f>SUMIFS('OB History S2'!E:E,'OB History S2'!B:B,A19)-N19</f>
        <v>10</v>
      </c>
      <c r="P19" s="88">
        <f>LOOKUP(2, 1/('OB History S2'!$B:$B=A19), 'OB History S2'!$AB:$AB)</f>
        <v>0.35</v>
      </c>
      <c r="Q19" s="34">
        <f>SUMIFS('OB History S2'!H:H,'OB History S2'!B:B,A19)</f>
        <v>24</v>
      </c>
      <c r="R19" s="2">
        <f>SUMIFS('OB History S2'!G:G,'OB History S2'!B:B,A19)-Q19</f>
        <v>36</v>
      </c>
      <c r="S19" s="88">
        <f>LOOKUP(2, 1/('OB History S2'!$B:$B=A19), 'OB History S2'!$AC:$AC)</f>
        <v>0.375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1</v>
      </c>
      <c r="X19" s="2">
        <f>COUNTIFS('OB History S2'!$B:$B,$A$19,'OB History S2'!O:O, 1)</f>
        <v>0</v>
      </c>
      <c r="Y19" s="2">
        <f>COUNTIFS('OB History S2'!$B:$B,$A$19,'OB History S2'!P:P, 1)</f>
        <v>1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2</v>
      </c>
      <c r="AG19" s="2">
        <f>COUNTIFS('OB History S2'!$B:$B,$A$19,'OB History S2'!X:X, 1)</f>
        <v>0</v>
      </c>
      <c r="AH19" s="2">
        <f>COUNTIFS('OB History S2'!$B:$B,$A$19,'OB History S2'!Y:Y, 1)</f>
        <v>2</v>
      </c>
      <c r="AI19" s="2">
        <f>COUNTIFS('OB History S2'!$B:$B,$A$19,'OB History S2'!Z:Z, 1)</f>
        <v>0</v>
      </c>
    </row>
    <row r="20" spans="1:35" x14ac:dyDescent="0.25">
      <c r="A20" s="1" t="s">
        <v>150</v>
      </c>
      <c r="B20" s="2" t="s">
        <v>79</v>
      </c>
      <c r="C20" s="2" t="s">
        <v>79</v>
      </c>
      <c r="D20" s="2">
        <v>1</v>
      </c>
      <c r="E20" s="2"/>
      <c r="F20" s="2"/>
      <c r="G20" s="2"/>
      <c r="H20" s="34">
        <f>SUMIFS('OB History S2'!C:C,'OB History S2'!B:B,A20)</f>
        <v>121</v>
      </c>
      <c r="I20" s="4">
        <f>AVERAGEIFS('OB History S2'!C:C,'OB History S2'!B:B,A20)</f>
        <v>17.285714285714285</v>
      </c>
      <c r="J20" s="35">
        <f t="array" ref="J20">MAX(IF('OB History S2'!B:B=A20, 'OB History S2'!C:C))</f>
        <v>26</v>
      </c>
      <c r="K20" s="34">
        <f>COUNTIFS('OB History S2'!B:B,A20,'OB History S2'!D:D, 1)</f>
        <v>6</v>
      </c>
      <c r="L20" s="2">
        <f>COUNTIFS('OB History S2'!B:B,A20,'OB History S2'!D:D, 0)</f>
        <v>1</v>
      </c>
      <c r="M20" s="88">
        <f>LOOKUP(2, 1/('OB History S2'!$B:$B=A20), 'OB History S2'!$AD:$AD)</f>
        <v>0.8571428571428571</v>
      </c>
      <c r="N20" s="34">
        <f>SUMIFS('OB History S2'!F:F,'OB History S2'!B:B,A20)</f>
        <v>20</v>
      </c>
      <c r="O20" s="2">
        <f>SUMIFS('OB History S2'!E:E,'OB History S2'!B:B,A20)-N20</f>
        <v>10</v>
      </c>
      <c r="P20" s="88">
        <f>LOOKUP(2, 1/('OB History S2'!$B:$B=A20), 'OB History S2'!$AB:$AB)</f>
        <v>0.69285714285714284</v>
      </c>
      <c r="Q20" s="34">
        <f>SUMIFS('OB History S2'!H:H,'OB History S2'!B:B,A20)</f>
        <v>76</v>
      </c>
      <c r="R20" s="2">
        <f>SUMIFS('OB History S2'!G:G,'OB History S2'!B:B,A20)-Q20</f>
        <v>43</v>
      </c>
      <c r="S20" s="88">
        <f>LOOKUP(2, 1/('OB History S2'!$B:$B=A20), 'OB History S2'!$AC:$AC)</f>
        <v>0.65142857142857136</v>
      </c>
      <c r="T20" s="2">
        <f>COUNTIFS('OB History S2'!$B:$B,$A$20,'OB History S2'!K:K, 1)</f>
        <v>0</v>
      </c>
      <c r="U20" s="2">
        <f>COUNTIFS('OB History S2'!$B:$B,$A$20,'OB History S2'!L:L, 1)</f>
        <v>0</v>
      </c>
      <c r="V20" s="2">
        <f>COUNTIFS('OB History S2'!$B:$B,$A$20,'OB History S2'!M:M, 1)</f>
        <v>1</v>
      </c>
      <c r="W20" s="2">
        <f>COUNTIFS('OB History S2'!$B:$B,$A$20,'OB History S2'!N:N, 1)</f>
        <v>3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1</v>
      </c>
      <c r="AA20" s="2">
        <f>COUNTIFS('OB History S2'!$B:$B,$A$20,'OB History S2'!R:R, 1)</f>
        <v>1</v>
      </c>
      <c r="AB20" s="2">
        <f>COUNTIFS('OB History S2'!$B:$B,$A$20,'OB History S2'!S:S, 1)</f>
        <v>0</v>
      </c>
      <c r="AC20" s="2">
        <f>COUNTIFS('OB History S2'!$B:$B,$A$20,'OB History S2'!T:T, 1)</f>
        <v>0</v>
      </c>
      <c r="AD20" s="2">
        <f>COUNTIFS('OB History S2'!$B:$B,$A$20,'OB History S2'!U:U, 1)</f>
        <v>1</v>
      </c>
      <c r="AE20" s="2">
        <f>COUNTIFS('OB History S2'!$B:$B,$A$20,'OB History S2'!V:V, 1)</f>
        <v>0</v>
      </c>
      <c r="AF20" s="2">
        <f>COUNTIFS('OB History S2'!$B:$B,$A$20,'OB History S2'!W:W, 1)</f>
        <v>3</v>
      </c>
      <c r="AG20" s="2">
        <f>COUNTIFS('OB History S2'!$B:$B,$A$20,'OB History S2'!X:X, 1)</f>
        <v>3</v>
      </c>
      <c r="AH20" s="2">
        <f>COUNTIFS('OB History S2'!$B:$B,$A$20,'OB History S2'!Y:Y, 1)</f>
        <v>4</v>
      </c>
      <c r="AI20" s="2">
        <f>COUNTIFS('OB History S2'!$B:$B,$A$20,'OB History S2'!Z:Z, 1)</f>
        <v>1</v>
      </c>
    </row>
    <row r="21" spans="1:35" x14ac:dyDescent="0.25">
      <c r="A21" s="2" t="s">
        <v>29</v>
      </c>
      <c r="B21" s="6" t="s">
        <v>173</v>
      </c>
      <c r="C21" s="2" t="s">
        <v>79</v>
      </c>
      <c r="D21" s="2">
        <v>1</v>
      </c>
      <c r="E21" s="2"/>
      <c r="F21" s="2"/>
      <c r="G21" s="2"/>
      <c r="H21" s="34">
        <f>SUMIFS('OB History S2'!C:C,'OB History S2'!B:B,A21)</f>
        <v>218</v>
      </c>
      <c r="I21" s="4">
        <f>AVERAGEIFS('OB History S2'!C:C,'OB History S2'!B:B,A21)</f>
        <v>12.111111111111111</v>
      </c>
      <c r="J21" s="35">
        <f t="array" ref="J21">MAX(IF('OB History S2'!B:B=A21, 'OB History S2'!C:C))</f>
        <v>21</v>
      </c>
      <c r="K21" s="34">
        <f>COUNTIFS('OB History S2'!B:B,A21,'OB History S2'!D:D, 1)</f>
        <v>6</v>
      </c>
      <c r="L21" s="2">
        <f>COUNTIFS('OB History S2'!B:B,A21,'OB History S2'!D:D, 0)</f>
        <v>12</v>
      </c>
      <c r="M21" s="88">
        <f>LOOKUP(2, 1/('OB History S2'!$B:$B=A21), 'OB History S2'!$AD:$AD)</f>
        <v>0.33333333333333331</v>
      </c>
      <c r="N21" s="34">
        <f>SUMIFS('OB History S2'!F:F,'OB History S2'!B:B,A21)</f>
        <v>30</v>
      </c>
      <c r="O21" s="2">
        <f>SUMIFS('OB History S2'!E:E,'OB History S2'!B:B,A21)-N21</f>
        <v>42</v>
      </c>
      <c r="P21" s="88">
        <f>LOOKUP(2, 1/('OB History S2'!$B:$B=A21), 'OB History S2'!$AB:$AB)</f>
        <v>0.4055555555555555</v>
      </c>
      <c r="Q21" s="34">
        <f>SUMIFS('OB History S2'!H:H,'OB History S2'!B:B,A21)</f>
        <v>136</v>
      </c>
      <c r="R21" s="2">
        <f>SUMIFS('OB History S2'!G:G,'OB History S2'!B:B,A21)-Q21</f>
        <v>157</v>
      </c>
      <c r="S21" s="88">
        <f>LOOKUP(2, 1/('OB History S2'!$B:$B=A21), 'OB History S2'!$AC:$AC)</f>
        <v>0.46555555555555561</v>
      </c>
      <c r="T21" s="2">
        <f>COUNTIFS('OB History S2'!$B:$B,$A$21,'OB History S2'!K:K, 1)</f>
        <v>3</v>
      </c>
      <c r="U21" s="2">
        <f>COUNTIFS('OB History S2'!$B:$B,$A$21,'OB History S2'!L:L, 1)</f>
        <v>2</v>
      </c>
      <c r="V21" s="2">
        <f>COUNTIFS('OB History S2'!$B:$B,$A$21,'OB History S2'!M:M, 1)</f>
        <v>0</v>
      </c>
      <c r="W21" s="2">
        <f>COUNTIFS('OB History S2'!$B:$B,$A$21,'OB History S2'!N:N, 1)</f>
        <v>2</v>
      </c>
      <c r="X21" s="2">
        <f>COUNTIFS('OB History S2'!$B:$B,$A$21,'OB History S2'!O:O, 1)</f>
        <v>2</v>
      </c>
      <c r="Y21" s="2">
        <f>COUNTIFS('OB History S2'!$B:$B,$A$21,'OB History S2'!P:P, 1)</f>
        <v>4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1</v>
      </c>
      <c r="AF21" s="2">
        <f>COUNTIFS('OB History S2'!$B:$B,$A$21,'OB History S2'!W:W, 1)</f>
        <v>7</v>
      </c>
      <c r="AG21" s="2">
        <f>COUNTIFS('OB History S2'!$B:$B,$A$21,'OB History S2'!X:X, 1)</f>
        <v>3</v>
      </c>
      <c r="AH21" s="2">
        <f>COUNTIFS('OB History S2'!$B:$B,$A$21,'OB History S2'!Y:Y, 1)</f>
        <v>5</v>
      </c>
      <c r="AI21" s="2">
        <f>COUNTIFS('OB History S2'!$B:$B,$A$21,'OB History S2'!Z:Z, 1)</f>
        <v>1</v>
      </c>
    </row>
    <row r="22" spans="1:35" x14ac:dyDescent="0.25">
      <c r="A22" s="2" t="s">
        <v>28</v>
      </c>
      <c r="B22" s="6" t="s">
        <v>60</v>
      </c>
      <c r="C22" s="2" t="s">
        <v>79</v>
      </c>
      <c r="D22" s="2"/>
      <c r="E22" s="2"/>
      <c r="F22" s="2"/>
      <c r="G22" s="2"/>
      <c r="H22" s="34">
        <f>SUMIFS('OB History S2'!C:C,'OB History S2'!B:B,A22)</f>
        <v>94</v>
      </c>
      <c r="I22" s="4">
        <f>AVERAGEIFS('OB History S2'!C:C,'OB History S2'!B:B,A22)</f>
        <v>23.5</v>
      </c>
      <c r="J22" s="35">
        <f t="array" ref="J22">MAX(IF('OB History S2'!B:B=A22, 'OB History S2'!C:C))</f>
        <v>43</v>
      </c>
      <c r="K22" s="34">
        <f>COUNTIFS('OB History S2'!B:B,A22,'OB History S2'!D:D, 1)</f>
        <v>2</v>
      </c>
      <c r="L22" s="2">
        <f>COUNTIFS('OB History S2'!B:B,A22,'OB History S2'!D:D, 0)</f>
        <v>2</v>
      </c>
      <c r="M22" s="88">
        <f>LOOKUP(2, 1/('OB History S2'!$B:$B=A22), 'OB History S2'!$AD:$AD)</f>
        <v>0.5</v>
      </c>
      <c r="N22" s="34">
        <f>SUMIFS('OB History S2'!F:F,'OB History S2'!B:B,A22)</f>
        <v>9</v>
      </c>
      <c r="O22" s="2">
        <f>SUMIFS('OB History S2'!E:E,'OB History S2'!B:B,A22)-N22</f>
        <v>9</v>
      </c>
      <c r="P22" s="88">
        <f>LOOKUP(2, 1/('OB History S2'!$B:$B=A22), 'OB History S2'!$AB:$AB)</f>
        <v>0.5</v>
      </c>
      <c r="Q22" s="34">
        <f>SUMIFS('OB History S2'!H:H,'OB History S2'!B:B,A22)</f>
        <v>37</v>
      </c>
      <c r="R22" s="2">
        <f>SUMIFS('OB History S2'!G:G,'OB History S2'!B:B,A22)-Q22</f>
        <v>37</v>
      </c>
      <c r="S22" s="88">
        <f>LOOKUP(2, 1/('OB History S2'!$B:$B=A22), 'OB History S2'!$AC:$AC)</f>
        <v>0.505</v>
      </c>
      <c r="T22" s="2">
        <f>COUNTIFS('OB History S2'!$B:$B,$A$22,'OB History S2'!K:K, 1)</f>
        <v>1</v>
      </c>
      <c r="U22" s="2">
        <f>COUNTIFS('OB History S2'!$B:$B,$A$22,'OB History S2'!L:L, 1)</f>
        <v>1</v>
      </c>
      <c r="V22" s="2">
        <f>COUNTIFS('OB History S2'!$B:$B,$A$22,'OB History S2'!M:M, 1)</f>
        <v>0</v>
      </c>
      <c r="W22" s="2">
        <f>COUNTIFS('OB History S2'!$B:$B,$A$22,'OB History S2'!N:N, 1)</f>
        <v>0</v>
      </c>
      <c r="X22" s="2">
        <f>COUNTIFS('OB History S2'!$B:$B,$A$22,'OB History S2'!O:O, 1)</f>
        <v>1</v>
      </c>
      <c r="Y22" s="2">
        <f>COUNTIFS('OB History S2'!$B:$B,$A$22,'OB History S2'!P:P, 1)</f>
        <v>0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0</v>
      </c>
      <c r="AG22" s="2">
        <f>COUNTIFS('OB History S2'!$B:$B,$A$22,'OB History S2'!X:X, 1)</f>
        <v>4</v>
      </c>
      <c r="AH22" s="2">
        <f>COUNTIFS('OB History S2'!$B:$B,$A$22,'OB History S2'!Y:Y, 1)</f>
        <v>0</v>
      </c>
      <c r="AI22" s="2">
        <f>COUNTIFS('OB History S2'!$B:$B,$A$22,'OB History S2'!Z:Z, 1)</f>
        <v>1</v>
      </c>
    </row>
    <row r="23" spans="1:35" x14ac:dyDescent="0.25">
      <c r="A23" s="2" t="s">
        <v>139</v>
      </c>
      <c r="B23" s="6" t="s">
        <v>79</v>
      </c>
      <c r="C23" s="2" t="s">
        <v>79</v>
      </c>
      <c r="D23" s="2"/>
      <c r="E23" s="2"/>
      <c r="F23" s="2"/>
      <c r="G23" s="2"/>
      <c r="H23" s="34">
        <f>SUMIFS('OB History S2'!C:C,'OB History S2'!B:B,A23)</f>
        <v>124</v>
      </c>
      <c r="I23" s="4">
        <f>AVERAGEIFS('OB History S2'!C:C,'OB History S2'!B:B,A23)</f>
        <v>11.272727272727273</v>
      </c>
      <c r="J23" s="35">
        <f t="array" ref="J23">MAX(IF('OB History S2'!B:B=A23, 'OB History S2'!C:C))</f>
        <v>17</v>
      </c>
      <c r="K23" s="34">
        <f>COUNTIFS('OB History S2'!B:B,A23,'OB History S2'!D:D, 1)</f>
        <v>8</v>
      </c>
      <c r="L23" s="2">
        <f>COUNTIFS('OB History S2'!B:B,A23,'OB History S2'!D:D, 0)</f>
        <v>3</v>
      </c>
      <c r="M23" s="88">
        <f>LOOKUP(2, 1/('OB History S2'!$B:$B=A23), 'OB History S2'!$AD:$AD)</f>
        <v>0.72727272727272729</v>
      </c>
      <c r="N23" s="34">
        <f>SUMIFS('OB History S2'!F:F,'OB History S2'!B:B,A23)</f>
        <v>27</v>
      </c>
      <c r="O23" s="2">
        <f>SUMIFS('OB History S2'!E:E,'OB History S2'!B:B,A23)-N23</f>
        <v>20</v>
      </c>
      <c r="P23" s="88">
        <f>LOOKUP(2, 1/('OB History S2'!$B:$B=A23), 'OB History S2'!$AB:$AB)</f>
        <v>0.57272727272727275</v>
      </c>
      <c r="Q23" s="34">
        <f>SUMIFS('OB History S2'!H:H,'OB History S2'!B:B,A23)</f>
        <v>101</v>
      </c>
      <c r="R23" s="2">
        <f>SUMIFS('OB History S2'!G:G,'OB History S2'!B:B,A23)-Q23</f>
        <v>85</v>
      </c>
      <c r="S23" s="88">
        <f>LOOKUP(2, 1/('OB History S2'!$B:$B=A23), 'OB History S2'!$AC:$AC)</f>
        <v>0.54272727272727272</v>
      </c>
      <c r="T23" s="2">
        <f>COUNTIFS('OB History S2'!$B:$B,$A$23,'OB History S2'!K:K, 1)</f>
        <v>1</v>
      </c>
      <c r="U23" s="2">
        <f>COUNTIFS('OB History S2'!$B:$B,$A$23,'OB History S2'!L:L, 1)</f>
        <v>4</v>
      </c>
      <c r="V23" s="2">
        <f>COUNTIFS('OB History S2'!$B:$B,$A$23,'OB History S2'!M:M, 1)</f>
        <v>0</v>
      </c>
      <c r="W23" s="2">
        <f>COUNTIFS('OB History S2'!$B:$B,$A$23,'OB History S2'!N:N, 1)</f>
        <v>3</v>
      </c>
      <c r="X23" s="2">
        <f>COUNTIFS('OB History S2'!$B:$B,$A$23,'OB History S2'!O:O, 1)</f>
        <v>0</v>
      </c>
      <c r="Y23" s="2">
        <f>COUNTIFS('OB History S2'!$B:$B,$A$23,'OB History S2'!P:P, 1)</f>
        <v>2</v>
      </c>
      <c r="Z23" s="2">
        <f>COUNTIFS('OB History S2'!$B:$B,$A$23,'OB History S2'!Q:Q, 1)</f>
        <v>2</v>
      </c>
      <c r="AA23" s="2">
        <f>COUNTIFS('OB History S2'!$B:$B,$A$23,'OB History S2'!R:R, 1)</f>
        <v>2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0</v>
      </c>
      <c r="AG23" s="2">
        <f>COUNTIFS('OB History S2'!$B:$B,$A$23,'OB History S2'!X:X, 1)</f>
        <v>6</v>
      </c>
      <c r="AH23" s="2">
        <f>COUNTIFS('OB History S2'!$B:$B,$A$23,'OB History S2'!Y:Y, 1)</f>
        <v>2</v>
      </c>
      <c r="AI23" s="2">
        <f>COUNTIFS('OB History S2'!$B:$B,$A$23,'OB History S2'!Z:Z, 1)</f>
        <v>5</v>
      </c>
    </row>
    <row r="24" spans="1:35" ht="15.75" x14ac:dyDescent="0.25">
      <c r="A24" s="2" t="s">
        <v>20</v>
      </c>
      <c r="B24" s="80" t="s">
        <v>60</v>
      </c>
      <c r="C24" s="2" t="s">
        <v>79</v>
      </c>
      <c r="D24" s="2"/>
      <c r="E24" s="2"/>
      <c r="F24" s="2"/>
      <c r="G24" s="2"/>
      <c r="H24" s="34">
        <f>SUMIFS('OB History S2'!C:C,'OB History S2'!B:B,A24)</f>
        <v>122</v>
      </c>
      <c r="I24" s="4">
        <f>AVERAGEIFS('OB History S2'!C:C,'OB History S2'!B:B,A24)</f>
        <v>15.25</v>
      </c>
      <c r="J24" s="35">
        <f t="array" ref="J24">MAX(IF('OB History S2'!B:B=A24, 'OB History S2'!C:C))</f>
        <v>37</v>
      </c>
      <c r="K24" s="34">
        <f>COUNTIFS('OB History S2'!B:B,A24,'OB History S2'!D:D, 1)</f>
        <v>3</v>
      </c>
      <c r="L24" s="2">
        <f>COUNTIFS('OB History S2'!B:B,A24,'OB History S2'!D:D, 0)</f>
        <v>5</v>
      </c>
      <c r="M24" s="88">
        <f>LOOKUP(2, 1/('OB History S2'!$B:$B=A24), 'OB History S2'!$AD:$AD)</f>
        <v>0.375</v>
      </c>
      <c r="N24" s="34">
        <f>SUMIFS('OB History S2'!F:F,'OB History S2'!B:B,A24)</f>
        <v>16</v>
      </c>
      <c r="O24" s="2">
        <f>SUMIFS('OB History S2'!E:E,'OB History S2'!B:B,A24)-N24</f>
        <v>17</v>
      </c>
      <c r="P24" s="88">
        <f>LOOKUP(2, 1/('OB History S2'!$B:$B=A24), 'OB History S2'!$AB:$AB)</f>
        <v>0.49374999999999997</v>
      </c>
      <c r="Q24" s="34">
        <f>SUMIFS('OB History S2'!H:H,'OB History S2'!B:B,A24)</f>
        <v>70</v>
      </c>
      <c r="R24" s="2">
        <f>SUMIFS('OB History S2'!G:G,'OB History S2'!B:B,A24)-Q24</f>
        <v>68</v>
      </c>
      <c r="S24" s="88">
        <f>LOOKUP(2, 1/('OB History S2'!$B:$B=A24), 'OB History S2'!$AC:$AC)</f>
        <v>0.50875000000000004</v>
      </c>
      <c r="T24" s="2">
        <f>COUNTIFS('OB History S2'!$B:$B,$A$24,'OB History S2'!K:K, 1)</f>
        <v>2</v>
      </c>
      <c r="U24" s="2">
        <f>COUNTIFS('OB History S2'!$B:$B,$A$24,'OB History S2'!L:L, 1)</f>
        <v>1</v>
      </c>
      <c r="V24" s="2">
        <f>COUNTIFS('OB History S2'!$B:$B,$A$24,'OB History S2'!M:M, 1)</f>
        <v>1</v>
      </c>
      <c r="W24" s="2">
        <f>COUNTIFS('OB History S2'!$B:$B,$A$24,'OB History S2'!N:N, 1)</f>
        <v>2</v>
      </c>
      <c r="X24" s="2">
        <f>COUNTIFS('OB History S2'!$B:$B,$A$24,'OB History S2'!O:O, 1)</f>
        <v>0</v>
      </c>
      <c r="Y24" s="2">
        <f>COUNTIFS('OB History S2'!$B:$B,$A$24,'OB History S2'!P:P, 1)</f>
        <v>3</v>
      </c>
      <c r="Z24" s="2">
        <f>COUNTIFS('OB History S2'!$B:$B,$A$24,'OB History S2'!Q:Q, 1)</f>
        <v>0</v>
      </c>
      <c r="AA24" s="2">
        <f>COUNTIFS('OB History S2'!$B:$B,$A$24,'OB History S2'!R:R, 1)</f>
        <v>1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0</v>
      </c>
      <c r="AE24" s="2">
        <f>COUNTIFS('OB History S2'!$B:$B,$A$24,'OB History S2'!V:V, 1)</f>
        <v>0</v>
      </c>
      <c r="AF24" s="2">
        <f>COUNTIFS('OB History S2'!$B:$B,$A$24,'OB History S2'!W:W, 1)</f>
        <v>0</v>
      </c>
      <c r="AG24" s="2">
        <f>COUNTIFS('OB History S2'!$B:$B,$A$24,'OB History S2'!X:X, 1)</f>
        <v>1</v>
      </c>
      <c r="AH24" s="2">
        <f>COUNTIFS('OB History S2'!$B:$B,$A$24,'OB History S2'!Y:Y, 1)</f>
        <v>3</v>
      </c>
      <c r="AI24" s="2">
        <f>COUNTIFS('OB History S2'!$B:$B,$A$24,'OB History S2'!Z:Z, 1)</f>
        <v>2</v>
      </c>
    </row>
    <row r="25" spans="1:35" x14ac:dyDescent="0.25">
      <c r="A25" s="1" t="s">
        <v>47</v>
      </c>
      <c r="B25" s="2" t="s">
        <v>79</v>
      </c>
      <c r="C25" s="2" t="s">
        <v>79</v>
      </c>
      <c r="D25" s="2"/>
      <c r="E25" s="2"/>
      <c r="F25" s="2"/>
      <c r="G25" s="2"/>
      <c r="H25" s="34">
        <f>SUMIFS('OB History S2'!C:C,'OB History S2'!B:B,A25)</f>
        <v>9</v>
      </c>
      <c r="I25" s="4">
        <f>AVERAGEIFS('OB History S2'!C:C,'OB History S2'!B:B,A25)</f>
        <v>9</v>
      </c>
      <c r="J25" s="35">
        <f t="array" ref="J25">MAX(IF('OB History S2'!B:B=A25, 'OB History S2'!C:C))</f>
        <v>9</v>
      </c>
      <c r="K25" s="34">
        <f>COUNTIFS('OB History S2'!B:B,A25,'OB History S2'!D:D, 1)</f>
        <v>0</v>
      </c>
      <c r="L25" s="2">
        <f>COUNTIFS('OB History S2'!B:B,A25,'OB History S2'!D:D, 0)</f>
        <v>1</v>
      </c>
      <c r="M25" s="88">
        <f>LOOKUP(2, 1/('OB History S2'!$B:$B=A25), 'OB History S2'!$AD:$AD)</f>
        <v>0</v>
      </c>
      <c r="N25" s="34">
        <f>SUMIFS('OB History S2'!F:F,'OB History S2'!B:B,A25)</f>
        <v>2</v>
      </c>
      <c r="O25" s="2">
        <f>SUMIFS('OB History S2'!E:E,'OB History S2'!B:B,A25)-N25</f>
        <v>3</v>
      </c>
      <c r="P25" s="88">
        <f>LOOKUP(2, 1/('OB History S2'!$B:$B=A25), 'OB History S2'!$AB:$AB)</f>
        <v>0.4</v>
      </c>
      <c r="Q25" s="34">
        <f>SUMIFS('OB History S2'!H:H,'OB History S2'!B:B,A25)</f>
        <v>10</v>
      </c>
      <c r="R25" s="2">
        <f>SUMIFS('OB History S2'!G:G,'OB History S2'!B:B,A25)-Q25</f>
        <v>11</v>
      </c>
      <c r="S25" s="88">
        <f>LOOKUP(2, 1/('OB History S2'!$B:$B=A25), 'OB History S2'!$AC:$AC)</f>
        <v>0.48</v>
      </c>
      <c r="T25" s="2">
        <f>COUNTIFS('OB History S2'!$B:$B,$A$25,'OB History S2'!K:K, 1)</f>
        <v>1</v>
      </c>
      <c r="U25" s="2">
        <f>COUNTIFS('OB History S2'!$B:$B,$A$25,'OB History S2'!L:L, 1)</f>
        <v>0</v>
      </c>
      <c r="V25" s="2">
        <f>COUNTIFS('OB History S2'!$B:$B,$A$25,'OB History S2'!M:M, 1)</f>
        <v>0</v>
      </c>
      <c r="W25" s="2">
        <f>COUNTIFS('OB History S2'!$B:$B,$A$25,'OB History S2'!N:N, 1)</f>
        <v>0</v>
      </c>
      <c r="X25" s="2">
        <f>COUNTIFS('OB History S2'!$B:$B,$A$25,'OB History S2'!O:O, 1)</f>
        <v>0</v>
      </c>
      <c r="Y25" s="2">
        <f>COUNTIFS('OB History S2'!$B:$B,$A$25,'OB History S2'!P:P, 1)</f>
        <v>0</v>
      </c>
      <c r="Z25" s="2">
        <f>COUNTIFS('OB History S2'!$B:$B,$A$25,'OB History S2'!Q:Q, 1)</f>
        <v>0</v>
      </c>
      <c r="AA25" s="2">
        <f>COUNTIFS('OB History S2'!$B:$B,$A$25,'OB History S2'!R:R, 1)</f>
        <v>0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0</v>
      </c>
      <c r="AF25" s="2">
        <f>COUNTIFS('OB History S2'!$B:$B,$A$25,'OB History S2'!W:W, 1)</f>
        <v>1</v>
      </c>
      <c r="AG25" s="2">
        <f>COUNTIFS('OB History S2'!$B:$B,$A$25,'OB History S2'!X:X, 1)</f>
        <v>0</v>
      </c>
      <c r="AH25" s="2">
        <f>COUNTIFS('OB History S2'!$B:$B,$A$25,'OB History S2'!Y:Y, 1)</f>
        <v>0</v>
      </c>
      <c r="AI25" s="2">
        <f>COUNTIFS('OB History S2'!$B:$B,$A$25,'OB History S2'!Z:Z, 1)</f>
        <v>0</v>
      </c>
    </row>
    <row r="26" spans="1:35" x14ac:dyDescent="0.25">
      <c r="A26" s="2" t="s">
        <v>148</v>
      </c>
      <c r="B26" s="6" t="s">
        <v>79</v>
      </c>
      <c r="C26" s="6" t="s">
        <v>79</v>
      </c>
      <c r="D26" s="3">
        <v>3</v>
      </c>
      <c r="E26" s="6">
        <v>1</v>
      </c>
      <c r="F26" s="6"/>
      <c r="G26" s="6"/>
      <c r="H26" s="34">
        <f>SUMIFS('OB History S2'!C:C,'OB History S2'!B:B,A26)</f>
        <v>296</v>
      </c>
      <c r="I26" s="4">
        <f>AVERAGEIFS('OB History S2'!C:C,'OB History S2'!B:B,A26)</f>
        <v>13.454545454545455</v>
      </c>
      <c r="J26" s="35">
        <f t="array" ref="J26">MAX(IF('OB History S2'!B:B=A26, 'OB History S2'!C:C))</f>
        <v>23</v>
      </c>
      <c r="K26" s="34">
        <f>COUNTIFS('OB History S2'!B:B,A26,'OB History S2'!D:D, 1)</f>
        <v>15</v>
      </c>
      <c r="L26" s="2">
        <f>COUNTIFS('OB History S2'!B:B,A26,'OB History S2'!D:D, 0)</f>
        <v>7</v>
      </c>
      <c r="M26" s="88">
        <f>LOOKUP(2, 1/('OB History S2'!$B:$B=A26), 'OB History S2'!$AD:$AD)</f>
        <v>0.68181818181818177</v>
      </c>
      <c r="N26" s="34">
        <f>SUMIFS('OB History S2'!F:F,'OB History S2'!B:B,A26)</f>
        <v>52</v>
      </c>
      <c r="O26" s="2">
        <f>SUMIFS('OB History S2'!E:E,'OB History S2'!B:B,A26)-N26</f>
        <v>36</v>
      </c>
      <c r="P26" s="88">
        <f>LOOKUP(2, 1/('OB History S2'!$B:$B=A26), 'OB History S2'!$AB:$AB)</f>
        <v>0.61363636363636365</v>
      </c>
      <c r="Q26" s="34">
        <f>SUMIFS('OB History S2'!H:H,'OB History S2'!B:B,A26)</f>
        <v>193</v>
      </c>
      <c r="R26" s="2">
        <f>SUMIFS('OB History S2'!G:G,'OB History S2'!B:B,A26)-Q26</f>
        <v>162</v>
      </c>
      <c r="S26" s="88">
        <f>LOOKUP(2, 1/('OB History S2'!$B:$B=A26), 'OB History S2'!$AC:$AC)</f>
        <v>0.55136363636363639</v>
      </c>
      <c r="T26" s="2">
        <f>COUNTIFS('OB History S2'!$B:$B,$A$26,'OB History S2'!K:K, 1)</f>
        <v>1</v>
      </c>
      <c r="U26" s="2">
        <f>COUNTIFS('OB History S2'!$B:$B,$A$26,'OB History S2'!L:L, 1)</f>
        <v>5</v>
      </c>
      <c r="V26" s="2">
        <f>COUNTIFS('OB History S2'!$B:$B,$A$26,'OB History S2'!M:M, 1)</f>
        <v>2</v>
      </c>
      <c r="W26" s="2">
        <f>COUNTIFS('OB History S2'!$B:$B,$A$26,'OB History S2'!N:N, 1)</f>
        <v>5</v>
      </c>
      <c r="X26" s="2">
        <f>COUNTIFS('OB History S2'!$B:$B,$A$26,'OB History S2'!O:O, 1)</f>
        <v>0</v>
      </c>
      <c r="Y26" s="2">
        <f>COUNTIFS('OB History S2'!$B:$B,$A$26,'OB History S2'!P:P, 1)</f>
        <v>3</v>
      </c>
      <c r="Z26" s="2">
        <f>COUNTIFS('OB History S2'!$B:$B,$A$26,'OB History S2'!Q:Q, 1)</f>
        <v>1</v>
      </c>
      <c r="AA26" s="2">
        <f>COUNTIFS('OB History S2'!$B:$B,$A$26,'OB History S2'!R:R, 1)</f>
        <v>2</v>
      </c>
      <c r="AB26" s="2">
        <f>COUNTIFS('OB History S2'!$B:$B,$A$26,'OB History S2'!S:S, 1)</f>
        <v>2</v>
      </c>
      <c r="AC26" s="2">
        <f>COUNTIFS('OB History S2'!$B:$B,$A$26,'OB History S2'!T:T, 1)</f>
        <v>1</v>
      </c>
      <c r="AD26" s="2">
        <f>COUNTIFS('OB History S2'!$B:$B,$A$26,'OB History S2'!U:U, 1)</f>
        <v>1</v>
      </c>
      <c r="AE26" s="2">
        <f>COUNTIFS('OB History S2'!$B:$B,$A$26,'OB History S2'!V:V, 1)</f>
        <v>1</v>
      </c>
      <c r="AF26" s="2">
        <f>COUNTIFS('OB History S2'!$B:$B,$A$26,'OB History S2'!W:W, 1)</f>
        <v>3</v>
      </c>
      <c r="AG26" s="2">
        <f>COUNTIFS('OB History S2'!$B:$B,$A$26,'OB History S2'!X:X, 1)</f>
        <v>10</v>
      </c>
      <c r="AH26" s="2">
        <f>COUNTIFS('OB History S2'!$B:$B,$A$26,'OB History S2'!Y:Y, 1)</f>
        <v>6</v>
      </c>
      <c r="AI26" s="2">
        <f>COUNTIFS('OB History S2'!$B:$B,$A$26,'OB History S2'!Z:Z, 1)</f>
        <v>9</v>
      </c>
    </row>
    <row r="27" spans="1:35" x14ac:dyDescent="0.25">
      <c r="A27" s="2" t="s">
        <v>15</v>
      </c>
      <c r="B27" s="2" t="s">
        <v>79</v>
      </c>
      <c r="C27" s="2" t="s">
        <v>79</v>
      </c>
      <c r="D27" s="3">
        <v>1</v>
      </c>
      <c r="E27" s="2"/>
      <c r="F27" s="2"/>
      <c r="G27" s="2"/>
      <c r="H27" s="34">
        <f>SUMIFS('OB History S2'!C:C,'OB History S2'!B:B,A27)</f>
        <v>301</v>
      </c>
      <c r="I27" s="4">
        <f>AVERAGEIFS('OB History S2'!C:C,'OB History S2'!B:B,A27)</f>
        <v>23.153846153846153</v>
      </c>
      <c r="J27" s="35">
        <f t="array" ref="J27">MAX(IF('OB History S2'!B:B=A27, 'OB History S2'!C:C))</f>
        <v>39</v>
      </c>
      <c r="K27" s="34">
        <f>COUNTIFS('OB History S2'!B:B,A27,'OB History S2'!D:D, 1)</f>
        <v>7</v>
      </c>
      <c r="L27" s="2">
        <f>COUNTIFS('OB History S2'!B:B,A27,'OB History S2'!D:D, 0)</f>
        <v>6</v>
      </c>
      <c r="M27" s="88">
        <f>LOOKUP(2, 1/('OB History S2'!$B:$B=A27), 'OB History S2'!$AD:$AD)</f>
        <v>0.53846153846153844</v>
      </c>
      <c r="N27" s="34">
        <f>SUMIFS('OB History S2'!F:F,'OB History S2'!B:B,A27)</f>
        <v>29</v>
      </c>
      <c r="O27" s="2">
        <f>SUMIFS('OB History S2'!E:E,'OB History S2'!B:B,A27)-N27</f>
        <v>25</v>
      </c>
      <c r="P27" s="88">
        <f>LOOKUP(2, 1/('OB History S2'!$B:$B=A27), 'OB History S2'!$AB:$AB)</f>
        <v>0.54999999999999993</v>
      </c>
      <c r="Q27" s="34">
        <f>SUMIFS('OB History S2'!H:H,'OB History S2'!B:B,A27)</f>
        <v>119</v>
      </c>
      <c r="R27" s="2">
        <f>SUMIFS('OB History S2'!G:G,'OB History S2'!B:B,A27)-Q27</f>
        <v>105</v>
      </c>
      <c r="S27" s="88">
        <f>LOOKUP(2, 1/('OB History S2'!$B:$B=A27), 'OB History S2'!$AC:$AC)</f>
        <v>0.53846153846153844</v>
      </c>
      <c r="T27" s="2">
        <f>COUNTIFS('OB History S2'!$B:$B,$A$27,'OB History S2'!K:K, 1)</f>
        <v>2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3</v>
      </c>
      <c r="X27" s="2">
        <f>COUNTIFS('OB History S2'!$B:$B,$A$27,'OB History S2'!O:O, 1)</f>
        <v>0</v>
      </c>
      <c r="Y27" s="2">
        <f>COUNTIFS('OB History S2'!$B:$B,$A$27,'OB History S2'!P:P, 1)</f>
        <v>3</v>
      </c>
      <c r="Z27" s="2">
        <f>COUNTIFS('OB History S2'!$B:$B,$A$27,'OB History S2'!Q:Q, 1)</f>
        <v>3</v>
      </c>
      <c r="AA27" s="2">
        <f>COUNTIFS('OB History S2'!$B:$B,$A$27,'OB History S2'!R:R, 1)</f>
        <v>1</v>
      </c>
      <c r="AB27" s="2">
        <f>COUNTIFS('OB History S2'!$B:$B,$A$27,'OB History S2'!S:S, 1)</f>
        <v>1</v>
      </c>
      <c r="AC27" s="2">
        <f>COUNTIFS('OB History S2'!$B:$B,$A$27,'OB History S2'!T:T, 1)</f>
        <v>0</v>
      </c>
      <c r="AD27" s="2">
        <f>COUNTIFS('OB History S2'!$B:$B,$A$27,'OB History S2'!U:U, 1)</f>
        <v>1</v>
      </c>
      <c r="AE27" s="2">
        <f>COUNTIFS('OB History S2'!$B:$B,$A$27,'OB History S2'!V:V, 1)</f>
        <v>1</v>
      </c>
      <c r="AF27" s="2">
        <f>COUNTIFS('OB History S2'!$B:$B,$A$27,'OB History S2'!W:W, 1)</f>
        <v>1</v>
      </c>
      <c r="AG27" s="2">
        <f>COUNTIFS('OB History S2'!$B:$B,$A$27,'OB History S2'!X:X, 1)</f>
        <v>5</v>
      </c>
      <c r="AH27" s="2">
        <f>COUNTIFS('OB History S2'!$B:$B,$A$27,'OB History S2'!Y:Y, 1)</f>
        <v>3</v>
      </c>
      <c r="AI27" s="2">
        <f>COUNTIFS('OB History S2'!$B:$B,$A$27,'OB History S2'!Z:Z, 1)</f>
        <v>2</v>
      </c>
    </row>
    <row r="28" spans="1:35" x14ac:dyDescent="0.25">
      <c r="A28" s="2" t="s">
        <v>161</v>
      </c>
      <c r="B28" s="2" t="s">
        <v>79</v>
      </c>
      <c r="C28" s="2" t="s">
        <v>79</v>
      </c>
      <c r="D28" s="3"/>
      <c r="E28" s="2"/>
      <c r="F28" s="2"/>
      <c r="G28" s="2"/>
      <c r="H28" s="34">
        <f>SUMIFS('OB History S2'!C:C,'OB History S2'!B:B,A28)</f>
        <v>15</v>
      </c>
      <c r="I28" s="4">
        <f>AVERAGEIFS('OB History S2'!C:C,'OB History S2'!B:B,A28)</f>
        <v>15</v>
      </c>
      <c r="J28" s="35">
        <f t="array" ref="J28">MAX(IF('OB History S2'!B:B=A28, 'OB History S2'!C:C))</f>
        <v>15</v>
      </c>
      <c r="K28" s="34">
        <f>COUNTIFS('OB History S2'!B:B,A28,'OB History S2'!D:D, 1)</f>
        <v>0</v>
      </c>
      <c r="L28" s="2">
        <f>COUNTIFS('OB History S2'!B:B,A28,'OB History S2'!D:D, 0)</f>
        <v>1</v>
      </c>
      <c r="M28" s="88">
        <f>LOOKUP(2, 1/('OB History S2'!$B:$B=A28), 'OB History S2'!$AD:$AD)</f>
        <v>0</v>
      </c>
      <c r="N28" s="34">
        <f>SUMIFS('OB History S2'!F:F,'OB History S2'!B:B,A28)</f>
        <v>1</v>
      </c>
      <c r="O28" s="2">
        <f>SUMIFS('OB History S2'!E:E,'OB History S2'!B:B,A28)-N28</f>
        <v>3</v>
      </c>
      <c r="P28" s="88">
        <f>LOOKUP(2, 1/('OB History S2'!$B:$B=A28), 'OB History S2'!$AB:$AB)</f>
        <v>0.25</v>
      </c>
      <c r="Q28" s="34">
        <f>SUMIFS('OB History S2'!H:H,'OB History S2'!B:B,A28)</f>
        <v>8</v>
      </c>
      <c r="R28" s="2">
        <f>SUMIFS('OB History S2'!G:G,'OB History S2'!B:B,A28)-Q28</f>
        <v>11</v>
      </c>
      <c r="S28" s="88">
        <f>LOOKUP(2, 1/('OB History S2'!$B:$B=A28), 'OB History S2'!$AC:$AC)</f>
        <v>0.42</v>
      </c>
      <c r="T28" s="2">
        <f>COUNTIFS('OB History S2'!$B:$B,$A$28,'OB History S2'!K:K, 1)</f>
        <v>0</v>
      </c>
      <c r="U28" s="2">
        <f>COUNTIFS('OB History S2'!$B:$B,$A$28,'OB History S2'!L:L, 1)</f>
        <v>0</v>
      </c>
      <c r="V28" s="2">
        <f>COUNTIFS('OB History S2'!$B:$B,$A$28,'OB History S2'!M:M, 1)</f>
        <v>0</v>
      </c>
      <c r="W28" s="2">
        <f>COUNTIFS('OB History S2'!$B:$B,$A$28,'OB History S2'!N:N, 1)</f>
        <v>0</v>
      </c>
      <c r="X28" s="2">
        <f>COUNTIFS('OB History S2'!$B:$B,$A$28,'OB History S2'!O:O, 1)</f>
        <v>0</v>
      </c>
      <c r="Y28" s="2">
        <f>COUNTIFS('OB History S2'!$B:$B,$A$28,'OB History S2'!P:P, 1)</f>
        <v>0</v>
      </c>
      <c r="Z28" s="2">
        <f>COUNTIFS('OB History S2'!$B:$B,$A$28,'OB History S2'!Q:Q, 1)</f>
        <v>0</v>
      </c>
      <c r="AA28" s="2">
        <f>COUNTIFS('OB History S2'!$B:$B,$A$28,'OB History S2'!R:R, 1)</f>
        <v>0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1</v>
      </c>
      <c r="AG28" s="2">
        <f>COUNTIFS('OB History S2'!$B:$B,$A$28,'OB History S2'!X:X, 1)</f>
        <v>0</v>
      </c>
      <c r="AH28" s="2">
        <f>COUNTIFS('OB History S2'!$B:$B,$A$28,'OB History S2'!Y:Y, 1)</f>
        <v>0</v>
      </c>
      <c r="AI28" s="2">
        <f>COUNTIFS('OB History S2'!$B:$B,$A$28,'OB History S2'!Z:Z, 1)</f>
        <v>0</v>
      </c>
    </row>
    <row r="29" spans="1:35" x14ac:dyDescent="0.25">
      <c r="A29" s="2" t="s">
        <v>13</v>
      </c>
      <c r="B29" s="6" t="s">
        <v>124</v>
      </c>
      <c r="C29" s="6" t="s">
        <v>60</v>
      </c>
      <c r="D29" s="3">
        <v>5</v>
      </c>
      <c r="E29" s="6">
        <v>1</v>
      </c>
      <c r="F29" s="6">
        <v>1</v>
      </c>
      <c r="G29" s="6"/>
      <c r="H29" s="34">
        <f>SUMIFS('OB History S2'!C:C,'OB History S2'!B:B,A29)</f>
        <v>588</v>
      </c>
      <c r="I29" s="4">
        <f>AVERAGEIFS('OB History S2'!C:C,'OB History S2'!B:B,A29)</f>
        <v>25.565217391304348</v>
      </c>
      <c r="J29" s="35">
        <f t="array" ref="J29">MAX(IF('OB History S2'!B:B=A29, 'OB History S2'!C:C))</f>
        <v>58</v>
      </c>
      <c r="K29" s="34">
        <f>COUNTIFS('OB History S2'!B:B,A29,'OB History S2'!D:D, 1)</f>
        <v>16</v>
      </c>
      <c r="L29" s="2">
        <f>COUNTIFS('OB History S2'!B:B,A29,'OB History S2'!D:D, 0)</f>
        <v>7</v>
      </c>
      <c r="M29" s="88">
        <f>LOOKUP(2, 1/('OB History S2'!$B:$B=A29), 'OB History S2'!$AD:$AD)</f>
        <v>0.69565217391304346</v>
      </c>
      <c r="N29" s="34">
        <f>SUMIFS('OB History S2'!F:F,'OB History S2'!B:B,A29)</f>
        <v>58</v>
      </c>
      <c r="O29" s="2">
        <f>SUMIFS('OB History S2'!E:E,'OB History S2'!B:B,A29)-N29</f>
        <v>35</v>
      </c>
      <c r="P29" s="88">
        <f>LOOKUP(2, 1/('OB History S2'!$B:$B=A29), 'OB History S2'!$AB:$AB)</f>
        <v>0.65217391304347827</v>
      </c>
      <c r="Q29" s="34">
        <f>SUMIFS('OB History S2'!H:H,'OB History S2'!B:B,A29)</f>
        <v>217</v>
      </c>
      <c r="R29" s="2">
        <f>SUMIFS('OB History S2'!G:G,'OB History S2'!B:B,A29)-Q29</f>
        <v>157</v>
      </c>
      <c r="S29" s="88">
        <f>LOOKUP(2, 1/('OB History S2'!$B:$B=A29), 'OB History S2'!$AC:$AC)</f>
        <v>0.58869565217391295</v>
      </c>
      <c r="T29" s="2">
        <f>COUNTIFS('OB History S2'!$B:$B,$A$29,'OB History S2'!K:K, 1)</f>
        <v>4</v>
      </c>
      <c r="U29" s="2">
        <f>COUNTIFS('OB History S2'!$B:$B,$A$29,'OB History S2'!L:L, 1)</f>
        <v>4</v>
      </c>
      <c r="V29" s="2">
        <f>COUNTIFS('OB History S2'!$B:$B,$A$29,'OB History S2'!M:M, 1)</f>
        <v>1</v>
      </c>
      <c r="W29" s="2">
        <f>COUNTIFS('OB History S2'!$B:$B,$A$29,'OB History S2'!N:N, 1)</f>
        <v>5</v>
      </c>
      <c r="X29" s="2">
        <f>COUNTIFS('OB History S2'!$B:$B,$A$29,'OB History S2'!O:O, 1)</f>
        <v>0</v>
      </c>
      <c r="Y29" s="2">
        <f>COUNTIFS('OB History S2'!$B:$B,$A$29,'OB History S2'!P:P, 1)</f>
        <v>6</v>
      </c>
      <c r="Z29" s="2">
        <f>COUNTIFS('OB History S2'!$B:$B,$A$29,'OB History S2'!Q:Q, 1)</f>
        <v>1</v>
      </c>
      <c r="AA29" s="2">
        <f>COUNTIFS('OB History S2'!$B:$B,$A$29,'OB History S2'!R:R, 1)</f>
        <v>3</v>
      </c>
      <c r="AB29" s="2">
        <f>COUNTIFS('OB History S2'!$B:$B,$A$29,'OB History S2'!S:S, 1)</f>
        <v>1</v>
      </c>
      <c r="AC29" s="2">
        <f>COUNTIFS('OB History S2'!$B:$B,$A$29,'OB History S2'!T:T, 1)</f>
        <v>1</v>
      </c>
      <c r="AD29" s="2">
        <f>COUNTIFS('OB History S2'!$B:$B,$A$29,'OB History S2'!U:U, 1)</f>
        <v>1</v>
      </c>
      <c r="AE29" s="2">
        <f>COUNTIFS('OB History S2'!$B:$B,$A$29,'OB History S2'!V:V, 1)</f>
        <v>1</v>
      </c>
      <c r="AF29" s="2">
        <f>COUNTIFS('OB History S2'!$B:$B,$A$29,'OB History S2'!W:W, 1)</f>
        <v>5</v>
      </c>
      <c r="AG29" s="2">
        <f>COUNTIFS('OB History S2'!$B:$B,$A$29,'OB History S2'!X:X, 1)</f>
        <v>7</v>
      </c>
      <c r="AH29" s="2">
        <f>COUNTIFS('OB History S2'!$B:$B,$A$29,'OB History S2'!Y:Y, 1)</f>
        <v>10</v>
      </c>
      <c r="AI29" s="2">
        <f>COUNTIFS('OB History S2'!$B:$B,$A$29,'OB History S2'!Z:Z, 1)</f>
        <v>8</v>
      </c>
    </row>
    <row r="30" spans="1:35" x14ac:dyDescent="0.25">
      <c r="A30" s="2" t="s">
        <v>2</v>
      </c>
      <c r="B30" s="6" t="s">
        <v>60</v>
      </c>
      <c r="C30" s="6" t="s">
        <v>79</v>
      </c>
      <c r="D30" s="3"/>
      <c r="E30" s="6"/>
      <c r="F30" s="6"/>
      <c r="G30" s="6"/>
      <c r="H30" s="34">
        <f>SUMIFS('OB History S2'!C:C,'OB History S2'!B:B,A30)</f>
        <v>70</v>
      </c>
      <c r="I30" s="4">
        <f>AVERAGEIFS('OB History S2'!C:C,'OB History S2'!B:B,A30)</f>
        <v>35</v>
      </c>
      <c r="J30" s="35">
        <f t="array" ref="J30">MAX(IF('OB History S2'!B:B=A30, 'OB History S2'!C:C))</f>
        <v>52</v>
      </c>
      <c r="K30" s="34">
        <f>COUNTIFS('OB History S2'!B:B,A30,'OB History S2'!D:D, 1)</f>
        <v>1</v>
      </c>
      <c r="L30" s="2">
        <f>COUNTIFS('OB History S2'!B:B,A30,'OB History S2'!D:D, 0)</f>
        <v>1</v>
      </c>
      <c r="M30" s="88">
        <f>LOOKUP(2, 1/('OB History S2'!$B:$B=A30), 'OB History S2'!$AD:$AD)</f>
        <v>0.5</v>
      </c>
      <c r="N30" s="34">
        <f>SUMIFS('OB History S2'!F:F,'OB History S2'!B:B,A30)</f>
        <v>5</v>
      </c>
      <c r="O30" s="2">
        <f>SUMIFS('OB History S2'!E:E,'OB History S2'!B:B,A30)-N30</f>
        <v>3</v>
      </c>
      <c r="P30" s="88">
        <f>LOOKUP(2, 1/('OB History S2'!$B:$B=A30), 'OB History S2'!$AB:$AB)</f>
        <v>0.7</v>
      </c>
      <c r="Q30" s="34">
        <f>SUMIFS('OB History S2'!H:H,'OB History S2'!B:B,A30)</f>
        <v>19</v>
      </c>
      <c r="R30" s="2">
        <f>SUMIFS('OB History S2'!G:G,'OB History S2'!B:B,A30)-Q30</f>
        <v>17</v>
      </c>
      <c r="S30" s="88">
        <f>LOOKUP(2, 1/('OB History S2'!$B:$B=A30), 'OB History S2'!$AC:$AC)</f>
        <v>0.55999999999999994</v>
      </c>
      <c r="T30" s="2">
        <f>COUNTIFS('OB History S2'!$B:$B,$A$30,'OB History S2'!K:K, 1)</f>
        <v>0</v>
      </c>
      <c r="U30" s="2">
        <f>COUNTIFS('OB History S2'!$B:$B,$A$30,'OB History S2'!L:L, 1)</f>
        <v>1</v>
      </c>
      <c r="V30" s="2">
        <f>COUNTIFS('OB History S2'!$B:$B,$A$30,'OB History S2'!M:M, 1)</f>
        <v>0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0</v>
      </c>
      <c r="Z30" s="2">
        <f>COUNTIFS('OB History S2'!$B:$B,$A$30,'OB History S2'!Q:Q, 1)</f>
        <v>0</v>
      </c>
      <c r="AA30" s="2">
        <f>COUNTIFS('OB History S2'!$B:$B,$A$30,'OB History S2'!R:R, 1)</f>
        <v>0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0</v>
      </c>
      <c r="AG30" s="2">
        <f>COUNTIFS('OB History S2'!$B:$B,$A$30,'OB History S2'!X:X, 1)</f>
        <v>1</v>
      </c>
      <c r="AH30" s="2">
        <f>COUNTIFS('OB History S2'!$B:$B,$A$30,'OB History S2'!Y:Y, 1)</f>
        <v>0</v>
      </c>
      <c r="AI30" s="2">
        <f>COUNTIFS('OB History S2'!$B:$B,$A$30,'OB History S2'!Z:Z, 1)</f>
        <v>1</v>
      </c>
    </row>
    <row r="31" spans="1:35" x14ac:dyDescent="0.25">
      <c r="A31" s="2" t="s">
        <v>5</v>
      </c>
      <c r="B31" s="6" t="s">
        <v>124</v>
      </c>
      <c r="C31" s="1" t="s">
        <v>159</v>
      </c>
      <c r="D31" s="3">
        <v>1</v>
      </c>
      <c r="E31" s="6"/>
      <c r="F31" s="6"/>
      <c r="G31" s="6"/>
      <c r="H31" s="34">
        <f>SUMIFS('OB History S2'!C:C,'OB History S2'!B:B,A31)</f>
        <v>153</v>
      </c>
      <c r="I31" s="4">
        <f>AVERAGEIFS('OB History S2'!C:C,'OB History S2'!B:B,A31)</f>
        <v>30.6</v>
      </c>
      <c r="J31" s="35">
        <f t="array" ref="J31">MAX(IF('OB History S2'!B:B=A31, 'OB History S2'!C:C))</f>
        <v>51</v>
      </c>
      <c r="K31" s="34">
        <f>COUNTIFS('OB History S2'!B:B,A31,'OB History S2'!D:D, 1)</f>
        <v>2</v>
      </c>
      <c r="L31" s="2">
        <f>COUNTIFS('OB History S2'!B:B,A31,'OB History S2'!D:D, 0)</f>
        <v>3</v>
      </c>
      <c r="M31" s="88">
        <f>LOOKUP(2, 1/('OB History S2'!$B:$B=A31), 'OB History S2'!$AD:$AD)</f>
        <v>0.4</v>
      </c>
      <c r="N31" s="34">
        <f>SUMIFS('OB History S2'!F:F,'OB History S2'!B:B,A31)</f>
        <v>9</v>
      </c>
      <c r="O31" s="2">
        <f>SUMIFS('OB History S2'!E:E,'OB History S2'!B:B,A31)-N31</f>
        <v>13</v>
      </c>
      <c r="P31" s="88">
        <f>LOOKUP(2, 1/('OB History S2'!$B:$B=A31), 'OB History S2'!$AB:$AB)</f>
        <v>0.37</v>
      </c>
      <c r="Q31" s="34">
        <f>SUMIFS('OB History S2'!H:H,'OB History S2'!B:B,A31)</f>
        <v>41</v>
      </c>
      <c r="R31" s="2">
        <f>SUMIFS('OB History S2'!G:G,'OB History S2'!B:B,A31)-Q31</f>
        <v>47</v>
      </c>
      <c r="S31" s="88">
        <f>LOOKUP(2, 1/('OB History S2'!$B:$B=A31), 'OB History S2'!$AC:$AC)</f>
        <v>0.44600000000000001</v>
      </c>
      <c r="T31" s="2">
        <f>COUNTIFS('OB History S2'!$B:$B,$A$31,'OB History S2'!K:K, 1)</f>
        <v>1</v>
      </c>
      <c r="U31" s="2">
        <f>COUNTIFS('OB History S2'!$B:$B,$A$31,'OB History S2'!L:L, 1)</f>
        <v>2</v>
      </c>
      <c r="V31" s="2">
        <f>COUNTIFS('OB History S2'!$B:$B,$A$31,'OB History S2'!M:M, 1)</f>
        <v>0</v>
      </c>
      <c r="W31" s="2">
        <f>COUNTIFS('OB History S2'!$B:$B,$A$31,'OB History S2'!N:N, 1)</f>
        <v>2</v>
      </c>
      <c r="X31" s="2">
        <f>COUNTIFS('OB History S2'!$B:$B,$A$31,'OB History S2'!O:O, 1)</f>
        <v>2</v>
      </c>
      <c r="Y31" s="2">
        <f>COUNTIFS('OB History S2'!$B:$B,$A$31,'OB History S2'!P:P, 1)</f>
        <v>1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1</v>
      </c>
      <c r="AG31" s="2">
        <f>COUNTIFS('OB History S2'!$B:$B,$A$31,'OB History S2'!X:X, 1)</f>
        <v>0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2" t="s">
        <v>38</v>
      </c>
      <c r="B32" s="6" t="s">
        <v>79</v>
      </c>
      <c r="C32" s="6" t="s">
        <v>79</v>
      </c>
      <c r="D32" s="3">
        <v>1</v>
      </c>
      <c r="E32" s="6"/>
      <c r="F32" s="6"/>
      <c r="G32" s="6"/>
      <c r="H32" s="34">
        <f>SUMIFS('OB History S2'!C:C,'OB History S2'!B:B,A32)</f>
        <v>73</v>
      </c>
      <c r="I32" s="4">
        <f>AVERAGEIFS('OB History S2'!C:C,'OB History S2'!B:B,A32)</f>
        <v>12.166666666666666</v>
      </c>
      <c r="J32" s="35">
        <f t="array" ref="J32">MAX(IF('OB History S2'!B:B=A32, 'OB History S2'!C:C))</f>
        <v>28</v>
      </c>
      <c r="K32" s="34">
        <f>COUNTIFS('OB History S2'!B:B,A32,'OB History S2'!D:D, 1)</f>
        <v>3</v>
      </c>
      <c r="L32" s="2">
        <f>COUNTIFS('OB History S2'!B:B,A32,'OB History S2'!D:D, 0)</f>
        <v>3</v>
      </c>
      <c r="M32" s="88">
        <f>LOOKUP(2, 1/('OB History S2'!$B:$B=A32), 'OB History S2'!$AD:$AD)</f>
        <v>0.5</v>
      </c>
      <c r="N32" s="34">
        <f>SUMIFS('OB History S2'!F:F,'OB History S2'!B:B,A32)</f>
        <v>12</v>
      </c>
      <c r="O32" s="2">
        <f>SUMIFS('OB History S2'!E:E,'OB History S2'!B:B,A32)-N32</f>
        <v>14</v>
      </c>
      <c r="P32" s="88">
        <f>LOOKUP(2, 1/('OB History S2'!$B:$B=A32), 'OB History S2'!$AB:$AB)</f>
        <v>0.43333333333333335</v>
      </c>
      <c r="Q32" s="34">
        <f>SUMIFS('OB History S2'!H:H,'OB History S2'!B:B,A32)</f>
        <v>50</v>
      </c>
      <c r="R32" s="2">
        <f>SUMIFS('OB History S2'!G:G,'OB History S2'!B:B,A32)-Q32</f>
        <v>54</v>
      </c>
      <c r="S32" s="88">
        <f>LOOKUP(2, 1/('OB History S2'!$B:$B=A32), 'OB History S2'!$AC:$AC)</f>
        <v>0.47</v>
      </c>
      <c r="T32" s="2">
        <f>COUNTIFS('OB History S2'!$B:$B,$A$32,'OB History S2'!K:K, 1)</f>
        <v>0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2</v>
      </c>
      <c r="X32" s="2">
        <f>COUNTIFS('OB History S2'!$B:$B,$A$32,'OB History S2'!O:O, 1)</f>
        <v>0</v>
      </c>
      <c r="Y32" s="2">
        <f>COUNTIFS('OB History S2'!$B:$B,$A$32,'OB History S2'!P:P, 1)</f>
        <v>1</v>
      </c>
      <c r="Z32" s="2">
        <f>COUNTIFS('OB History S2'!$B:$B,$A$32,'OB History S2'!Q:Q, 1)</f>
        <v>0</v>
      </c>
      <c r="AA32" s="2">
        <f>COUNTIFS('OB History S2'!$B:$B,$A$32,'OB History S2'!R:R, 1)</f>
        <v>1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1</v>
      </c>
      <c r="AG32" s="2">
        <f>COUNTIFS('OB History S2'!$B:$B,$A$32,'OB History S2'!X:X, 1)</f>
        <v>3</v>
      </c>
      <c r="AH32" s="2">
        <f>COUNTIFS('OB History S2'!$B:$B,$A$32,'OB History S2'!Y:Y, 1)</f>
        <v>2</v>
      </c>
      <c r="AI32" s="2">
        <f>COUNTIFS('OB History S2'!$B:$B,$A$32,'OB History S2'!Z:Z, 1)</f>
        <v>2</v>
      </c>
    </row>
    <row r="33" spans="1:35" x14ac:dyDescent="0.25">
      <c r="A33" s="2" t="s">
        <v>141</v>
      </c>
      <c r="B33" s="2" t="s">
        <v>79</v>
      </c>
      <c r="C33" s="2" t="s">
        <v>79</v>
      </c>
      <c r="D33" s="3"/>
      <c r="E33" s="2"/>
      <c r="F33" s="2"/>
      <c r="G33" s="2"/>
      <c r="H33" s="34">
        <f>SUMIFS('OB History S2'!C:C,'OB History S2'!B:B,A33)</f>
        <v>51</v>
      </c>
      <c r="I33" s="4">
        <f>AVERAGEIFS('OB History S2'!C:C,'OB History S2'!B:B,A33)</f>
        <v>17</v>
      </c>
      <c r="J33" s="35">
        <f t="array" ref="J33">MAX(IF('OB History S2'!B:B=A33, 'OB History S2'!C:C))</f>
        <v>20</v>
      </c>
      <c r="K33" s="34">
        <f>COUNTIFS('OB History S2'!B:B,A33,'OB History S2'!D:D, 1)</f>
        <v>1</v>
      </c>
      <c r="L33" s="2">
        <f>COUNTIFS('OB History S2'!B:B,A33,'OB History S2'!D:D, 0)</f>
        <v>2</v>
      </c>
      <c r="M33" s="88">
        <f>LOOKUP(2, 1/('OB History S2'!$B:$B=A33), 'OB History S2'!$AD:$AD)</f>
        <v>0.33333333333333331</v>
      </c>
      <c r="N33" s="34">
        <f>SUMIFS('OB History S2'!F:F,'OB History S2'!B:B,A33)</f>
        <v>7</v>
      </c>
      <c r="O33" s="2">
        <f>SUMIFS('OB History S2'!E:E,'OB History S2'!B:B,A33)-N33</f>
        <v>6</v>
      </c>
      <c r="P33" s="88">
        <f>LOOKUP(2, 1/('OB History S2'!$B:$B=A33), 'OB History S2'!$AB:$AB)</f>
        <v>0.6</v>
      </c>
      <c r="Q33" s="34">
        <f>SUMIFS('OB History S2'!H:H,'OB History S2'!B:B,A33)</f>
        <v>27</v>
      </c>
      <c r="R33" s="2">
        <f>SUMIFS('OB History S2'!G:G,'OB History S2'!B:B,A33)-Q33</f>
        <v>28</v>
      </c>
      <c r="S33" s="88">
        <f>LOOKUP(2, 1/('OB History S2'!$B:$B=A33), 'OB History S2'!$AC:$AC)</f>
        <v>0.51666666666666661</v>
      </c>
      <c r="T33" s="2">
        <f>COUNTIFS('OB History S2'!$B:$B,$A$33,'OB History S2'!K:K, 1)</f>
        <v>1</v>
      </c>
      <c r="U33" s="2">
        <f>COUNTIFS('OB History S2'!$B:$B,$A$33,'OB History S2'!L:L, 1)</f>
        <v>1</v>
      </c>
      <c r="V33" s="2">
        <f>COUNTIFS('OB History S2'!$B:$B,$A$33,'OB History S2'!M:M, 1)</f>
        <v>0</v>
      </c>
      <c r="W33" s="2">
        <f>COUNTIFS('OB History S2'!$B:$B,$A$33,'OB History S2'!N:N, 1)</f>
        <v>0</v>
      </c>
      <c r="X33" s="2">
        <f>COUNTIFS('OB History S2'!$B:$B,$A$33,'OB History S2'!O:O, 1)</f>
        <v>0</v>
      </c>
      <c r="Y33" s="2">
        <f>COUNTIFS('OB History S2'!$B:$B,$A$33,'OB History S2'!P:P, 1)</f>
        <v>1</v>
      </c>
      <c r="Z33" s="2">
        <f>COUNTIFS('OB History S2'!$B:$B,$A$33,'OB History S2'!Q:Q, 1)</f>
        <v>1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1</v>
      </c>
      <c r="AG33" s="2">
        <f>COUNTIFS('OB History S2'!$B:$B,$A$33,'OB History S2'!X:X, 1)</f>
        <v>1</v>
      </c>
      <c r="AH33" s="2">
        <f>COUNTIFS('OB History S2'!$B:$B,$A$33,'OB History S2'!Y:Y, 1)</f>
        <v>0</v>
      </c>
      <c r="AI33" s="2">
        <f>COUNTIFS('OB History S2'!$B:$B,$A$33,'OB History S2'!Z:Z, 1)</f>
        <v>1</v>
      </c>
    </row>
    <row r="34" spans="1:35" x14ac:dyDescent="0.25">
      <c r="A34" s="2" t="s">
        <v>40</v>
      </c>
      <c r="B34" s="2" t="s">
        <v>79</v>
      </c>
      <c r="C34" s="2" t="s">
        <v>79</v>
      </c>
      <c r="D34" s="3"/>
      <c r="E34" s="2"/>
      <c r="F34" s="2"/>
      <c r="G34" s="2"/>
      <c r="H34" s="34">
        <f>SUMIFS('OB History S2'!C:C,'OB History S2'!B:B,A34)</f>
        <v>180</v>
      </c>
      <c r="I34" s="4">
        <f>AVERAGEIFS('OB History S2'!C:C,'OB History S2'!B:B,A34)</f>
        <v>18</v>
      </c>
      <c r="J34" s="35">
        <f t="array" ref="J34">MAX(IF('OB History S2'!B:B=A34, 'OB History S2'!C:C))</f>
        <v>28</v>
      </c>
      <c r="K34" s="34">
        <f>COUNTIFS('OB History S2'!B:B,A34,'OB History S2'!D:D, 1)</f>
        <v>4</v>
      </c>
      <c r="L34" s="2">
        <f>COUNTIFS('OB History S2'!B:B,A34,'OB History S2'!D:D, 0)</f>
        <v>6</v>
      </c>
      <c r="M34" s="88">
        <f>LOOKUP(2, 1/('OB History S2'!$B:$B=A34), 'OB History S2'!$AD:$AD)</f>
        <v>0.4</v>
      </c>
      <c r="N34" s="34">
        <f>SUMIFS('OB History S2'!F:F,'OB History S2'!B:B,A34)</f>
        <v>21</v>
      </c>
      <c r="O34" s="2">
        <f>SUMIFS('OB History S2'!E:E,'OB History S2'!B:B,A34)-N34</f>
        <v>22</v>
      </c>
      <c r="P34" s="88">
        <f>LOOKUP(2, 1/('OB History S2'!$B:$B=A34), 'OB History S2'!$AB:$AB)</f>
        <v>0.505</v>
      </c>
      <c r="Q34" s="34">
        <f>SUMIFS('OB History S2'!H:H,'OB History S2'!B:B,A34)</f>
        <v>83</v>
      </c>
      <c r="R34" s="2">
        <f>SUMIFS('OB History S2'!G:G,'OB History S2'!B:B,A34)-Q34</f>
        <v>92</v>
      </c>
      <c r="S34" s="88">
        <f>LOOKUP(2, 1/('OB History S2'!$B:$B=A34), 'OB History S2'!$AC:$AC)</f>
        <v>0.47299999999999998</v>
      </c>
      <c r="T34" s="2">
        <f>COUNTIFS('OB History S2'!$B:$B,$A$34,'OB History S2'!K:K, 1)</f>
        <v>2</v>
      </c>
      <c r="U34" s="2">
        <f>COUNTIFS('OB History S2'!$B:$B,$A$34,'OB History S2'!L:L, 1)</f>
        <v>2</v>
      </c>
      <c r="V34" s="2">
        <f>COUNTIFS('OB History S2'!$B:$B,$A$34,'OB History S2'!M:M, 1)</f>
        <v>1</v>
      </c>
      <c r="W34" s="2">
        <f>COUNTIFS('OB History S2'!$B:$B,$A$34,'OB History S2'!N:N, 1)</f>
        <v>1</v>
      </c>
      <c r="X34" s="2">
        <f>COUNTIFS('OB History S2'!$B:$B,$A$34,'OB History S2'!O:O, 1)</f>
        <v>1</v>
      </c>
      <c r="Y34" s="2">
        <f>COUNTIFS('OB History S2'!$B:$B,$A$34,'OB History S2'!P:P, 1)</f>
        <v>1</v>
      </c>
      <c r="Z34" s="2">
        <f>COUNTIFS('OB History S2'!$B:$B,$A$34,'OB History S2'!Q:Q, 1)</f>
        <v>2</v>
      </c>
      <c r="AA34" s="2">
        <f>COUNTIFS('OB History S2'!$B:$B,$A$34,'OB History S2'!R:R, 1)</f>
        <v>0</v>
      </c>
      <c r="AB34" s="2">
        <f>COUNTIFS('OB History S2'!$B:$B,$A$34,'OB History S2'!S:S, 1)</f>
        <v>1</v>
      </c>
      <c r="AC34" s="2">
        <f>COUNTIFS('OB History S2'!$B:$B,$A$34,'OB History S2'!T:T, 1)</f>
        <v>0</v>
      </c>
      <c r="AD34" s="2">
        <f>COUNTIFS('OB History S2'!$B:$B,$A$34,'OB History S2'!U:U, 1)</f>
        <v>0</v>
      </c>
      <c r="AE34" s="2">
        <f>COUNTIFS('OB History S2'!$B:$B,$A$34,'OB History S2'!V:V, 1)</f>
        <v>0</v>
      </c>
      <c r="AF34" s="2">
        <f>COUNTIFS('OB History S2'!$B:$B,$A$34,'OB History S2'!W:W, 1)</f>
        <v>1</v>
      </c>
      <c r="AG34" s="2">
        <f>COUNTIFS('OB History S2'!$B:$B,$A$34,'OB History S2'!X:X, 1)</f>
        <v>4</v>
      </c>
      <c r="AH34" s="2">
        <f>COUNTIFS('OB History S2'!$B:$B,$A$34,'OB History S2'!Y:Y, 1)</f>
        <v>2</v>
      </c>
      <c r="AI34" s="2">
        <f>COUNTIFS('OB History S2'!$B:$B,$A$34,'OB History S2'!Z:Z, 1)</f>
        <v>3</v>
      </c>
    </row>
    <row r="35" spans="1:35" x14ac:dyDescent="0.25">
      <c r="A35" s="2" t="s">
        <v>147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94</v>
      </c>
      <c r="I35" s="4">
        <f>AVERAGEIFS('OB History S2'!C:C,'OB History S2'!B:B,A35)</f>
        <v>15.666666666666666</v>
      </c>
      <c r="J35" s="35">
        <f t="array" ref="J35">MAX(IF('OB History S2'!B:B=A35, 'OB History S2'!C:C))</f>
        <v>34</v>
      </c>
      <c r="K35" s="34">
        <f>COUNTIFS('OB History S2'!B:B,A35,'OB History S2'!D:D, 1)</f>
        <v>1</v>
      </c>
      <c r="L35" s="2">
        <f>COUNTIFS('OB History S2'!B:B,A35,'OB History S2'!D:D, 0)</f>
        <v>5</v>
      </c>
      <c r="M35" s="88">
        <f>LOOKUP(2, 1/('OB History S2'!$B:$B=A35), 'OB History S2'!$AD:$AD)</f>
        <v>0.16666666666666666</v>
      </c>
      <c r="N35" s="34">
        <f>SUMIFS('OB History S2'!F:F,'OB History S2'!B:B,A35)</f>
        <v>5</v>
      </c>
      <c r="O35" s="2">
        <f>SUMIFS('OB History S2'!E:E,'OB History S2'!B:B,A35)-N35</f>
        <v>15</v>
      </c>
      <c r="P35" s="88">
        <f>LOOKUP(2, 1/('OB History S2'!$B:$B=A35), 'OB History S2'!$AB:$AB)</f>
        <v>0.23333333333333331</v>
      </c>
      <c r="Q35" s="34">
        <f>SUMIFS('OB History S2'!H:H,'OB History S2'!B:B,A35)</f>
        <v>32</v>
      </c>
      <c r="R35" s="2">
        <f>SUMIFS('OB History S2'!G:G,'OB History S2'!B:B,A35)-Q35</f>
        <v>52</v>
      </c>
      <c r="S35" s="88">
        <f>LOOKUP(2, 1/('OB History S2'!$B:$B=A35), 'OB History S2'!$AC:$AC)</f>
        <v>0.37166666666666665</v>
      </c>
      <c r="T35" s="2">
        <f>COUNTIFS('OB History S2'!$B:$B,$A$35,'OB History S2'!K:K, 1)</f>
        <v>1</v>
      </c>
      <c r="U35" s="2">
        <f>COUNTIFS('OB History S2'!$B:$B,$A$35,'OB History S2'!L:L, 1)</f>
        <v>1</v>
      </c>
      <c r="V35" s="2">
        <f>COUNTIFS('OB History S2'!$B:$B,$A$35,'OB History S2'!M:M, 1)</f>
        <v>0</v>
      </c>
      <c r="W35" s="2">
        <f>COUNTIFS('OB History S2'!$B:$B,$A$35,'OB History S2'!N:N, 1)</f>
        <v>1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1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0</v>
      </c>
      <c r="AG35" s="2">
        <f>COUNTIFS('OB History S2'!$B:$B,$A$35,'OB History S2'!X:X, 1)</f>
        <v>0</v>
      </c>
      <c r="AH35" s="2">
        <f>COUNTIFS('OB History S2'!$B:$B,$A$35,'OB History S2'!Y:Y, 1)</f>
        <v>0</v>
      </c>
      <c r="AI35" s="2">
        <f>COUNTIFS('OB History S2'!$B:$B,$A$35,'OB History S2'!Z:Z, 1)</f>
        <v>1</v>
      </c>
    </row>
    <row r="36" spans="1:35" x14ac:dyDescent="0.25">
      <c r="A36" s="2" t="s">
        <v>17</v>
      </c>
      <c r="B36" s="2" t="s">
        <v>79</v>
      </c>
      <c r="C36" s="2" t="s">
        <v>79</v>
      </c>
      <c r="D36" s="3">
        <v>8</v>
      </c>
      <c r="E36" s="2">
        <v>3</v>
      </c>
      <c r="F36" s="2"/>
      <c r="G36" s="2"/>
      <c r="H36" s="34">
        <f>SUMIFS('OB History S2'!C:C,'OB History S2'!B:B,A36)</f>
        <v>443</v>
      </c>
      <c r="I36" s="4">
        <f>AVERAGEIFS('OB History S2'!C:C,'OB History S2'!B:B,A36)</f>
        <v>24.611111111111111</v>
      </c>
      <c r="J36" s="35">
        <f t="array" ref="J36">MAX(IF('OB History S2'!B:B=A36, 'OB History S2'!C:C))</f>
        <v>58</v>
      </c>
      <c r="K36" s="34">
        <f>COUNTIFS('OB History S2'!B:B,A36,'OB History S2'!D:D, 1)</f>
        <v>10</v>
      </c>
      <c r="L36" s="2">
        <f>COUNTIFS('OB History S2'!B:B,A36,'OB History S2'!D:D, 0)</f>
        <v>8</v>
      </c>
      <c r="M36" s="88">
        <f>LOOKUP(2, 1/('OB History S2'!$B:$B=A36), 'OB History S2'!$AD:$AD)</f>
        <v>0.55555555555555558</v>
      </c>
      <c r="N36" s="34">
        <f>SUMIFS('OB History S2'!F:F,'OB History S2'!B:B,A36)</f>
        <v>37</v>
      </c>
      <c r="O36" s="2">
        <f>SUMIFS('OB History S2'!E:E,'OB History S2'!B:B,A36)-N36</f>
        <v>36</v>
      </c>
      <c r="P36" s="88">
        <f>LOOKUP(2, 1/('OB History S2'!$B:$B=A36), 'OB History S2'!$AB:$AB)</f>
        <v>0.5083333333333333</v>
      </c>
      <c r="Q36" s="34">
        <f>SUMIFS('OB History S2'!H:H,'OB History S2'!B:B,A36)</f>
        <v>151</v>
      </c>
      <c r="R36" s="2">
        <f>SUMIFS('OB History S2'!G:G,'OB History S2'!B:B,A36)-Q36</f>
        <v>144</v>
      </c>
      <c r="S36" s="88">
        <f>LOOKUP(2, 1/('OB History S2'!$B:$B=A36), 'OB History S2'!$AC:$AC)</f>
        <v>0.51388888888888873</v>
      </c>
      <c r="T36" s="2">
        <f>COUNTIFS('OB History S2'!$B:$B,$A$36,'OB History S2'!K:K, 1)</f>
        <v>1</v>
      </c>
      <c r="U36" s="2">
        <f>COUNTIFS('OB History S2'!$B:$B,$A$36,'OB History S2'!L:L, 1)</f>
        <v>4</v>
      </c>
      <c r="V36" s="2">
        <f>COUNTIFS('OB History S2'!$B:$B,$A$36,'OB History S2'!M:M, 1)</f>
        <v>1</v>
      </c>
      <c r="W36" s="2">
        <f>COUNTIFS('OB History S2'!$B:$B,$A$36,'OB History S2'!N:N, 1)</f>
        <v>2</v>
      </c>
      <c r="X36" s="2">
        <f>COUNTIFS('OB History S2'!$B:$B,$A$36,'OB History S2'!O:O, 1)</f>
        <v>1</v>
      </c>
      <c r="Y36" s="2">
        <f>COUNTIFS('OB History S2'!$B:$B,$A$36,'OB History S2'!P:P, 1)</f>
        <v>0</v>
      </c>
      <c r="Z36" s="2">
        <f>COUNTIFS('OB History S2'!$B:$B,$A$36,'OB History S2'!Q:Q, 1)</f>
        <v>2</v>
      </c>
      <c r="AA36" s="2">
        <f>COUNTIFS('OB History S2'!$B:$B,$A$36,'OB History S2'!R:R, 1)</f>
        <v>3</v>
      </c>
      <c r="AB36" s="2">
        <f>COUNTIFS('OB History S2'!$B:$B,$A$36,'OB History S2'!S:S, 1)</f>
        <v>0</v>
      </c>
      <c r="AC36" s="2">
        <f>COUNTIFS('OB History S2'!$B:$B,$A$36,'OB History S2'!T:T, 1)</f>
        <v>1</v>
      </c>
      <c r="AD36" s="2">
        <f>COUNTIFS('OB History S2'!$B:$B,$A$36,'OB History S2'!U:U, 1)</f>
        <v>0</v>
      </c>
      <c r="AE36" s="2">
        <f>COUNTIFS('OB History S2'!$B:$B,$A$36,'OB History S2'!V:V, 1)</f>
        <v>1</v>
      </c>
      <c r="AF36" s="2">
        <f>COUNTIFS('OB History S2'!$B:$B,$A$36,'OB History S2'!W:W, 1)</f>
        <v>1</v>
      </c>
      <c r="AG36" s="2">
        <f>COUNTIFS('OB History S2'!$B:$B,$A$36,'OB History S2'!X:X, 1)</f>
        <v>11</v>
      </c>
      <c r="AH36" s="2">
        <f>COUNTIFS('OB History S2'!$B:$B,$A$36,'OB History S2'!Y:Y, 1)</f>
        <v>3</v>
      </c>
      <c r="AI36" s="2">
        <f>COUNTIFS('OB History S2'!$B:$B,$A$36,'OB History S2'!Z:Z, 1)</f>
        <v>6</v>
      </c>
    </row>
    <row r="37" spans="1:35" x14ac:dyDescent="0.25">
      <c r="A37" s="2" t="s">
        <v>167</v>
      </c>
      <c r="B37" s="2" t="s">
        <v>79</v>
      </c>
      <c r="C37" s="2" t="s">
        <v>79</v>
      </c>
      <c r="D37" s="3">
        <v>1</v>
      </c>
      <c r="E37" s="2"/>
      <c r="F37" s="2"/>
      <c r="G37" s="2"/>
      <c r="H37" s="34">
        <f>SUMIFS('OB History S2'!C:C,'OB History S2'!B:B,A37)</f>
        <v>29</v>
      </c>
      <c r="I37" s="4">
        <f>AVERAGEIFS('OB History S2'!C:C,'OB History S2'!B:B,A37)</f>
        <v>14.5</v>
      </c>
      <c r="J37" s="35">
        <f t="array" ref="J37">MAX(IF('OB History S2'!B:B=A37, 'OB History S2'!C:C))</f>
        <v>18</v>
      </c>
      <c r="K37" s="34">
        <f>COUNTIFS('OB History S2'!B:B,A37,'OB History S2'!D:D, 1)</f>
        <v>0</v>
      </c>
      <c r="L37" s="2">
        <f>COUNTIFS('OB History S2'!B:B,A37,'OB History S2'!D:D, 0)</f>
        <v>2</v>
      </c>
      <c r="M37" s="88">
        <f>LOOKUP(2, 1/('OB History S2'!$B:$B=A37), 'OB History S2'!$AD:$AD)</f>
        <v>0</v>
      </c>
      <c r="N37" s="34">
        <f>SUMIFS('OB History S2'!F:F,'OB History S2'!B:B,A37)</f>
        <v>0</v>
      </c>
      <c r="O37" s="2">
        <f>SUMIFS('OB History S2'!E:E,'OB History S2'!B:B,A37)-N37</f>
        <v>6</v>
      </c>
      <c r="P37" s="88">
        <f>LOOKUP(2, 1/('OB History S2'!$B:$B=A37), 'OB History S2'!$AB:$AB)</f>
        <v>0</v>
      </c>
      <c r="Q37" s="34">
        <f>SUMIFS('OB History S2'!H:H,'OB History S2'!B:B,A37)</f>
        <v>7</v>
      </c>
      <c r="R37" s="2">
        <f>SUMIFS('OB History S2'!G:G,'OB History S2'!B:B,A37)-Q37</f>
        <v>18</v>
      </c>
      <c r="S37" s="88">
        <f>LOOKUP(2, 1/('OB History S2'!$B:$B=A37), 'OB History S2'!$AC:$AC)</f>
        <v>0.28000000000000003</v>
      </c>
      <c r="T37" s="2">
        <f>COUNTIFS('OB History S2'!$B:$B,$A$37,'OB History S2'!K:K, 1)</f>
        <v>0</v>
      </c>
      <c r="U37" s="2">
        <f>COUNTIFS('OB History S2'!$B:$B,$A$37,'OB History S2'!L:L, 1)</f>
        <v>0</v>
      </c>
      <c r="V37" s="2">
        <f>COUNTIFS('OB History S2'!$B:$B,$A$37,'OB History S2'!M:M, 1)</f>
        <v>0</v>
      </c>
      <c r="W37" s="2">
        <f>COUNTIFS('OB History S2'!$B:$B,$A$37,'OB History S2'!N:N, 1)</f>
        <v>0</v>
      </c>
      <c r="X37" s="2">
        <f>COUNTIFS('OB History S2'!$B:$B,$A$37,'OB History S2'!O:O, 1)</f>
        <v>0</v>
      </c>
      <c r="Y37" s="2">
        <f>COUNTIFS('OB History S2'!$B:$B,$A$37,'OB History S2'!P:P, 1)</f>
        <v>0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0</v>
      </c>
      <c r="AH37" s="2">
        <f>COUNTIFS('OB History S2'!$B:$B,$A$37,'OB History S2'!Y:Y, 1)</f>
        <v>0</v>
      </c>
      <c r="AI37" s="2">
        <f>COUNTIFS('OB History S2'!$B:$B,$A$37,'OB History S2'!Z:Z, 1)</f>
        <v>0</v>
      </c>
    </row>
    <row r="38" spans="1:35" x14ac:dyDescent="0.25">
      <c r="A38" s="2" t="s">
        <v>155</v>
      </c>
      <c r="B38" s="2" t="s">
        <v>60</v>
      </c>
      <c r="C38" s="2" t="s">
        <v>79</v>
      </c>
      <c r="D38" s="3">
        <v>5</v>
      </c>
      <c r="E38" s="3">
        <v>1</v>
      </c>
      <c r="F38" s="3"/>
      <c r="G38" s="3"/>
      <c r="H38" s="34">
        <f>SUMIFS('OB History S2'!C:C,'OB History S2'!B:B,A38)</f>
        <v>321</v>
      </c>
      <c r="I38" s="4">
        <f>AVERAGEIFS('OB History S2'!C:C,'OB History S2'!B:B,A38)</f>
        <v>18.882352941176471</v>
      </c>
      <c r="J38" s="35">
        <f t="array" ref="J38">MAX(IF('OB History S2'!B:B=A38, 'OB History S2'!C:C))</f>
        <v>43</v>
      </c>
      <c r="K38" s="34">
        <f>COUNTIFS('OB History S2'!B:B,A38,'OB History S2'!D:D, 1)</f>
        <v>5</v>
      </c>
      <c r="L38" s="2">
        <f>COUNTIFS('OB History S2'!B:B,A38,'OB History S2'!D:D, 0)</f>
        <v>12</v>
      </c>
      <c r="M38" s="88">
        <f>LOOKUP(2, 1/('OB History S2'!$B:$B=A38), 'OB History S2'!$AD:$AD)</f>
        <v>0.29411764705882354</v>
      </c>
      <c r="N38" s="34">
        <f>SUMIFS('OB History S2'!F:F,'OB History S2'!B:B,A38)</f>
        <v>29</v>
      </c>
      <c r="O38" s="2">
        <f>SUMIFS('OB History S2'!E:E,'OB History S2'!B:B,A38)-N38</f>
        <v>46</v>
      </c>
      <c r="P38" s="88">
        <f>LOOKUP(2, 1/('OB History S2'!$B:$B=A38), 'OB History S2'!$AB:$AB)</f>
        <v>0.35882352941176471</v>
      </c>
      <c r="Q38" s="34">
        <f>SUMIFS('OB History S2'!H:H,'OB History S2'!B:B,A38)</f>
        <v>138</v>
      </c>
      <c r="R38" s="2">
        <f>SUMIFS('OB History S2'!G:G,'OB History S2'!B:B,A38)-Q38</f>
        <v>161</v>
      </c>
      <c r="S38" s="88">
        <f>LOOKUP(2, 1/('OB History S2'!$B:$B=A38), 'OB History S2'!$AC:$AC)</f>
        <v>0.441764705882353</v>
      </c>
      <c r="T38" s="2">
        <f>COUNTIFS('OB History S2'!$B:$B,$A$38,'OB History S2'!K:K, 1)</f>
        <v>2</v>
      </c>
      <c r="U38" s="2">
        <f>COUNTIFS('OB History S2'!$B:$B,$A$38,'OB History S2'!L:L, 1)</f>
        <v>1</v>
      </c>
      <c r="V38" s="2">
        <f>COUNTIFS('OB History S2'!$B:$B,$A$38,'OB History S2'!M:M, 1)</f>
        <v>2</v>
      </c>
      <c r="W38" s="2">
        <f>COUNTIFS('OB History S2'!$B:$B,$A$38,'OB History S2'!N:N, 1)</f>
        <v>4</v>
      </c>
      <c r="X38" s="2">
        <f>COUNTIFS('OB History S2'!$B:$B,$A$38,'OB History S2'!O:O, 1)</f>
        <v>2</v>
      </c>
      <c r="Y38" s="2">
        <f>COUNTIFS('OB History S2'!$B:$B,$A$38,'OB History S2'!P:P, 1)</f>
        <v>3</v>
      </c>
      <c r="Z38" s="2">
        <f>COUNTIFS('OB History S2'!$B:$B,$A$38,'OB History S2'!Q:Q, 1)</f>
        <v>1</v>
      </c>
      <c r="AA38" s="2">
        <f>COUNTIFS('OB History S2'!$B:$B,$A$38,'OB History S2'!R:R, 1)</f>
        <v>0</v>
      </c>
      <c r="AB38" s="2">
        <f>COUNTIFS('OB History S2'!$B:$B,$A$38,'OB History S2'!S:S, 1)</f>
        <v>1</v>
      </c>
      <c r="AC38" s="2">
        <f>COUNTIFS('OB History S2'!$B:$B,$A$38,'OB History S2'!T:T, 1)</f>
        <v>1</v>
      </c>
      <c r="AD38" s="2">
        <f>COUNTIFS('OB History S2'!$B:$B,$A$38,'OB History S2'!U:U, 1)</f>
        <v>0</v>
      </c>
      <c r="AE38" s="2">
        <f>COUNTIFS('OB History S2'!$B:$B,$A$38,'OB History S2'!V:V, 1)</f>
        <v>1</v>
      </c>
      <c r="AF38" s="2">
        <f>COUNTIFS('OB History S2'!$B:$B,$A$38,'OB History S2'!W:W, 1)</f>
        <v>2</v>
      </c>
      <c r="AG38" s="2">
        <f>COUNTIFS('OB History S2'!$B:$B,$A$38,'OB History S2'!X:X, 1)</f>
        <v>4</v>
      </c>
      <c r="AH38" s="2">
        <f>COUNTIFS('OB History S2'!$B:$B,$A$38,'OB History S2'!Y:Y, 1)</f>
        <v>3</v>
      </c>
      <c r="AI38" s="2">
        <f>COUNTIFS('OB History S2'!$B:$B,$A$38,'OB History S2'!Z:Z, 1)</f>
        <v>2</v>
      </c>
    </row>
    <row r="39" spans="1:35" x14ac:dyDescent="0.25">
      <c r="A39" s="2" t="s">
        <v>6</v>
      </c>
      <c r="B39" s="2" t="s">
        <v>60</v>
      </c>
      <c r="C39" s="2" t="s">
        <v>79</v>
      </c>
      <c r="D39" s="3"/>
      <c r="E39" s="2"/>
      <c r="F39" s="2"/>
      <c r="G39" s="2"/>
      <c r="H39" s="34">
        <f>SUMIFS('OB History S2'!C:C,'OB History S2'!B:B,A39)</f>
        <v>184</v>
      </c>
      <c r="I39" s="4">
        <f>AVERAGEIFS('OB History S2'!C:C,'OB History S2'!B:B,A39)</f>
        <v>26.285714285714285</v>
      </c>
      <c r="J39" s="35">
        <f t="array" ref="J39">MAX(IF('OB History S2'!B:B=A39, 'OB History S2'!C:C))</f>
        <v>51</v>
      </c>
      <c r="K39" s="34">
        <f>COUNTIFS('OB History S2'!B:B,A39,'OB History S2'!D:D, 1)</f>
        <v>3</v>
      </c>
      <c r="L39" s="2">
        <f>COUNTIFS('OB History S2'!B:B,A39,'OB History S2'!D:D, 0)</f>
        <v>4</v>
      </c>
      <c r="M39" s="88">
        <f>LOOKUP(2, 1/('OB History S2'!$B:$B=A39), 'OB History S2'!$AD:$AD)</f>
        <v>0.42857142857142855</v>
      </c>
      <c r="N39" s="34">
        <f>SUMIFS('OB History S2'!F:F,'OB History S2'!B:B,A39)</f>
        <v>15</v>
      </c>
      <c r="O39" s="2">
        <f>SUMIFS('OB History S2'!E:E,'OB History S2'!B:B,A39)-N39</f>
        <v>14</v>
      </c>
      <c r="P39" s="88">
        <f>LOOKUP(2, 1/('OB History S2'!$B:$B=A39), 'OB History S2'!$AB:$AB)</f>
        <v>0.54285714285714282</v>
      </c>
      <c r="Q39" s="34">
        <f>SUMIFS('OB History S2'!H:H,'OB History S2'!B:B,A39)</f>
        <v>65</v>
      </c>
      <c r="R39" s="2">
        <f>SUMIFS('OB History S2'!G:G,'OB History S2'!B:B,A39)-Q39</f>
        <v>57</v>
      </c>
      <c r="S39" s="88">
        <f>LOOKUP(2, 1/('OB History S2'!$B:$B=A39), 'OB History S2'!$AC:$AC)</f>
        <v>0.54714285714285704</v>
      </c>
      <c r="T39" s="2">
        <f>COUNTIFS('OB History S2'!$B:$B,$A$39,'OB History S2'!K:K, 1)</f>
        <v>1</v>
      </c>
      <c r="U39" s="2">
        <f>COUNTIFS('OB History S2'!$B:$B,$A$39,'OB History S2'!L:L, 1)</f>
        <v>0</v>
      </c>
      <c r="V39" s="2">
        <f>COUNTIFS('OB History S2'!$B:$B,$A$39,'OB History S2'!M:M, 1)</f>
        <v>3</v>
      </c>
      <c r="W39" s="2">
        <f>COUNTIFS('OB History S2'!$B:$B,$A$39,'OB History S2'!N:N, 1)</f>
        <v>1</v>
      </c>
      <c r="X39" s="2">
        <f>COUNTIFS('OB History S2'!$B:$B,$A$39,'OB History S2'!O:O, 1)</f>
        <v>0</v>
      </c>
      <c r="Y39" s="2">
        <f>COUNTIFS('OB History S2'!$B:$B,$A$39,'OB History S2'!P:P, 1)</f>
        <v>1</v>
      </c>
      <c r="Z39" s="2">
        <f>COUNTIFS('OB History S2'!$B:$B,$A$39,'OB History S2'!Q:Q, 1)</f>
        <v>2</v>
      </c>
      <c r="AA39" s="2">
        <f>COUNTIFS('OB History S2'!$B:$B,$A$39,'OB History S2'!R:R, 1)</f>
        <v>0</v>
      </c>
      <c r="AB39" s="2">
        <f>COUNTIFS('OB History S2'!$B:$B,$A$39,'OB History S2'!S:S, 1)</f>
        <v>1</v>
      </c>
      <c r="AC39" s="2">
        <f>COUNTIFS('OB History S2'!$B:$B,$A$39,'OB History S2'!T:T, 1)</f>
        <v>1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1</v>
      </c>
      <c r="AG39" s="2">
        <f>COUNTIFS('OB History S2'!$B:$B,$A$39,'OB History S2'!X:X, 1)</f>
        <v>0</v>
      </c>
      <c r="AH39" s="2">
        <f>COUNTIFS('OB History S2'!$B:$B,$A$39,'OB History S2'!Y:Y, 1)</f>
        <v>3</v>
      </c>
      <c r="AI39" s="2">
        <f>COUNTIFS('OB History S2'!$B:$B,$A$39,'OB History S2'!Z:Z, 1)</f>
        <v>1</v>
      </c>
    </row>
    <row r="40" spans="1:35" x14ac:dyDescent="0.25">
      <c r="A40" s="2" t="s">
        <v>18</v>
      </c>
      <c r="B40" s="2" t="s">
        <v>60</v>
      </c>
      <c r="C40" s="2" t="s">
        <v>79</v>
      </c>
      <c r="D40" s="3">
        <v>2</v>
      </c>
      <c r="E40" s="2">
        <v>4</v>
      </c>
      <c r="F40" s="2"/>
      <c r="G40" s="2">
        <v>1</v>
      </c>
      <c r="H40" s="34">
        <f>SUMIFS('OB History S2'!C:C,'OB History S2'!B:B,A40)</f>
        <v>331</v>
      </c>
      <c r="I40" s="4">
        <f>AVERAGEIFS('OB History S2'!C:C,'OB History S2'!B:B,A40)</f>
        <v>27.583333333333332</v>
      </c>
      <c r="J40" s="35">
        <f t="array" ref="J40">MAX(IF('OB History S2'!B:B=A40, 'OB History S2'!C:C))</f>
        <v>55</v>
      </c>
      <c r="K40" s="34">
        <f>COUNTIFS('OB History S2'!B:B,A40,'OB History S2'!D:D, 1)</f>
        <v>7</v>
      </c>
      <c r="L40" s="2">
        <f>COUNTIFS('OB History S2'!B:B,A40,'OB History S2'!D:D, 0)</f>
        <v>5</v>
      </c>
      <c r="M40" s="88">
        <f>LOOKUP(2, 1/('OB History S2'!$B:$B=A40), 'OB History S2'!$AD:$AD)</f>
        <v>0.58333333333333337</v>
      </c>
      <c r="N40" s="34">
        <f>SUMIFS('OB History S2'!F:F,'OB History S2'!B:B,A40)</f>
        <v>26</v>
      </c>
      <c r="O40" s="2">
        <f>SUMIFS('OB History S2'!E:E,'OB History S2'!B:B,A40)-N40</f>
        <v>23</v>
      </c>
      <c r="P40" s="88">
        <f>LOOKUP(2, 1/('OB History S2'!$B:$B=A40), 'OB History S2'!$AB:$AB)</f>
        <v>0.52916666666666667</v>
      </c>
      <c r="Q40" s="34">
        <f>SUMIFS('OB History S2'!H:H,'OB History S2'!B:B,A40)</f>
        <v>102</v>
      </c>
      <c r="R40" s="2">
        <f>SUMIFS('OB History S2'!G:G,'OB History S2'!B:B,A40)-Q40</f>
        <v>97</v>
      </c>
      <c r="S40" s="88">
        <f>LOOKUP(2, 1/('OB History S2'!$B:$B=A40), 'OB History S2'!$AC:$AC)</f>
        <v>0.52083333333333337</v>
      </c>
      <c r="T40" s="2">
        <f>COUNTIFS('OB History S2'!$B:$B,$A$40,'OB History S2'!K:K, 1)</f>
        <v>1</v>
      </c>
      <c r="U40" s="2">
        <f>COUNTIFS('OB History S2'!$B:$B,$A$40,'OB History S2'!L:L, 1)</f>
        <v>3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2</v>
      </c>
      <c r="Y40" s="2">
        <f>COUNTIFS('OB History S2'!$B:$B,$A$40,'OB History S2'!P:P, 1)</f>
        <v>3</v>
      </c>
      <c r="Z40" s="2">
        <f>COUNTIFS('OB History S2'!$B:$B,$A$40,'OB History S2'!Q:Q, 1)</f>
        <v>1</v>
      </c>
      <c r="AA40" s="2">
        <f>COUNTIFS('OB History S2'!$B:$B,$A$40,'OB History S2'!R:R, 1)</f>
        <v>0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1</v>
      </c>
      <c r="AE40" s="2">
        <f>COUNTIFS('OB History S2'!$B:$B,$A$40,'OB History S2'!V:V, 1)</f>
        <v>0</v>
      </c>
      <c r="AF40" s="2">
        <f>COUNTIFS('OB History S2'!$B:$B,$A$40,'OB History S2'!W:W, 1)</f>
        <v>2</v>
      </c>
      <c r="AG40" s="2">
        <f>COUNTIFS('OB History S2'!$B:$B,$A$40,'OB History S2'!X:X, 1)</f>
        <v>3</v>
      </c>
      <c r="AH40" s="2">
        <f>COUNTIFS('OB History S2'!$B:$B,$A$40,'OB History S2'!Y:Y, 1)</f>
        <v>3</v>
      </c>
      <c r="AI40" s="2">
        <f>COUNTIFS('OB History S2'!$B:$B,$A$40,'OB History S2'!Z:Z, 1)</f>
        <v>2</v>
      </c>
    </row>
    <row r="41" spans="1:35" x14ac:dyDescent="0.25">
      <c r="A41" s="2" t="s">
        <v>113</v>
      </c>
      <c r="B41" s="2" t="s">
        <v>79</v>
      </c>
      <c r="C41" s="2" t="s">
        <v>79</v>
      </c>
      <c r="D41" s="3">
        <v>1</v>
      </c>
      <c r="E41" s="2"/>
      <c r="F41" s="2"/>
      <c r="G41" s="2"/>
      <c r="H41" s="34">
        <f>SUMIFS('OB History S2'!C:C,'OB History S2'!B:B,A41)</f>
        <v>184</v>
      </c>
      <c r="I41" s="4">
        <f>AVERAGEIFS('OB History S2'!C:C,'OB History S2'!B:B,A41)</f>
        <v>20.444444444444443</v>
      </c>
      <c r="J41" s="35">
        <f t="array" ref="J41">MAX(IF('OB History S2'!B:B=A41, 'OB History S2'!C:C))</f>
        <v>49</v>
      </c>
      <c r="K41" s="34">
        <f>COUNTIFS('OB History S2'!B:B,A41,'OB History S2'!D:D, 1)</f>
        <v>6</v>
      </c>
      <c r="L41" s="2">
        <f>COUNTIFS('OB History S2'!B:B,A41,'OB History S2'!D:D, 0)</f>
        <v>3</v>
      </c>
      <c r="M41" s="88">
        <f>LOOKUP(2, 1/('OB History S2'!$B:$B=A41), 'OB History S2'!$AD:$AD)</f>
        <v>0.66666666666666663</v>
      </c>
      <c r="N41" s="34">
        <f>SUMIFS('OB History S2'!F:F,'OB History S2'!B:B,A41)</f>
        <v>20</v>
      </c>
      <c r="O41" s="2">
        <f>SUMIFS('OB History S2'!E:E,'OB History S2'!B:B,A41)-N41</f>
        <v>13</v>
      </c>
      <c r="P41" s="88">
        <f>LOOKUP(2, 1/('OB History S2'!$B:$B=A41), 'OB History S2'!$AB:$AB)</f>
        <v>0.61111111111111116</v>
      </c>
      <c r="Q41" s="34">
        <f>SUMIFS('OB History S2'!H:H,'OB History S2'!B:B,A41)</f>
        <v>73</v>
      </c>
      <c r="R41" s="2">
        <f>SUMIFS('OB History S2'!G:G,'OB History S2'!B:B,A41)-Q41</f>
        <v>64</v>
      </c>
      <c r="S41" s="88">
        <f>LOOKUP(2, 1/('OB History S2'!$B:$B=A41), 'OB History S2'!$AC:$AC)</f>
        <v>0.52888888888888885</v>
      </c>
      <c r="T41" s="2">
        <f>COUNTIFS('OB History S2'!$B:$B,$A$41,'OB History S2'!K:K, 1)</f>
        <v>0</v>
      </c>
      <c r="U41" s="2">
        <f>COUNTIFS('OB History S2'!$B:$B,$A$41,'OB History S2'!L:L, 1)</f>
        <v>4</v>
      </c>
      <c r="V41" s="2">
        <f>COUNTIFS('OB History S2'!$B:$B,$A$41,'OB History S2'!M:M, 1)</f>
        <v>0</v>
      </c>
      <c r="W41" s="2">
        <f>COUNTIFS('OB History S2'!$B:$B,$A$41,'OB History S2'!N:N, 1)</f>
        <v>2</v>
      </c>
      <c r="X41" s="2">
        <f>COUNTIFS('OB History S2'!$B:$B,$A$41,'OB History S2'!O:O, 1)</f>
        <v>0</v>
      </c>
      <c r="Y41" s="2">
        <f>COUNTIFS('OB History S2'!$B:$B,$A$41,'OB History S2'!P:P, 1)</f>
        <v>1</v>
      </c>
      <c r="Z41" s="2">
        <f>COUNTIFS('OB History S2'!$B:$B,$A$41,'OB History S2'!Q:Q, 1)</f>
        <v>2</v>
      </c>
      <c r="AA41" s="2">
        <f>COUNTIFS('OB History S2'!$B:$B,$A$41,'OB History S2'!R:R, 1)</f>
        <v>0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0</v>
      </c>
      <c r="AE41" s="2">
        <f>COUNTIFS('OB History S2'!$B:$B,$A$41,'OB History S2'!V:V, 1)</f>
        <v>1</v>
      </c>
      <c r="AF41" s="2">
        <f>COUNTIFS('OB History S2'!$B:$B,$A$41,'OB History S2'!W:W, 1)</f>
        <v>2</v>
      </c>
      <c r="AG41" s="2">
        <f>COUNTIFS('OB History S2'!$B:$B,$A$41,'OB History S2'!X:X, 1)</f>
        <v>3</v>
      </c>
      <c r="AH41" s="2">
        <f>COUNTIFS('OB History S2'!$B:$B,$A$41,'OB History S2'!Y:Y, 1)</f>
        <v>2</v>
      </c>
      <c r="AI41" s="2">
        <f>COUNTIFS('OB History S2'!$B:$B,$A$41,'OB History S2'!Z:Z, 1)</f>
        <v>3</v>
      </c>
    </row>
    <row r="42" spans="1:35" x14ac:dyDescent="0.25">
      <c r="A42" s="2" t="s">
        <v>170</v>
      </c>
      <c r="B42" s="2" t="s">
        <v>79</v>
      </c>
      <c r="C42" s="2" t="s">
        <v>79</v>
      </c>
      <c r="D42" s="3"/>
      <c r="E42" s="2"/>
      <c r="F42" s="2"/>
      <c r="G42" s="2"/>
      <c r="H42" s="34">
        <f>SUMIFS('OB History S2'!C:C,'OB History S2'!B:B,A42)</f>
        <v>2</v>
      </c>
      <c r="I42" s="4">
        <f>AVERAGEIFS('OB History S2'!C:C,'OB History S2'!B:B,A42)</f>
        <v>2</v>
      </c>
      <c r="J42" s="35">
        <f t="array" ref="J42">MAX(IF('OB History S2'!B:B=A42, 'OB History S2'!C:C))</f>
        <v>2</v>
      </c>
      <c r="K42" s="34">
        <f>COUNTIFS('OB History S2'!B:B,A42,'OB History S2'!D:D, 1)</f>
        <v>0</v>
      </c>
      <c r="L42" s="2">
        <f>COUNTIFS('OB History S2'!B:B,A42,'OB History S2'!D:D, 0)</f>
        <v>1</v>
      </c>
      <c r="M42" s="88">
        <f>LOOKUP(2, 1/('OB History S2'!$B:$B=A42), 'OB History S2'!$AD:$AD)</f>
        <v>0</v>
      </c>
      <c r="N42" s="34">
        <f>SUMIFS('OB History S2'!F:F,'OB History S2'!B:B,A42)</f>
        <v>2</v>
      </c>
      <c r="O42" s="2">
        <f>SUMIFS('OB History S2'!E:E,'OB History S2'!B:B,A42)-N42</f>
        <v>3</v>
      </c>
      <c r="P42" s="88">
        <f>LOOKUP(2, 1/('OB History S2'!$B:$B=A42), 'OB History S2'!$AB:$AB)</f>
        <v>0.4</v>
      </c>
      <c r="Q42" s="34">
        <f>SUMIFS('OB History S2'!H:H,'OB History S2'!B:B,A42)</f>
        <v>6</v>
      </c>
      <c r="R42" s="2">
        <f>SUMIFS('OB History S2'!G:G,'OB History S2'!B:B,A42)-Q42</f>
        <v>14</v>
      </c>
      <c r="S42" s="88">
        <f>LOOKUP(2, 1/('OB History S2'!$B:$B=A42), 'OB History S2'!$AC:$AC)</f>
        <v>0.3</v>
      </c>
      <c r="T42" s="2">
        <f>COUNTIFS('OB History S2'!$B:$B,$A$42,'OB History S2'!K:K, 1)</f>
        <v>0</v>
      </c>
      <c r="U42" s="2">
        <f>COUNTIFS('OB History S2'!$B:$B,$A$42,'OB History S2'!L:L, 1)</f>
        <v>0</v>
      </c>
      <c r="V42" s="2">
        <f>COUNTIFS('OB History S2'!$B:$B,$A$42,'OB History S2'!M:M, 1)</f>
        <v>0</v>
      </c>
      <c r="W42" s="2">
        <f>COUNTIFS('OB History S2'!$B:$B,$A$42,'OB History S2'!N:N, 1)</f>
        <v>0</v>
      </c>
      <c r="X42" s="2">
        <f>COUNTIFS('OB History S2'!$B:$B,$A$42,'OB History S2'!O:O, 1)</f>
        <v>0</v>
      </c>
      <c r="Y42" s="2">
        <f>COUNTIFS('OB History S2'!$B:$B,$A$42,'OB History S2'!P:P, 1)</f>
        <v>0</v>
      </c>
      <c r="Z42" s="2">
        <f>COUNTIFS('OB History S2'!$B:$B,$A$42,'OB History S2'!Q:Q, 1)</f>
        <v>0</v>
      </c>
      <c r="AA42" s="2">
        <f>COUNTIFS('OB History S2'!$B:$B,$A$42,'OB History S2'!R:R, 1)</f>
        <v>0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1</v>
      </c>
      <c r="AG42" s="2">
        <f>COUNTIFS('OB History S2'!$B:$B,$A$42,'OB History S2'!X:X, 1)</f>
        <v>0</v>
      </c>
      <c r="AH42" s="2">
        <f>COUNTIFS('OB History S2'!$B:$B,$A$42,'OB History S2'!Y:Y, 1)</f>
        <v>1</v>
      </c>
      <c r="AI42" s="2">
        <f>COUNTIFS('OB History S2'!$B:$B,$A$42,'OB History S2'!Z:Z, 1)</f>
        <v>0</v>
      </c>
    </row>
    <row r="43" spans="1:35" x14ac:dyDescent="0.25">
      <c r="A43" s="2" t="s">
        <v>14</v>
      </c>
      <c r="B43" s="6" t="s">
        <v>124</v>
      </c>
      <c r="C43" s="6" t="s">
        <v>124</v>
      </c>
      <c r="D43" s="3">
        <v>4</v>
      </c>
      <c r="E43" s="6">
        <v>1</v>
      </c>
      <c r="F43" s="6"/>
      <c r="G43" s="6"/>
      <c r="H43" s="34">
        <f>SUMIFS('OB History S2'!C:C,'OB History S2'!B:B,A43)</f>
        <v>365</v>
      </c>
      <c r="I43" s="4">
        <f>AVERAGEIFS('OB History S2'!C:C,'OB History S2'!B:B,A43)</f>
        <v>22.8125</v>
      </c>
      <c r="J43" s="35">
        <f t="array" ref="J43">MAX(IF('OB History S2'!B:B=A43, 'OB History S2'!C:C))</f>
        <v>51</v>
      </c>
      <c r="K43" s="34">
        <f>COUNTIFS('OB History S2'!B:B,A43,'OB History S2'!D:D, 1)</f>
        <v>4</v>
      </c>
      <c r="L43" s="2">
        <f>COUNTIFS('OB History S2'!B:B,A43,'OB History S2'!D:D, 0)</f>
        <v>12</v>
      </c>
      <c r="M43" s="88">
        <f>LOOKUP(2, 1/('OB History S2'!$B:$B=A43), 'OB History S2'!$AD:$AD)</f>
        <v>0.25</v>
      </c>
      <c r="N43" s="34">
        <f>SUMIFS('OB History S2'!F:F,'OB History S2'!B:B,A43)</f>
        <v>24</v>
      </c>
      <c r="O43" s="2">
        <f>SUMIFS('OB History S2'!E:E,'OB History S2'!B:B,A43)-N43</f>
        <v>41</v>
      </c>
      <c r="P43" s="88">
        <f>LOOKUP(2, 1/('OB History S2'!$B:$B=A43), 'OB History S2'!$AB:$AB)</f>
        <v>0.34687499999999999</v>
      </c>
      <c r="Q43" s="34">
        <f>SUMIFS('OB History S2'!H:H,'OB History S2'!B:B,A43)</f>
        <v>112</v>
      </c>
      <c r="R43" s="2">
        <f>SUMIFS('OB History S2'!G:G,'OB History S2'!B:B,A43)-Q43</f>
        <v>153</v>
      </c>
      <c r="S43" s="88">
        <f>LOOKUP(2, 1/('OB History S2'!$B:$B=A43), 'OB History S2'!$AC:$AC)</f>
        <v>0.42499999999999993</v>
      </c>
      <c r="T43" s="2">
        <f>COUNTIFS('OB History S2'!$B:$B,$A$43,'OB History S2'!K:K, 1)</f>
        <v>1</v>
      </c>
      <c r="U43" s="2">
        <f>COUNTIFS('OB History S2'!$B:$B,$A$43,'OB History S2'!L:L, 1)</f>
        <v>3</v>
      </c>
      <c r="V43" s="2">
        <f>COUNTIFS('OB History S2'!$B:$B,$A$43,'OB History S2'!M:M, 1)</f>
        <v>1</v>
      </c>
      <c r="W43" s="2">
        <f>COUNTIFS('OB History S2'!$B:$B,$A$43,'OB History S2'!N:N, 1)</f>
        <v>1</v>
      </c>
      <c r="X43" s="2">
        <f>COUNTIFS('OB History S2'!$B:$B,$A$43,'OB History S2'!O:O, 1)</f>
        <v>1</v>
      </c>
      <c r="Y43" s="2">
        <f>COUNTIFS('OB History S2'!$B:$B,$A$43,'OB History S2'!P:P, 1)</f>
        <v>1</v>
      </c>
      <c r="Z43" s="2">
        <f>COUNTIFS('OB History S2'!$B:$B,$A$43,'OB History S2'!Q:Q, 1)</f>
        <v>1</v>
      </c>
      <c r="AA43" s="2">
        <f>COUNTIFS('OB History S2'!$B:$B,$A$43,'OB History S2'!R:R, 1)</f>
        <v>0</v>
      </c>
      <c r="AB43" s="2">
        <f>COUNTIFS('OB History S2'!$B:$B,$A$43,'OB History S2'!S:S, 1)</f>
        <v>1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3</v>
      </c>
      <c r="AG43" s="2">
        <f>COUNTIFS('OB History S2'!$B:$B,$A$43,'OB History S2'!X:X, 1)</f>
        <v>7</v>
      </c>
      <c r="AH43" s="2">
        <f>COUNTIFS('OB History S2'!$B:$B,$A$43,'OB History S2'!Y:Y, 1)</f>
        <v>2</v>
      </c>
      <c r="AI43" s="2">
        <f>COUNTIFS('OB History S2'!$B:$B,$A$43,'OB History S2'!Z:Z, 1)</f>
        <v>2</v>
      </c>
    </row>
    <row r="44" spans="1:35" x14ac:dyDescent="0.25">
      <c r="A44" s="2" t="s">
        <v>70</v>
      </c>
      <c r="B44" s="6" t="s">
        <v>79</v>
      </c>
      <c r="C44" s="6" t="s">
        <v>79</v>
      </c>
      <c r="D44" s="3"/>
      <c r="E44" s="6"/>
      <c r="F44" s="6"/>
      <c r="G44" s="6"/>
      <c r="H44" s="34">
        <f>SUMIFS('OB History S2'!C:C,'OB History S2'!B:B,A44)</f>
        <v>53</v>
      </c>
      <c r="I44" s="4">
        <f>AVERAGEIFS('OB History S2'!C:C,'OB History S2'!B:B,A44)</f>
        <v>17.666666666666668</v>
      </c>
      <c r="J44" s="35">
        <f t="array" ref="J44">MAX(IF('OB History S2'!B:B=A44, 'OB History S2'!C:C))</f>
        <v>27</v>
      </c>
      <c r="K44" s="34">
        <f>COUNTIFS('OB History S2'!B:B,A44,'OB History S2'!D:D, 1)</f>
        <v>2</v>
      </c>
      <c r="L44" s="2">
        <f>COUNTIFS('OB History S2'!B:B,A44,'OB History S2'!D:D, 0)</f>
        <v>1</v>
      </c>
      <c r="M44" s="88">
        <f>LOOKUP(2, 1/('OB History S2'!$B:$B=A44), 'OB History S2'!$AD:$AD)</f>
        <v>0.66666666666666663</v>
      </c>
      <c r="N44" s="34">
        <f>SUMIFS('OB History S2'!F:F,'OB History S2'!B:B,A44)</f>
        <v>8</v>
      </c>
      <c r="O44" s="2">
        <f>SUMIFS('OB History S2'!E:E,'OB History S2'!B:B,A44)-N44</f>
        <v>5</v>
      </c>
      <c r="P44" s="88">
        <f>LOOKUP(2, 1/('OB History S2'!$B:$B=A44), 'OB History S2'!$AB:$AB)</f>
        <v>0.66666666666666663</v>
      </c>
      <c r="Q44" s="34">
        <f>SUMIFS('OB History S2'!H:H,'OB History S2'!B:B,A44)</f>
        <v>31</v>
      </c>
      <c r="R44" s="2">
        <f>SUMIFS('OB History S2'!G:G,'OB History S2'!B:B,A44)-Q44</f>
        <v>27</v>
      </c>
      <c r="S44" s="88">
        <f>LOOKUP(2, 1/('OB History S2'!$B:$B=A44), 'OB History S2'!$AC:$AC)</f>
        <v>0.54666666666666663</v>
      </c>
      <c r="T44" s="2">
        <f>COUNTIFS('OB History S2'!$B:$B,$A$44,'OB History S2'!K:K, 1)</f>
        <v>1</v>
      </c>
      <c r="U44" s="2">
        <f>COUNTIFS('OB History S2'!$B:$B,$A$44,'OB History S2'!L:L, 1)</f>
        <v>0</v>
      </c>
      <c r="V44" s="2">
        <f>COUNTIFS('OB History S2'!$B:$B,$A$44,'OB History S2'!M:M, 1)</f>
        <v>0</v>
      </c>
      <c r="W44" s="2">
        <f>COUNTIFS('OB History S2'!$B:$B,$A$44,'OB History S2'!N:N, 1)</f>
        <v>0</v>
      </c>
      <c r="X44" s="2">
        <f>COUNTIFS('OB History S2'!$B:$B,$A$44,'OB History S2'!O:O, 1)</f>
        <v>1</v>
      </c>
      <c r="Y44" s="2">
        <f>COUNTIFS('OB History S2'!$B:$B,$A$44,'OB History S2'!P:P, 1)</f>
        <v>0</v>
      </c>
      <c r="Z44" s="2">
        <f>COUNTIFS('OB History S2'!$B:$B,$A$44,'OB History S2'!Q:Q, 1)</f>
        <v>0</v>
      </c>
      <c r="AA44" s="2">
        <f>COUNTIFS('OB History S2'!$B:$B,$A$44,'OB History S2'!R:R, 1)</f>
        <v>1</v>
      </c>
      <c r="AB44" s="2">
        <f>COUNTIFS('OB History S2'!$B:$B,$A$44,'OB History S2'!S:S, 1)</f>
        <v>0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0</v>
      </c>
      <c r="AG44" s="2">
        <f>COUNTIFS('OB History S2'!$B:$B,$A$44,'OB History S2'!X:X, 1)</f>
        <v>3</v>
      </c>
      <c r="AH44" s="2">
        <f>COUNTIFS('OB History S2'!$B:$B,$A$44,'OB History S2'!Y:Y, 1)</f>
        <v>0</v>
      </c>
      <c r="AI44" s="2">
        <f>COUNTIFS('OB History S2'!$B:$B,$A$44,'OB History S2'!Z:Z, 1)</f>
        <v>2</v>
      </c>
    </row>
    <row r="45" spans="1:35" x14ac:dyDescent="0.25">
      <c r="A45" s="2" t="s">
        <v>4</v>
      </c>
      <c r="B45" s="2" t="s">
        <v>79</v>
      </c>
      <c r="C45" s="2" t="s">
        <v>79</v>
      </c>
      <c r="D45" s="3">
        <v>1</v>
      </c>
      <c r="E45" s="2"/>
      <c r="F45" s="2"/>
      <c r="G45" s="2"/>
      <c r="H45" s="34">
        <f>SUMIFS('OB History S2'!C:C,'OB History S2'!B:B,A45)</f>
        <v>182</v>
      </c>
      <c r="I45" s="4">
        <f>AVERAGEIFS('OB History S2'!C:C,'OB History S2'!B:B,A45)</f>
        <v>26</v>
      </c>
      <c r="J45" s="35">
        <f t="array" ref="J45">MAX(IF('OB History S2'!B:B=A45, 'OB History S2'!C:C))</f>
        <v>46</v>
      </c>
      <c r="K45" s="34">
        <f>COUNTIFS('OB History S2'!B:B,A45,'OB History S2'!D:D, 1)</f>
        <v>3</v>
      </c>
      <c r="L45" s="2">
        <f>COUNTIFS('OB History S2'!B:B,A45,'OB History S2'!D:D, 0)</f>
        <v>4</v>
      </c>
      <c r="M45" s="88">
        <f>LOOKUP(2, 1/('OB History S2'!$B:$B=A45), 'OB History S2'!$AD:$AD)</f>
        <v>0.42857142857142855</v>
      </c>
      <c r="N45" s="34">
        <f>SUMIFS('OB History S2'!F:F,'OB History S2'!B:B,A45)</f>
        <v>12</v>
      </c>
      <c r="O45" s="2">
        <f>SUMIFS('OB History S2'!E:E,'OB History S2'!B:B,A45)-N45</f>
        <v>18</v>
      </c>
      <c r="P45" s="88">
        <f>LOOKUP(2, 1/('OB History S2'!$B:$B=A45), 'OB History S2'!$AB:$AB)</f>
        <v>0.35000000000000003</v>
      </c>
      <c r="Q45" s="34">
        <f>SUMIFS('OB History S2'!H:H,'OB History S2'!B:B,A45)</f>
        <v>57</v>
      </c>
      <c r="R45" s="2">
        <f>SUMIFS('OB History S2'!G:G,'OB History S2'!B:B,A45)-Q45</f>
        <v>67</v>
      </c>
      <c r="S45" s="88">
        <f>LOOKUP(2, 1/('OB History S2'!$B:$B=A45), 'OB History S2'!$AC:$AC)</f>
        <v>0.4271428571428571</v>
      </c>
      <c r="T45" s="2">
        <f>COUNTIFS('OB History S2'!$B:$B,$A$45,'OB History S2'!K:K, 1)</f>
        <v>1</v>
      </c>
      <c r="U45" s="2">
        <f>COUNTIFS('OB History S2'!$B:$B,$A$45,'OB History S2'!L:L, 1)</f>
        <v>3</v>
      </c>
      <c r="V45" s="2">
        <f>COUNTIFS('OB History S2'!$B:$B,$A$45,'OB History S2'!M:M, 1)</f>
        <v>1</v>
      </c>
      <c r="W45" s="2">
        <f>COUNTIFS('OB History S2'!$B:$B,$A$45,'OB History S2'!N:N, 1)</f>
        <v>1</v>
      </c>
      <c r="X45" s="2">
        <f>COUNTIFS('OB History S2'!$B:$B,$A$45,'OB History S2'!O:O, 1)</f>
        <v>2</v>
      </c>
      <c r="Y45" s="2">
        <f>COUNTIFS('OB History S2'!$B:$B,$A$45,'OB History S2'!P:P, 1)</f>
        <v>1</v>
      </c>
      <c r="Z45" s="2">
        <f>COUNTIFS('OB History S2'!$B:$B,$A$45,'OB History S2'!Q:Q, 1)</f>
        <v>1</v>
      </c>
      <c r="AA45" s="2">
        <f>COUNTIFS('OB History S2'!$B:$B,$A$45,'OB History S2'!R:R, 1)</f>
        <v>0</v>
      </c>
      <c r="AB45" s="2">
        <f>COUNTIFS('OB History S2'!$B:$B,$A$45,'OB History S2'!S:S, 1)</f>
        <v>0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0</v>
      </c>
      <c r="AG45" s="2">
        <f>COUNTIFS('OB History S2'!$B:$B,$A$45,'OB History S2'!X:X, 1)</f>
        <v>1</v>
      </c>
      <c r="AH45" s="2">
        <f>COUNTIFS('OB History S2'!$B:$B,$A$45,'OB History S2'!Y:Y, 1)</f>
        <v>1</v>
      </c>
      <c r="AI45" s="2">
        <f>COUNTIFS('OB History S2'!$B:$B,$A$45,'OB History S2'!Z:Z, 1)</f>
        <v>0</v>
      </c>
    </row>
    <row r="46" spans="1:35" x14ac:dyDescent="0.25">
      <c r="A46" s="2" t="s">
        <v>55</v>
      </c>
      <c r="B46" s="2" t="s">
        <v>79</v>
      </c>
      <c r="C46" s="2" t="s">
        <v>79</v>
      </c>
      <c r="D46" s="2"/>
      <c r="E46" s="2"/>
      <c r="F46" s="2"/>
      <c r="G46" s="2"/>
      <c r="H46" s="34">
        <f>SUMIFS('OB History S2'!C:C,'OB History S2'!B:B,A46)</f>
        <v>48</v>
      </c>
      <c r="I46" s="4">
        <f>AVERAGEIFS('OB History S2'!C:C,'OB History S2'!B:B,A46)</f>
        <v>9.6</v>
      </c>
      <c r="J46" s="35">
        <f t="array" ref="J46">MAX(IF('OB History S2'!B:B=A46, 'OB History S2'!C:C))</f>
        <v>20</v>
      </c>
      <c r="K46" s="34">
        <f>COUNTIFS('OB History S2'!B:B,A46,'OB History S2'!D:D, 1)</f>
        <v>3</v>
      </c>
      <c r="L46" s="2">
        <f>COUNTIFS('OB History S2'!B:B,A46,'OB History S2'!D:D, 0)</f>
        <v>2</v>
      </c>
      <c r="M46" s="88">
        <f>LOOKUP(2, 1/('OB History S2'!$B:$B=A46), 'OB History S2'!$AD:$AD)</f>
        <v>0.6</v>
      </c>
      <c r="N46" s="34">
        <f>SUMIFS('OB History S2'!F:F,'OB History S2'!B:B,A46)</f>
        <v>12</v>
      </c>
      <c r="O46" s="2">
        <f>SUMIFS('OB History S2'!E:E,'OB History S2'!B:B,A46)-N46</f>
        <v>7</v>
      </c>
      <c r="P46" s="88">
        <f>LOOKUP(2, 1/('OB History S2'!$B:$B=A46), 'OB History S2'!$AB:$AB)</f>
        <v>0.67999999999999994</v>
      </c>
      <c r="Q46" s="34">
        <f>SUMIFS('OB History S2'!H:H,'OB History S2'!B:B,A46)</f>
        <v>46</v>
      </c>
      <c r="R46" s="2">
        <f>SUMIFS('OB History S2'!G:G,'OB History S2'!B:B,A46)-Q46</f>
        <v>30</v>
      </c>
      <c r="S46" s="88">
        <f>LOOKUP(2, 1/('OB History S2'!$B:$B=A46), 'OB History S2'!$AC:$AC)</f>
        <v>0.62399999999999989</v>
      </c>
      <c r="T46" s="2">
        <f>COUNTIFS('OB History S2'!$B:$B,$A$46,'OB History S2'!K:K, 1)</f>
        <v>1</v>
      </c>
      <c r="U46" s="2">
        <f>COUNTIFS('OB History S2'!$B:$B,$A$46,'OB History S2'!L:L, 1)</f>
        <v>1</v>
      </c>
      <c r="V46" s="2">
        <f>COUNTIFS('OB History S2'!$B:$B,$A$46,'OB History S2'!M:M, 1)</f>
        <v>0</v>
      </c>
      <c r="W46" s="2">
        <f>COUNTIFS('OB History S2'!$B:$B,$A$46,'OB History S2'!N:N, 1)</f>
        <v>2</v>
      </c>
      <c r="X46" s="2">
        <f>COUNTIFS('OB History S2'!$B:$B,$A$46,'OB History S2'!O:O, 1)</f>
        <v>0</v>
      </c>
      <c r="Y46" s="2">
        <f>COUNTIFS('OB History S2'!$B:$B,$A$46,'OB History S2'!P:P, 1)</f>
        <v>0</v>
      </c>
      <c r="Z46" s="2">
        <f>COUNTIFS('OB History S2'!$B:$B,$A$46,'OB History S2'!Q:Q, 1)</f>
        <v>0</v>
      </c>
      <c r="AA46" s="2">
        <f>COUNTIFS('OB History S2'!$B:$B,$A$46,'OB History S2'!R:R, 1)</f>
        <v>0</v>
      </c>
      <c r="AB46" s="2">
        <f>COUNTIFS('OB History S2'!$B:$B,$A$46,'OB History S2'!S:S, 1)</f>
        <v>0</v>
      </c>
      <c r="AC46" s="2">
        <f>COUNTIFS('OB History S2'!$B:$B,$A$46,'OB History S2'!T:T, 1)</f>
        <v>0</v>
      </c>
      <c r="AD46" s="2">
        <f>COUNTIFS('OB History S2'!$B:$B,$A$46,'OB History S2'!U:U, 1)</f>
        <v>1</v>
      </c>
      <c r="AE46" s="2">
        <f>COUNTIFS('OB History S2'!$B:$B,$A$46,'OB History S2'!V:V, 1)</f>
        <v>0</v>
      </c>
      <c r="AF46" s="2">
        <f>COUNTIFS('OB History S2'!$B:$B,$A$46,'OB History S2'!W:W, 1)</f>
        <v>0</v>
      </c>
      <c r="AG46" s="2">
        <f>COUNTIFS('OB History S2'!$B:$B,$A$46,'OB History S2'!X:X, 1)</f>
        <v>4</v>
      </c>
      <c r="AH46" s="2">
        <f>COUNTIFS('OB History S2'!$B:$B,$A$46,'OB History S2'!Y:Y, 1)</f>
        <v>2</v>
      </c>
      <c r="AI46" s="2">
        <f>COUNTIFS('OB History S2'!$B:$B,$A$46,'OB History S2'!Z:Z, 1)</f>
        <v>1</v>
      </c>
    </row>
  </sheetData>
  <autoFilter ref="A1:AI45" xr:uid="{EEC03B8F-669F-4FC0-BA62-50F3D395660C}">
    <sortState xmlns:xlrd2="http://schemas.microsoft.com/office/spreadsheetml/2017/richdata2" ref="A2:AI46">
      <sortCondition ref="A1:A45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7"/>
  <sheetViews>
    <sheetView workbookViewId="0">
      <pane ySplit="1" topLeftCell="A299" activePane="bottomLeft" state="frozen"/>
      <selection pane="bottomLeft" activeCell="Y348" sqref="Y34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167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18</v>
      </c>
      <c r="AB251" s="86">
        <f>AVERAGEIFS($I$2:I251, $B$2:B251, B251)</f>
        <v>0</v>
      </c>
      <c r="AC251" s="86">
        <f>AVERAGEIFS($J$2:J251, $B$2:B251, B251)</f>
        <v>0.31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167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14.5</v>
      </c>
      <c r="AB266" s="86">
        <f>AVERAGEIFS($I$2:I266, $B$2:B266, B266)</f>
        <v>0</v>
      </c>
      <c r="AC266" s="86">
        <f>AVERAGEIFS($J$2:J266, $B$2:B266, B266)</f>
        <v>0.28000000000000003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169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170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</sheetData>
  <autoFilter ref="A1:AD477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8" t="s">
        <v>119</v>
      </c>
      <c r="B4" s="99"/>
      <c r="C4" s="99"/>
    </row>
    <row r="5" spans="1:3" x14ac:dyDescent="0.25">
      <c r="A5" s="98" t="s">
        <v>120</v>
      </c>
      <c r="B5" s="99"/>
      <c r="C5" s="99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1" t="s">
        <v>7</v>
      </c>
      <c r="D1" s="102"/>
      <c r="E1" s="102"/>
      <c r="F1" s="101" t="s">
        <v>22</v>
      </c>
      <c r="G1" s="102"/>
      <c r="H1" s="103"/>
      <c r="I1" s="101" t="s">
        <v>16</v>
      </c>
      <c r="J1" s="102"/>
      <c r="K1" s="103"/>
      <c r="L1" s="101" t="s">
        <v>23</v>
      </c>
      <c r="M1" s="102"/>
      <c r="N1" s="103"/>
      <c r="O1" s="102" t="s">
        <v>64</v>
      </c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3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4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4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4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4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4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4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4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4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1" t="s">
        <v>7</v>
      </c>
      <c r="D15" s="102"/>
      <c r="E15" s="103"/>
      <c r="F15" s="101" t="s">
        <v>22</v>
      </c>
      <c r="G15" s="102"/>
      <c r="H15" s="103"/>
      <c r="I15" s="101" t="s">
        <v>16</v>
      </c>
      <c r="J15" s="102"/>
      <c r="K15" s="103"/>
      <c r="L15" s="101" t="s">
        <v>23</v>
      </c>
      <c r="M15" s="102"/>
      <c r="N15" s="103"/>
      <c r="O15" s="101" t="s">
        <v>64</v>
      </c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3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0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0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0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0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0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0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0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0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9"/>
  <sheetViews>
    <sheetView workbookViewId="0">
      <pane xSplit="1" ySplit="1" topLeftCell="B10" activePane="bottomRight" state="frozen"/>
      <selection pane="topRight" activeCell="B1" sqref="B1"/>
      <selection pane="bottomLeft" activeCell="A2" sqref="A2"/>
      <selection pane="bottomRight" activeCell="A2" sqref="A2:A60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351</v>
      </c>
      <c r="G5" s="66">
        <f>AVERAGEIFS('BA History'!C:C,'BA History'!B:B,A5)</f>
        <v>12.535714285714286</v>
      </c>
      <c r="H5" s="35">
        <f t="array" ref="H5">MAX(IF('BA History'!B:B=A5, 'BA History'!C:C))</f>
        <v>23</v>
      </c>
      <c r="I5" s="34">
        <f>COUNTIFS('BA History'!B:B,A5,'BA History'!D:D, 1)</f>
        <v>14</v>
      </c>
      <c r="J5" s="2">
        <f>COUNTIFS('BA History'!B:B,A5,'BA History'!D:D, 0)</f>
        <v>14</v>
      </c>
      <c r="K5" s="75">
        <f>LOOKUP(2, 1/('BA History'!$B:$B=A5), 'BA History'!$AJ:$AJ)</f>
        <v>0.5</v>
      </c>
      <c r="L5" s="34">
        <f>SUMIFS('BA History'!F:F,'BA History'!B:B,A5)</f>
        <v>56</v>
      </c>
      <c r="M5" s="2">
        <f>SUMIFS('BA History'!E:E,'BA History'!B:B,A5)-L5</f>
        <v>60</v>
      </c>
      <c r="N5" s="75">
        <f>LOOKUP(2, 1/('BA History'!$B:$B=A5), 'BA History'!$AH:$AH)</f>
        <v>0.46071428571428574</v>
      </c>
      <c r="O5" s="34">
        <f>SUMIFS('BA History'!H:H,'BA History'!B:B,A5)</f>
        <v>233</v>
      </c>
      <c r="P5" s="2">
        <f>SUMIFS('BA History'!G:G,'BA History'!B:B,A5)-O5</f>
        <v>247</v>
      </c>
      <c r="Q5" s="89">
        <f>LOOKUP(2, 1/('BA History'!$B:$B=A5), 'BA History'!$AI:$AI)</f>
        <v>0.47214285714285709</v>
      </c>
      <c r="R5" s="2">
        <f>COUNTIFS('BA History'!$B:$B,$A$5,'BA History'!K:K, 1)</f>
        <v>4</v>
      </c>
      <c r="S5" s="2">
        <f>COUNTIFS('BA History'!$B:$B,$A$5,'BA History'!L:L, 1)</f>
        <v>7</v>
      </c>
      <c r="T5" s="2">
        <f>COUNTIFS('BA History'!$B:$B,$A$5,'BA History'!M:M, 1)</f>
        <v>4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7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429</v>
      </c>
      <c r="G7" s="66">
        <f>AVERAGEIFS('BA History'!C:C,'BA History'!B:B,A7)</f>
        <v>10.463414634146341</v>
      </c>
      <c r="H7" s="35">
        <f t="array" ref="H7">MAX(IF('BA History'!B:B=A7, 'BA History'!C:C))</f>
        <v>24</v>
      </c>
      <c r="I7" s="34">
        <f>COUNTIFS('BA History'!B:B,A7,'BA History'!D:D, 1)</f>
        <v>18</v>
      </c>
      <c r="J7" s="2">
        <f>COUNTIFS('BA History'!B:B,A7,'BA History'!D:D, 0)</f>
        <v>23</v>
      </c>
      <c r="K7" s="75">
        <f>LOOKUP(2, 1/('BA History'!$B:$B=A7), 'BA History'!$AJ:$AJ)</f>
        <v>0.43902439024390244</v>
      </c>
      <c r="L7" s="34">
        <f>SUMIFS('BA History'!F:F,'BA History'!B:B,A7)</f>
        <v>79</v>
      </c>
      <c r="M7" s="2">
        <f>SUMIFS('BA History'!E:E,'BA History'!B:B,A7)-L7</f>
        <v>88</v>
      </c>
      <c r="N7" s="75">
        <f>LOOKUP(2, 1/('BA History'!$B:$B=A7), 'BA History'!$AH:$AH)</f>
        <v>0.46170731707317081</v>
      </c>
      <c r="O7" s="34">
        <f>SUMIFS('BA History'!H:H,'BA History'!B:B,A7)</f>
        <v>342</v>
      </c>
      <c r="P7" s="2">
        <f>SUMIFS('BA History'!G:G,'BA History'!B:B,A7)-O7</f>
        <v>354</v>
      </c>
      <c r="Q7" s="89">
        <f>LOOKUP(2, 1/('BA History'!$B:$B=A7), 'BA History'!$AI:$AI)</f>
        <v>0.48682926829268286</v>
      </c>
      <c r="R7" s="2">
        <f>COUNTIFS('BA History'!$B:$B,$A$7,'BA History'!K:K, 1)</f>
        <v>3</v>
      </c>
      <c r="S7" s="2">
        <f>COUNTIFS('BA History'!$B:$B,$A$7,'BA History'!L:L, 1)</f>
        <v>4</v>
      </c>
      <c r="T7" s="2">
        <f>COUNTIFS('BA History'!$B:$B,$A$7,'BA History'!M:M, 1)</f>
        <v>6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4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10</v>
      </c>
      <c r="AH7" s="2">
        <f>COUNTIFS('BA History'!$B:$B,$A$7,'BA History'!AA:AA, 1)</f>
        <v>2</v>
      </c>
      <c r="AI7" s="2">
        <f>COUNTIFS('BA History'!$B:$B,$A$7,'BA History'!AB:AB, 1)</f>
        <v>8</v>
      </c>
      <c r="AJ7" s="2">
        <f>COUNTIFS('BA History'!$B:$B,$A$7,'BA History'!AC:AC, 1)</f>
        <v>6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3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778</v>
      </c>
      <c r="G9" s="66">
        <f>AVERAGEIFS('BA History'!C:C,'BA History'!B:B,A9)</f>
        <v>18.523809523809526</v>
      </c>
      <c r="H9" s="35">
        <f t="array" ref="H9">MAX(IF('BA History'!B:B=A9, 'BA History'!C:C))</f>
        <v>40</v>
      </c>
      <c r="I9" s="34">
        <f>COUNTIFS('BA History'!B:B,A9,'BA History'!D:D, 1)</f>
        <v>20</v>
      </c>
      <c r="J9" s="2">
        <f>COUNTIFS('BA History'!B:B,A9,'BA History'!D:D, 0)</f>
        <v>22</v>
      </c>
      <c r="K9" s="75">
        <f>LOOKUP(2, 1/('BA History'!$B:$B=A9), 'BA History'!$AJ:$AJ)</f>
        <v>0.47619047619047616</v>
      </c>
      <c r="L9" s="34">
        <f>SUMIFS('BA History'!F:F,'BA History'!B:B,A9)</f>
        <v>80</v>
      </c>
      <c r="M9" s="2">
        <f>SUMIFS('BA History'!E:E,'BA History'!B:B,A9)-L9</f>
        <v>92</v>
      </c>
      <c r="N9" s="75">
        <f>LOOKUP(2, 1/('BA History'!$B:$B=A9), 'BA History'!$AH:$AH)</f>
        <v>0.45476190476190481</v>
      </c>
      <c r="O9" s="34">
        <f>SUMIFS('BA History'!H:H,'BA History'!B:B,A9)</f>
        <v>328</v>
      </c>
      <c r="P9" s="2">
        <f>SUMIFS('BA History'!G:G,'BA History'!B:B,A9)-O9</f>
        <v>380</v>
      </c>
      <c r="Q9" s="89">
        <f>LOOKUP(2, 1/('BA History'!$B:$B=A9), 'BA History'!$AI:$AI)</f>
        <v>0.45214285714285701</v>
      </c>
      <c r="R9" s="2">
        <f>COUNTIFS('BA History'!$B:$B,$A$9,'BA History'!K:K, 1)</f>
        <v>4</v>
      </c>
      <c r="S9" s="2">
        <f>COUNTIFS('BA History'!$B:$B,$A$9,'BA History'!L:L, 1)</f>
        <v>6</v>
      </c>
      <c r="T9" s="2">
        <f>COUNTIFS('BA History'!$B:$B,$A$9,'BA History'!M:M, 1)</f>
        <v>5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1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10</v>
      </c>
      <c r="AH9" s="2">
        <f>COUNTIFS('BA History'!$B:$B,$A$9,'BA History'!AA:AA, 1)</f>
        <v>2</v>
      </c>
      <c r="AI9" s="2">
        <f>COUNTIFS('BA History'!$B:$B,$A$9,'BA History'!AB:AB, 1)</f>
        <v>10</v>
      </c>
      <c r="AJ9" s="2">
        <f>COUNTIFS('BA History'!$B:$B,$A$9,'BA History'!AC:AC, 1)</f>
        <v>3</v>
      </c>
      <c r="AK9" s="2">
        <f>COUNTIFS('BA History'!$B:$B,$A$9,'BA History'!AD:AD, 1)</f>
        <v>8</v>
      </c>
      <c r="AL9" s="2">
        <f>COUNTIFS('BA History'!$B:$B,$A$9,'BA History'!AE:AE, 1)</f>
        <v>0</v>
      </c>
      <c r="AM9" s="2">
        <f>COUNTIFS('BA History'!$B:$B,$A$9,'BA History'!AF:AF, 1)</f>
        <v>4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146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108</v>
      </c>
      <c r="G13" s="66">
        <f>AVERAGEIFS('BA History'!C:C,'BA History'!B:B,A13)</f>
        <v>12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7</v>
      </c>
      <c r="K13" s="75">
        <f>LOOKUP(2, 1/('BA History'!$B:$B=A13), 'BA History'!$AJ:$AJ)</f>
        <v>0.22222222222222221</v>
      </c>
      <c r="L13" s="34">
        <f>SUMIFS('BA History'!F:F,'BA History'!B:B,A13)</f>
        <v>14</v>
      </c>
      <c r="M13" s="2">
        <f>SUMIFS('BA History'!E:E,'BA History'!B:B,A13)-L13</f>
        <v>25</v>
      </c>
      <c r="N13" s="75">
        <f>LOOKUP(2, 1/('BA History'!$B:$B=A13), 'BA History'!$AH:$AH)</f>
        <v>0.33333333333333331</v>
      </c>
      <c r="O13" s="34">
        <f>SUMIFS('BA History'!H:H,'BA History'!B:B,A13)</f>
        <v>63</v>
      </c>
      <c r="P13" s="2">
        <f>SUMIFS('BA History'!G:G,'BA History'!B:B,A13)-O13</f>
        <v>97</v>
      </c>
      <c r="Q13" s="89">
        <f>LOOKUP(2, 1/('BA History'!$B:$B=A13), 'BA History'!$AI:$AI)</f>
        <v>0.37111111111111111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1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2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152</v>
      </c>
      <c r="B15" s="2" t="s">
        <v>79</v>
      </c>
      <c r="C15" s="2"/>
      <c r="D15" s="2"/>
      <c r="E15" s="2"/>
      <c r="F15" s="34">
        <f>SUMIFS('BA History'!C:C,'BA History'!B:B,A15)</f>
        <v>60</v>
      </c>
      <c r="G15" s="66">
        <f>AVERAGEIFS('BA History'!C:C,'BA History'!B:B,A15)</f>
        <v>15</v>
      </c>
      <c r="H15" s="35">
        <f t="array" ref="H15">MAX(IF('BA History'!B:B=A15, 'BA History'!C:C))</f>
        <v>19</v>
      </c>
      <c r="I15" s="34">
        <f>COUNTIFS('BA History'!B:B,A15,'BA History'!D:D, 1)</f>
        <v>2</v>
      </c>
      <c r="J15" s="2">
        <f>COUNTIFS('BA History'!B:B,A15,'BA History'!D:D, 0)</f>
        <v>2</v>
      </c>
      <c r="K15" s="75">
        <f>LOOKUP(2, 1/('BA History'!$B:$B=A15), 'BA History'!$AJ:$AJ)</f>
        <v>0.5</v>
      </c>
      <c r="L15" s="34">
        <f>SUMIFS('BA History'!F:F,'BA History'!B:B,A15)</f>
        <v>10</v>
      </c>
      <c r="M15" s="2">
        <f>SUMIFS('BA History'!E:E,'BA History'!B:B,A15)-L15</f>
        <v>8</v>
      </c>
      <c r="N15" s="75">
        <f>LOOKUP(2, 1/('BA History'!$B:$B=A15), 'BA History'!$AH:$AH)</f>
        <v>0.55000000000000004</v>
      </c>
      <c r="O15" s="34">
        <f>SUMIFS('BA History'!H:H,'BA History'!B:B,A15)</f>
        <v>42</v>
      </c>
      <c r="P15" s="2">
        <f>SUMIFS('BA History'!G:G,'BA History'!B:B,A15)-O15</f>
        <v>36</v>
      </c>
      <c r="Q15" s="89">
        <f>LOOKUP(2, 1/('BA History'!$B:$B=A15), 'BA History'!$AI:$AI)</f>
        <v>0.54249999999999998</v>
      </c>
      <c r="R15" s="2">
        <f>COUNTIFS('BA History'!$B:$B,$A$15,'BA History'!K:K, 1)</f>
        <v>1</v>
      </c>
      <c r="S15" s="2">
        <f>COUNTIFS('BA History'!$B:$B,$A$15,'BA History'!L:L, 1)</f>
        <v>0</v>
      </c>
      <c r="T15" s="2">
        <f>COUNTIFS('BA History'!$B:$B,$A$15,'BA History'!M:M, 1)</f>
        <v>2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1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2</v>
      </c>
      <c r="AJ15" s="2">
        <f>COUNTIFS('BA History'!$B:$B,$A$15,'BA History'!AC:AC, 1)</f>
        <v>2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714</v>
      </c>
      <c r="G18" s="66">
        <f>AVERAGEIFS('BA History'!C:C,'BA History'!B:B,A18)</f>
        <v>18.307692307692307</v>
      </c>
      <c r="H18" s="35">
        <f t="array" ref="H18">MAX(IF('BA History'!B:B=A18, 'BA History'!C:C))</f>
        <v>31</v>
      </c>
      <c r="I18" s="34">
        <f>COUNTIFS('BA History'!B:B,A18,'BA History'!D:D, 1)</f>
        <v>20</v>
      </c>
      <c r="J18" s="2">
        <f>COUNTIFS('BA History'!B:B,A18,'BA History'!D:D, 0)</f>
        <v>19</v>
      </c>
      <c r="K18" s="75">
        <f>LOOKUP(2, 1/('BA History'!$B:$B=A18), 'BA History'!$AJ:$AJ)</f>
        <v>0.51282051282051277</v>
      </c>
      <c r="L18" s="34">
        <f>SUMIFS('BA History'!F:F,'BA History'!B:B,A18)</f>
        <v>80</v>
      </c>
      <c r="M18" s="2">
        <f>SUMIFS('BA History'!E:E,'BA History'!B:B,A18)-L18</f>
        <v>78</v>
      </c>
      <c r="N18" s="75">
        <f>LOOKUP(2, 1/('BA History'!$B:$B=A18), 'BA History'!$AH:$AH)</f>
        <v>0.51230769230769246</v>
      </c>
      <c r="O18" s="34">
        <f>SUMIFS('BA History'!H:H,'BA History'!B:B,A18)</f>
        <v>337</v>
      </c>
      <c r="P18" s="2">
        <f>SUMIFS('BA History'!G:G,'BA History'!B:B,A18)-O18</f>
        <v>329</v>
      </c>
      <c r="Q18" s="89">
        <f>LOOKUP(2, 1/('BA History'!$B:$B=A18), 'BA History'!$AI:$AI)</f>
        <v>0.51692307692307682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5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9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10</v>
      </c>
      <c r="AJ18" s="2">
        <f>COUNTIFS('BA History'!$B:$B,$A$18,'BA History'!AC:AC, 1)</f>
        <v>2</v>
      </c>
      <c r="AK18" s="2">
        <f>COUNTIFS('BA History'!$B:$B,$A$18,'BA History'!AD:AD, 1)</f>
        <v>9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717</v>
      </c>
      <c r="G20" s="66">
        <f>AVERAGEIFS('BA History'!C:C,'BA History'!B:B,A20)</f>
        <v>16.674418604651162</v>
      </c>
      <c r="H20" s="35">
        <f t="array" ref="H20">MAX(IF('BA History'!B:B=A20, 'BA History'!C:C))</f>
        <v>36</v>
      </c>
      <c r="I20" s="34">
        <f>COUNTIFS('BA History'!B:B,A20,'BA History'!D:D, 1)</f>
        <v>27</v>
      </c>
      <c r="J20" s="2">
        <f>COUNTIFS('BA History'!B:B,A20,'BA History'!D:D, 0)</f>
        <v>16</v>
      </c>
      <c r="K20" s="75">
        <f>LOOKUP(2, 1/('BA History'!$B:$B=A20), 'BA History'!$AJ:$AJ)</f>
        <v>0.62790697674418605</v>
      </c>
      <c r="L20" s="34">
        <f>SUMIFS('BA History'!F:F,'BA History'!B:B,A20)</f>
        <v>94</v>
      </c>
      <c r="M20" s="2">
        <f>SUMIFS('BA History'!E:E,'BA History'!B:B,A20)-L20</f>
        <v>81</v>
      </c>
      <c r="N20" s="75">
        <f>LOOKUP(2, 1/('BA History'!$B:$B=A20), 'BA History'!$AH:$AH)</f>
        <v>0.52790697674418607</v>
      </c>
      <c r="O20" s="34">
        <f>SUMIFS('BA History'!H:H,'BA History'!B:B,A20)</f>
        <v>385</v>
      </c>
      <c r="P20" s="2">
        <f>SUMIFS('BA History'!G:G,'BA History'!B:B,A20)-O20</f>
        <v>344</v>
      </c>
      <c r="Q20" s="89">
        <f>LOOKUP(2, 1/('BA History'!$B:$B=A20), 'BA History'!$AI:$AI)</f>
        <v>0.53534883720930226</v>
      </c>
      <c r="R20" s="2">
        <f>COUNTIFS('BA History'!$B:$B,$A$20,'BA History'!K:K, 1)</f>
        <v>4</v>
      </c>
      <c r="S20" s="2">
        <f>COUNTIFS('BA History'!$B:$B,$A$20,'BA History'!L:L, 1)</f>
        <v>4</v>
      </c>
      <c r="T20" s="2">
        <f>COUNTIFS('BA History'!$B:$B,$A$20,'BA History'!M:M, 1)</f>
        <v>11</v>
      </c>
      <c r="U20" s="2">
        <f>COUNTIFS('BA History'!$B:$B,$A$20,'BA History'!N:N, 1)</f>
        <v>10</v>
      </c>
      <c r="V20" s="2">
        <f>COUNTIFS('BA History'!$B:$B,$A$20,'BA History'!O:O, 1)</f>
        <v>2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2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5</v>
      </c>
      <c r="AG20" s="2">
        <f>COUNTIFS('BA History'!$B:$B,$A$20,'BA History'!Z:Z, 1)</f>
        <v>10</v>
      </c>
      <c r="AH20" s="2">
        <f>COUNTIFS('BA History'!$B:$B,$A$20,'BA History'!AA:AA, 1)</f>
        <v>2</v>
      </c>
      <c r="AI20" s="2">
        <f>COUNTIFS('BA History'!$B:$B,$A$20,'BA History'!AB:AB, 1)</f>
        <v>10</v>
      </c>
      <c r="AJ20" s="2">
        <f>COUNTIFS('BA History'!$B:$B,$A$20,'BA History'!AC:AC, 1)</f>
        <v>5</v>
      </c>
      <c r="AK20" s="2">
        <f>COUNTIFS('BA History'!$B:$B,$A$20,'BA History'!AD:AD, 1)</f>
        <v>6</v>
      </c>
      <c r="AL20" s="2">
        <f>COUNTIFS('BA History'!$B:$B,$A$20,'BA History'!AE:AE, 1)</f>
        <v>1</v>
      </c>
      <c r="AM20" s="2">
        <f>COUNTIFS('BA History'!$B:$B,$A$20,'BA History'!AF:AF, 1)</f>
        <v>8</v>
      </c>
    </row>
    <row r="21" spans="1:39" x14ac:dyDescent="0.25">
      <c r="A21" s="2" t="s">
        <v>168</v>
      </c>
      <c r="B21" s="2" t="s">
        <v>79</v>
      </c>
      <c r="C21" s="2"/>
      <c r="D21" s="2"/>
      <c r="E21" s="2"/>
      <c r="F21" s="34">
        <f>SUMIFS('BA History'!C:C,'BA History'!B:B,A21)</f>
        <v>30</v>
      </c>
      <c r="G21" s="66">
        <f>AVERAGEIFS('BA History'!C:C,'BA History'!B:B,A21)</f>
        <v>10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2</v>
      </c>
      <c r="K21" s="75">
        <f>LOOKUP(2, 1/('BA History'!$B:$B=A21), 'BA History'!$AJ:$AJ)</f>
        <v>0.33333333333333331</v>
      </c>
      <c r="L21" s="34">
        <f>SUMIFS('BA History'!F:F,'BA History'!B:B,A21)</f>
        <v>6</v>
      </c>
      <c r="M21" s="2">
        <f>SUMIFS('BA History'!E:E,'BA History'!B:B,A21)-L21</f>
        <v>7</v>
      </c>
      <c r="N21" s="75">
        <f>LOOKUP(2, 1/('BA History'!$B:$B=A21), 'BA History'!$AH:$AH)</f>
        <v>0.46666666666666662</v>
      </c>
      <c r="O21" s="34">
        <f>SUMIFS('BA History'!H:H,'BA History'!B:B,A21)</f>
        <v>27</v>
      </c>
      <c r="P21" s="2">
        <f>SUMIFS('BA History'!G:G,'BA History'!B:B,A21)-O21</f>
        <v>29</v>
      </c>
      <c r="Q21" s="89">
        <f>LOOKUP(2, 1/('BA History'!$B:$B=A21), 'BA History'!$AI:$AI)</f>
        <v>0.48333333333333334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3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158</v>
      </c>
      <c r="C22" s="1"/>
      <c r="D22" s="1"/>
      <c r="E22" s="1"/>
      <c r="F22" s="34">
        <f>SUMIFS('BA History'!C:C,'BA History'!B:B,A22)</f>
        <v>968</v>
      </c>
      <c r="G22" s="66">
        <f>AVERAGEIFS('BA History'!C:C,'BA History'!B:B,A22)</f>
        <v>26.888888888888889</v>
      </c>
      <c r="H22" s="35">
        <f t="array" ref="H22">MAX(IF('BA History'!B:B=A22, 'BA History'!C:C))</f>
        <v>50</v>
      </c>
      <c r="I22" s="34">
        <f>COUNTIFS('BA History'!B:B,A22,'BA History'!D:D, 1)</f>
        <v>18</v>
      </c>
      <c r="J22" s="2">
        <f>COUNTIFS('BA History'!B:B,A22,'BA History'!D:D, 0)</f>
        <v>18</v>
      </c>
      <c r="K22" s="75">
        <f>LOOKUP(2, 1/('BA History'!$B:$B=A22), 'BA History'!$AJ:$AJ)</f>
        <v>0.5</v>
      </c>
      <c r="L22" s="34">
        <f>SUMIFS('BA History'!F:F,'BA History'!B:B,A22)</f>
        <v>71</v>
      </c>
      <c r="M22" s="2">
        <f>SUMIFS('BA History'!E:E,'BA History'!B:B,A22)-L22</f>
        <v>74</v>
      </c>
      <c r="N22" s="75">
        <f>LOOKUP(2, 1/('BA History'!$B:$B=A22), 'BA History'!$AH:$AH)</f>
        <v>0.48194444444444451</v>
      </c>
      <c r="O22" s="34">
        <f>SUMIFS('BA History'!H:H,'BA History'!B:B,A22)</f>
        <v>293</v>
      </c>
      <c r="P22" s="2">
        <f>SUMIFS('BA History'!G:G,'BA History'!B:B,A22)-O22</f>
        <v>304</v>
      </c>
      <c r="Q22" s="89">
        <f>LOOKUP(2, 1/('BA History'!$B:$B=A22), 'BA History'!$AI:$AI)</f>
        <v>0.49277777777777793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6</v>
      </c>
      <c r="U22" s="2">
        <f>COUNTIFS('BA History'!$B:$B,$A$22,'BA History'!N:N, 1)</f>
        <v>5</v>
      </c>
      <c r="V22" s="2">
        <f>COUNTIFS('BA History'!$B:$B,$A$22,'BA History'!O:O, 1)</f>
        <v>4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1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4</v>
      </c>
      <c r="AG22" s="2">
        <f>COUNTIFS('BA History'!$B:$B,$A$22,'BA History'!Z:Z, 1)</f>
        <v>6</v>
      </c>
      <c r="AH22" s="2">
        <f>COUNTIFS('BA History'!$B:$B,$A$22,'BA History'!AA:AA, 1)</f>
        <v>1</v>
      </c>
      <c r="AI22" s="2">
        <f>COUNTIFS('BA History'!$B:$B,$A$22,'BA History'!AB:AB, 1)</f>
        <v>5</v>
      </c>
      <c r="AJ22" s="2">
        <f>COUNTIFS('BA History'!$B:$B,$A$22,'BA History'!AC:AC, 1)</f>
        <v>4</v>
      </c>
      <c r="AK22" s="2">
        <f>COUNTIFS('BA History'!$B:$B,$A$22,'BA History'!AD:AD, 1)</f>
        <v>8</v>
      </c>
      <c r="AL22" s="2">
        <f>COUNTIFS('BA History'!$B:$B,$A$22,'BA History'!AE:AE, 1)</f>
        <v>1</v>
      </c>
      <c r="AM22" s="2">
        <f>COUNTIFS('BA History'!$B:$B,$A$22,'BA History'!AF:AF, 1)</f>
        <v>5</v>
      </c>
    </row>
    <row r="23" spans="1:39" ht="15.75" x14ac:dyDescent="0.25">
      <c r="A23" s="2" t="s">
        <v>151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150</v>
      </c>
      <c r="B24" s="95" t="s">
        <v>79</v>
      </c>
      <c r="C24" s="95">
        <v>1</v>
      </c>
      <c r="D24" s="95"/>
      <c r="E24" s="95"/>
      <c r="F24" s="34">
        <f>SUMIFS('BA History'!C:C,'BA History'!B:B,A24)</f>
        <v>284</v>
      </c>
      <c r="G24" s="66">
        <f>AVERAGEIFS('BA History'!C:C,'BA History'!B:B,A24)</f>
        <v>16.705882352941178</v>
      </c>
      <c r="H24" s="35">
        <f t="array" ref="H24">MAX(IF('BA History'!B:B=A24, 'BA History'!C:C))</f>
        <v>28</v>
      </c>
      <c r="I24" s="34">
        <f>COUNTIFS('BA History'!B:B,A24,'BA History'!D:D, 1)</f>
        <v>11</v>
      </c>
      <c r="J24" s="2">
        <f>COUNTIFS('BA History'!B:B,A24,'BA History'!D:D, 0)</f>
        <v>6</v>
      </c>
      <c r="K24" s="75">
        <f>LOOKUP(2, 1/('BA History'!$B:$B=A24), 'BA History'!$AJ:$AJ)</f>
        <v>0.6470588235294118</v>
      </c>
      <c r="L24" s="34">
        <f>SUMIFS('BA History'!F:F,'BA History'!B:B,A24)</f>
        <v>43</v>
      </c>
      <c r="M24" s="2">
        <f>SUMIFS('BA History'!E:E,'BA History'!B:B,A24)-L24</f>
        <v>27</v>
      </c>
      <c r="N24" s="75">
        <f>LOOKUP(2, 1/('BA History'!$B:$B=A24), 'BA History'!$AH:$AH)</f>
        <v>0.64411764705882346</v>
      </c>
      <c r="O24" s="34">
        <f>SUMIFS('BA History'!H:H,'BA History'!B:B,A24)</f>
        <v>162</v>
      </c>
      <c r="P24" s="2">
        <f>SUMIFS('BA History'!G:G,'BA History'!B:B,A24)-O24</f>
        <v>122</v>
      </c>
      <c r="Q24" s="89">
        <f>LOOKUP(2, 1/('BA History'!$B:$B=A24), 'BA History'!$AI:$AI)</f>
        <v>0.59470588235294131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5</v>
      </c>
      <c r="U24" s="2">
        <f>COUNTIFS('BA History'!$B:$B,$A$24,'BA History'!N:N, 1)</f>
        <v>5</v>
      </c>
      <c r="V24" s="2">
        <f>COUNTIFS('BA History'!$B:$B,$A$24,'BA History'!O:O, 1)</f>
        <v>1</v>
      </c>
      <c r="W24" s="2">
        <f>COUNTIFS('BA History'!$B:$B,$A$24,'BA History'!P:P, 1)</f>
        <v>1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7</v>
      </c>
      <c r="AH24" s="2">
        <f>COUNTIFS('BA History'!$B:$B,$A$24,'BA History'!AA:AA, 1)</f>
        <v>0</v>
      </c>
      <c r="AI24" s="2">
        <f>COUNTIFS('BA History'!$B:$B,$A$24,'BA History'!AB:AB, 1)</f>
        <v>6</v>
      </c>
      <c r="AJ24" s="2">
        <f>COUNTIFS('BA History'!$B:$B,$A$24,'BA History'!AC:AC, 1)</f>
        <v>1</v>
      </c>
      <c r="AK24" s="2">
        <f>COUNTIFS('BA History'!$B:$B,$A$24,'BA History'!AD:AD, 1)</f>
        <v>3</v>
      </c>
      <c r="AL24" s="2">
        <f>COUNTIFS('BA History'!$B:$B,$A$24,'BA History'!AE:AE, 1)</f>
        <v>0</v>
      </c>
      <c r="AM24" s="2">
        <f>COUNTIFS('BA History'!$B:$B,$A$24,'BA History'!AF:AF, 1)</f>
        <v>3</v>
      </c>
    </row>
    <row r="25" spans="1:39" x14ac:dyDescent="0.25">
      <c r="A25" s="2" t="s">
        <v>46</v>
      </c>
      <c r="B25" s="1" t="s">
        <v>158</v>
      </c>
      <c r="C25" s="1"/>
      <c r="D25" s="1"/>
      <c r="E25" s="1"/>
      <c r="F25" s="34">
        <f>SUMIFS('BA History'!C:C,'BA History'!B:B,A25)</f>
        <v>521</v>
      </c>
      <c r="G25" s="66">
        <f>AVERAGEIFS('BA History'!C:C,'BA History'!B:B,A25)</f>
        <v>17.96551724137931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19</v>
      </c>
      <c r="K25" s="75">
        <f>LOOKUP(2, 1/('BA History'!$B:$B=A25), 'BA History'!$AJ:$AJ)</f>
        <v>0.34482758620689657</v>
      </c>
      <c r="L25" s="34">
        <f>SUMIFS('BA History'!F:F,'BA History'!B:B,A25)</f>
        <v>51</v>
      </c>
      <c r="M25" s="2">
        <f>SUMIFS('BA History'!E:E,'BA History'!B:B,A25)-L25</f>
        <v>72</v>
      </c>
      <c r="N25" s="75">
        <f>LOOKUP(2, 1/('BA History'!$B:$B=A25), 'BA History'!$AH:$AH)</f>
        <v>0.39310344827586202</v>
      </c>
      <c r="O25" s="34">
        <f>SUMIFS('BA History'!H:H,'BA History'!B:B,A25)</f>
        <v>231</v>
      </c>
      <c r="P25" s="2">
        <f>SUMIFS('BA History'!G:G,'BA History'!B:B,A25)-O25</f>
        <v>280</v>
      </c>
      <c r="Q25" s="89">
        <f>LOOKUP(2, 1/('BA History'!$B:$B=A25), 'BA History'!$AI:$AI)</f>
        <v>0.43551724137931036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383</v>
      </c>
      <c r="G27" s="66">
        <f>AVERAGEIFS('BA History'!C:C,'BA History'!B:B,A27)</f>
        <v>14.73076923076923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16</v>
      </c>
      <c r="K27" s="75">
        <f>LOOKUP(2, 1/('BA History'!$B:$B=A27), 'BA History'!$AJ:$AJ)</f>
        <v>0.38461538461538464</v>
      </c>
      <c r="L27" s="34">
        <f>SUMIFS('BA History'!F:F,'BA History'!B:B,A27)</f>
        <v>47</v>
      </c>
      <c r="M27" s="2">
        <f>SUMIFS('BA History'!E:E,'BA History'!B:B,A27)-L27</f>
        <v>53</v>
      </c>
      <c r="N27" s="75">
        <f>LOOKUP(2, 1/('BA History'!$B:$B=A27), 'BA History'!$AH:$AH)</f>
        <v>0.48461538461538467</v>
      </c>
      <c r="O27" s="34">
        <f>SUMIFS('BA History'!H:H,'BA History'!B:B,A27)</f>
        <v>197</v>
      </c>
      <c r="P27" s="2">
        <f>SUMIFS('BA History'!G:G,'BA History'!B:B,A27)-O27</f>
        <v>208</v>
      </c>
      <c r="Q27" s="89">
        <f>LOOKUP(2, 1/('BA History'!$B:$B=A27), 'BA History'!$AI:$AI)</f>
        <v>0.49384615384615393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7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7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158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148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161</v>
      </c>
      <c r="B32" s="1" t="s">
        <v>79</v>
      </c>
      <c r="C32" s="1"/>
      <c r="D32" s="1"/>
      <c r="E32" s="1"/>
      <c r="F32" s="34">
        <f>SUMIFS('BA History'!C:C,'BA History'!B:B,A32)</f>
        <v>55</v>
      </c>
      <c r="G32" s="66">
        <f>AVERAGEIFS('BA History'!C:C,'BA History'!B:B,A32)</f>
        <v>7.8571428571428568</v>
      </c>
      <c r="H32" s="35">
        <f t="array" ref="H32">MAX(IF('BA History'!B:B=A32, 'BA History'!C:C))</f>
        <v>24</v>
      </c>
      <c r="I32" s="34">
        <f>COUNTIFS('BA History'!B:B,A32,'BA History'!D:D, 1)</f>
        <v>4</v>
      </c>
      <c r="J32" s="2">
        <f>COUNTIFS('BA History'!B:B,A32,'BA History'!D:D, 0)</f>
        <v>3</v>
      </c>
      <c r="K32" s="75">
        <f>LOOKUP(2, 1/('BA History'!$B:$B=A32), 'BA History'!$AJ:$AJ)</f>
        <v>0.5714285714285714</v>
      </c>
      <c r="L32" s="34">
        <f>SUMIFS('BA History'!F:F,'BA History'!B:B,A32)</f>
        <v>17</v>
      </c>
      <c r="M32" s="2">
        <f>SUMIFS('BA History'!E:E,'BA History'!B:B,A32)-L32</f>
        <v>12</v>
      </c>
      <c r="N32" s="75">
        <f>LOOKUP(2, 1/('BA History'!$B:$B=A32), 'BA History'!$AH:$AH)</f>
        <v>0.61428571428571421</v>
      </c>
      <c r="O32" s="34">
        <f>SUMIFS('BA History'!H:H,'BA History'!B:B,A32)</f>
        <v>65</v>
      </c>
      <c r="P32" s="2">
        <f>SUMIFS('BA History'!G:G,'BA History'!B:B,A32)-O32</f>
        <v>60</v>
      </c>
      <c r="Q32" s="89">
        <f>LOOKUP(2, 1/('BA History'!$B:$B=A32), 'BA History'!$AI:$AI)</f>
        <v>0.53714285714285714</v>
      </c>
      <c r="R32" s="2">
        <f>COUNTIFS('BA History'!$B:$B,$A$32,'BA History'!K:K, 1)</f>
        <v>1</v>
      </c>
      <c r="S32" s="2">
        <f>COUNTIFS('BA History'!$B:$B,$A$32,'BA History'!L:L, 1)</f>
        <v>1</v>
      </c>
      <c r="T32" s="2">
        <f>COUNTIFS('BA History'!$B:$B,$A$32,'BA History'!M:M, 1)</f>
        <v>2</v>
      </c>
      <c r="U32" s="2">
        <f>COUNTIFS('BA History'!$B:$B,$A$32,'BA History'!N:N, 1)</f>
        <v>1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1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3</v>
      </c>
      <c r="AH32" s="2">
        <f>COUNTIFS('BA History'!$B:$B,$A$32,'BA History'!AA:AA, 1)</f>
        <v>0</v>
      </c>
      <c r="AI32" s="2">
        <f>COUNTIFS('BA History'!$B:$B,$A$32,'BA History'!AB:AB, 1)</f>
        <v>2</v>
      </c>
      <c r="AJ32" s="2">
        <f>COUNTIFS('BA History'!$B:$B,$A$32,'BA History'!AC:AC, 1)</f>
        <v>2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142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158</v>
      </c>
      <c r="C37" s="1">
        <v>1</v>
      </c>
      <c r="D37" s="1"/>
      <c r="E37" s="1"/>
      <c r="F37" s="34">
        <f>SUMIFS('BA History'!C:C,'BA History'!B:B,A37)</f>
        <v>881</v>
      </c>
      <c r="G37" s="66">
        <f>AVERAGEIFS('BA History'!C:C,'BA History'!B:B,A37)</f>
        <v>22.589743589743591</v>
      </c>
      <c r="H37" s="35">
        <f t="array" ref="H37">MAX(IF('BA History'!B:B=A37, 'BA History'!C:C))</f>
        <v>43</v>
      </c>
      <c r="I37" s="34">
        <f>COUNTIFS('BA History'!B:B,A37,'BA History'!D:D, 1)</f>
        <v>20</v>
      </c>
      <c r="J37" s="2">
        <f>COUNTIFS('BA History'!B:B,A37,'BA History'!D:D, 0)</f>
        <v>19</v>
      </c>
      <c r="K37" s="75">
        <f>LOOKUP(2, 1/('BA History'!$B:$B=A37), 'BA History'!$AJ:$AJ)</f>
        <v>0.51282051282051277</v>
      </c>
      <c r="L37" s="34">
        <f>SUMIFS('BA History'!F:F,'BA History'!B:B,A37)</f>
        <v>80</v>
      </c>
      <c r="M37" s="2">
        <f>SUMIFS('BA History'!E:E,'BA History'!B:B,A37)-L37</f>
        <v>72</v>
      </c>
      <c r="N37" s="75">
        <f>LOOKUP(2, 1/('BA History'!$B:$B=A37), 'BA History'!$AH:$AH)</f>
        <v>0.53538461538461524</v>
      </c>
      <c r="O37" s="34">
        <f>SUMIFS('BA History'!H:H,'BA History'!B:B,A37)</f>
        <v>333</v>
      </c>
      <c r="P37" s="2">
        <f>SUMIFS('BA History'!G:G,'BA History'!B:B,A37)-O37</f>
        <v>297</v>
      </c>
      <c r="Q37" s="89">
        <f>LOOKUP(2, 1/('BA History'!$B:$B=A37), 'BA History'!$AI:$AI)</f>
        <v>0.53923076923076929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9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4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14</v>
      </c>
      <c r="AJ37" s="2">
        <f>COUNTIFS('BA History'!$B:$B,$A$37,'BA History'!AC:AC, 1)</f>
        <v>5</v>
      </c>
      <c r="AK37" s="2">
        <f>COUNTIFS('BA History'!$B:$B,$A$37,'BA History'!AD:AD, 1)</f>
        <v>6</v>
      </c>
      <c r="AL37" s="2">
        <f>COUNTIFS('BA History'!$B:$B,$A$37,'BA History'!AE:AE, 1)</f>
        <v>0</v>
      </c>
      <c r="AM37" s="2">
        <f>COUNTIFS('BA History'!$B:$B,$A$37,'BA History'!AF:AF, 1)</f>
        <v>5</v>
      </c>
    </row>
    <row r="38" spans="1:39" x14ac:dyDescent="0.25">
      <c r="A38" s="2" t="s">
        <v>54</v>
      </c>
      <c r="B38" s="2" t="s">
        <v>79</v>
      </c>
      <c r="C38" s="2">
        <v>2</v>
      </c>
      <c r="D38" s="2">
        <v>1</v>
      </c>
      <c r="E38" s="2"/>
      <c r="F38" s="34">
        <f>SUMIFS('BA History'!C:C,'BA History'!B:B,A38)</f>
        <v>1344</v>
      </c>
      <c r="G38" s="66">
        <f>AVERAGEIFS('BA History'!C:C,'BA History'!B:B,A38)</f>
        <v>24</v>
      </c>
      <c r="H38" s="35">
        <f t="array" ref="H38">MAX(IF('BA History'!B:B=A38, 'BA History'!C:C))</f>
        <v>47</v>
      </c>
      <c r="I38" s="34">
        <f>COUNTIFS('BA History'!B:B,A38,'BA History'!D:D, 1)</f>
        <v>31</v>
      </c>
      <c r="J38" s="2">
        <f>COUNTIFS('BA History'!B:B,A38,'BA History'!D:D, 0)</f>
        <v>25</v>
      </c>
      <c r="K38" s="75">
        <f>LOOKUP(2, 1/('BA History'!$B:$B=A38), 'BA History'!$AJ:$AJ)</f>
        <v>0.5535714285714286</v>
      </c>
      <c r="L38" s="34">
        <f>SUMIFS('BA History'!F:F,'BA History'!B:B,A38)</f>
        <v>121</v>
      </c>
      <c r="M38" s="2">
        <f>SUMIFS('BA History'!E:E,'BA History'!B:B,A38)-L38</f>
        <v>105</v>
      </c>
      <c r="N38" s="75">
        <f>LOOKUP(2, 1/('BA History'!$B:$B=A38), 'BA History'!$AH:$AH)</f>
        <v>0.54053571428571434</v>
      </c>
      <c r="O38" s="34">
        <f>SUMIFS('BA History'!H:H,'BA History'!B:B,A38)</f>
        <v>479</v>
      </c>
      <c r="P38" s="2">
        <f>SUMIFS('BA History'!G:G,'BA History'!B:B,A38)-O38</f>
        <v>457</v>
      </c>
      <c r="Q38" s="89">
        <f>LOOKUP(2, 1/('BA History'!$B:$B=A38), 'BA History'!$AI:$AI)</f>
        <v>0.5133928571428571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9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9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14</v>
      </c>
      <c r="AJ38" s="2">
        <f>COUNTIFS('BA History'!$B:$B,$A$38,'BA History'!AC:AC, 1)</f>
        <v>10</v>
      </c>
      <c r="AK38" s="2">
        <f>COUNTIFS('BA History'!$B:$B,$A$38,'BA History'!AD:AD, 1)</f>
        <v>9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158</v>
      </c>
      <c r="C39" s="1">
        <v>1</v>
      </c>
      <c r="D39" s="1">
        <v>1</v>
      </c>
      <c r="E39" s="1"/>
      <c r="F39" s="34">
        <f>SUMIFS('BA History'!C:C,'BA History'!B:B,A39)</f>
        <v>567</v>
      </c>
      <c r="G39" s="66">
        <f>AVERAGEIFS('BA History'!C:C,'BA History'!B:B,A39)</f>
        <v>20.25</v>
      </c>
      <c r="H39" s="35">
        <f t="array" ref="H39">MAX(IF('BA History'!B:B=A39, 'BA History'!C:C))</f>
        <v>37</v>
      </c>
      <c r="I39" s="34">
        <f>COUNTIFS('BA History'!B:B,A39,'BA History'!D:D, 1)</f>
        <v>19</v>
      </c>
      <c r="J39" s="2">
        <f>COUNTIFS('BA History'!B:B,A39,'BA History'!D:D, 0)</f>
        <v>9</v>
      </c>
      <c r="K39" s="75">
        <f>LOOKUP(2, 1/('BA History'!$B:$B=A39), 'BA History'!$AJ:$AJ)</f>
        <v>0.6785714285714286</v>
      </c>
      <c r="L39" s="34">
        <f>SUMIFS('BA History'!F:F,'BA History'!B:B,A39)</f>
        <v>65</v>
      </c>
      <c r="M39" s="2">
        <f>SUMIFS('BA History'!E:E,'BA History'!B:B,A39)-L39</f>
        <v>47</v>
      </c>
      <c r="N39" s="75">
        <f>LOOKUP(2, 1/('BA History'!$B:$B=A39), 'BA History'!$AH:$AH)</f>
        <v>0.58821428571428569</v>
      </c>
      <c r="O39" s="34">
        <f>SUMIFS('BA History'!H:H,'BA History'!B:B,A39)</f>
        <v>254</v>
      </c>
      <c r="P39" s="2">
        <f>SUMIFS('BA History'!G:G,'BA History'!B:B,A39)-O39</f>
        <v>220</v>
      </c>
      <c r="Q39" s="89">
        <f>LOOKUP(2, 1/('BA History'!$B:$B=A39), 'BA History'!$AI:$AI)</f>
        <v>0.54428571428571437</v>
      </c>
      <c r="R39" s="2">
        <f>COUNTIFS('BA History'!$B:$B,$A$39,'BA History'!K:K, 1)</f>
        <v>2</v>
      </c>
      <c r="S39" s="2">
        <f>COUNTIFS('BA History'!$B:$B,$A$39,'BA History'!L:L, 1)</f>
        <v>6</v>
      </c>
      <c r="T39" s="2">
        <f>COUNTIFS('BA History'!$B:$B,$A$39,'BA History'!M:M, 1)</f>
        <v>5</v>
      </c>
      <c r="U39" s="2">
        <f>COUNTIFS('BA History'!$B:$B,$A$39,'BA History'!N:N, 1)</f>
        <v>10</v>
      </c>
      <c r="V39" s="2">
        <f>COUNTIFS('BA History'!$B:$B,$A$39,'BA History'!O:O, 1)</f>
        <v>2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5</v>
      </c>
      <c r="AG39" s="2">
        <f>COUNTIFS('BA History'!$B:$B,$A$39,'BA History'!Z:Z, 1)</f>
        <v>5</v>
      </c>
      <c r="AH39" s="2">
        <f>COUNTIFS('BA History'!$B:$B,$A$39,'BA History'!AA:AA, 1)</f>
        <v>3</v>
      </c>
      <c r="AI39" s="2">
        <f>COUNTIFS('BA History'!$B:$B,$A$39,'BA History'!AB:AB, 1)</f>
        <v>8</v>
      </c>
      <c r="AJ39" s="2">
        <f>COUNTIFS('BA History'!$B:$B,$A$39,'BA History'!AC:AC, 1)</f>
        <v>6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141</v>
      </c>
      <c r="B41" s="2" t="s">
        <v>79</v>
      </c>
      <c r="C41" s="2"/>
      <c r="D41" s="2"/>
      <c r="E41" s="2"/>
      <c r="F41" s="34">
        <f>SUMIFS('BA History'!C:C,'BA History'!B:B,A41)</f>
        <v>147</v>
      </c>
      <c r="G41" s="66">
        <f>AVERAGEIFS('BA History'!C:C,'BA History'!B:B,A41)</f>
        <v>13.363636363636363</v>
      </c>
      <c r="H41" s="35">
        <f t="array" ref="H41">MAX(IF('BA History'!B:B=A41, 'BA History'!C:C))</f>
        <v>22</v>
      </c>
      <c r="I41" s="34">
        <f>COUNTIFS('BA History'!B:B,A41,'BA History'!D:D, 1)</f>
        <v>7</v>
      </c>
      <c r="J41" s="2">
        <f>COUNTIFS('BA History'!B:B,A41,'BA History'!D:D, 0)</f>
        <v>4</v>
      </c>
      <c r="K41" s="75">
        <f>LOOKUP(2, 1/('BA History'!$B:$B=A41), 'BA History'!$AJ:$AJ)</f>
        <v>0.63636363636363635</v>
      </c>
      <c r="L41" s="34">
        <f>SUMIFS('BA History'!F:F,'BA History'!B:B,A41)</f>
        <v>22</v>
      </c>
      <c r="M41" s="2">
        <f>SUMIFS('BA History'!E:E,'BA History'!B:B,A41)-L41</f>
        <v>21</v>
      </c>
      <c r="N41" s="75">
        <f>LOOKUP(2, 1/('BA History'!$B:$B=A41), 'BA History'!$AH:$AH)</f>
        <v>0.48181818181818181</v>
      </c>
      <c r="O41" s="34">
        <f>SUMIFS('BA History'!H:H,'BA History'!B:B,A41)</f>
        <v>92</v>
      </c>
      <c r="P41" s="2">
        <f>SUMIFS('BA History'!G:G,'BA History'!B:B,A41)-O41</f>
        <v>88</v>
      </c>
      <c r="Q41" s="89">
        <f>LOOKUP(2, 1/('BA History'!$B:$B=A41), 'BA History'!$AI:$AI)</f>
        <v>0.50909090909090915</v>
      </c>
      <c r="R41" s="2">
        <f>COUNTIFS('BA History'!$B:$B,$A$41,'BA History'!K:K, 1)</f>
        <v>3</v>
      </c>
      <c r="S41" s="2">
        <f>COUNTIFS('BA History'!$B:$B,$A$41,'BA History'!L:L, 1)</f>
        <v>2</v>
      </c>
      <c r="T41" s="2">
        <f>COUNTIFS('BA History'!$B:$B,$A$41,'BA History'!M:M, 1)</f>
        <v>2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1</v>
      </c>
      <c r="AH41" s="2">
        <f>COUNTIFS('BA History'!$B:$B,$A$41,'BA History'!AA:AA, 1)</f>
        <v>0</v>
      </c>
      <c r="AI41" s="2">
        <f>COUNTIFS('BA History'!$B:$B,$A$41,'BA History'!AB:AB, 1)</f>
        <v>4</v>
      </c>
      <c r="AJ41" s="2">
        <f>COUNTIFS('BA History'!$B:$B,$A$41,'BA History'!AC:AC, 1)</f>
        <v>1</v>
      </c>
      <c r="AK41" s="2">
        <f>COUNTIFS('BA History'!$B:$B,$A$41,'BA History'!AD:AD, 1)</f>
        <v>3</v>
      </c>
      <c r="AL41" s="2">
        <f>COUNTIFS('BA History'!$B:$B,$A$41,'BA History'!AE:AE, 1)</f>
        <v>0</v>
      </c>
      <c r="AM41" s="2">
        <f>COUNTIFS('BA History'!$B:$B,$A$41,'BA History'!AF:AF, 1)</f>
        <v>2</v>
      </c>
    </row>
    <row r="42" spans="1:39" x14ac:dyDescent="0.25">
      <c r="A42" s="2" t="s">
        <v>153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1123</v>
      </c>
      <c r="G43" s="66">
        <f>AVERAGEIFS('BA History'!C:C,'BA History'!B:B,A43)</f>
        <v>18.716666666666665</v>
      </c>
      <c r="H43" s="35">
        <f t="array" ref="H43">MAX(IF('BA History'!B:B=A43, 'BA History'!C:C))</f>
        <v>37</v>
      </c>
      <c r="I43" s="34">
        <f>COUNTIFS('BA History'!B:B,A43,'BA History'!D:D, 1)</f>
        <v>25</v>
      </c>
      <c r="J43" s="2">
        <f>COUNTIFS('BA History'!B:B,A43,'BA History'!D:D, 0)</f>
        <v>35</v>
      </c>
      <c r="K43" s="75">
        <f>LOOKUP(2, 1/('BA History'!$B:$B=A43), 'BA History'!$AJ:$AJ)</f>
        <v>0.41666666666666669</v>
      </c>
      <c r="L43" s="34">
        <f>SUMIFS('BA History'!F:F,'BA History'!B:B,A43)</f>
        <v>118</v>
      </c>
      <c r="M43" s="2">
        <f>SUMIFS('BA History'!E:E,'BA History'!B:B,A43)-L43</f>
        <v>130</v>
      </c>
      <c r="N43" s="75">
        <f>LOOKUP(2, 1/('BA History'!$B:$B=A43), 'BA History'!$AH:$AH)</f>
        <v>0.48166666666666652</v>
      </c>
      <c r="O43" s="34">
        <f>SUMIFS('BA History'!H:H,'BA History'!B:B,A43)</f>
        <v>498</v>
      </c>
      <c r="P43" s="2">
        <f>SUMIFS('BA History'!G:G,'BA History'!B:B,A43)-O43</f>
        <v>526</v>
      </c>
      <c r="Q43" s="89">
        <f>LOOKUP(2, 1/('BA History'!$B:$B=A43), 'BA History'!$AI:$AI)</f>
        <v>0.4835000000000001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13</v>
      </c>
      <c r="U43" s="2">
        <f>COUNTIFS('BA History'!$B:$B,$A$43,'BA History'!N:N, 1)</f>
        <v>15</v>
      </c>
      <c r="V43" s="2">
        <f>COUNTIFS('BA History'!$B:$B,$A$43,'BA History'!O:O, 1)</f>
        <v>4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6</v>
      </c>
      <c r="AG43" s="2">
        <f>COUNTIFS('BA History'!$B:$B,$A$43,'BA History'!Z:Z, 1)</f>
        <v>10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7</v>
      </c>
      <c r="AK43" s="2">
        <f>COUNTIFS('BA History'!$B:$B,$A$43,'BA History'!AD:AD, 1)</f>
        <v>14</v>
      </c>
      <c r="AL43" s="2">
        <f>COUNTIFS('BA History'!$B:$B,$A$43,'BA History'!AE:AE, 1)</f>
        <v>0</v>
      </c>
      <c r="AM43" s="2">
        <f>COUNTIFS('BA History'!$B:$B,$A$43,'BA History'!AF:AF, 1)</f>
        <v>7</v>
      </c>
    </row>
    <row r="44" spans="1:39" x14ac:dyDescent="0.25">
      <c r="A44" s="2" t="s">
        <v>166</v>
      </c>
      <c r="B44" s="2" t="s">
        <v>79</v>
      </c>
      <c r="C44" s="2">
        <v>1</v>
      </c>
      <c r="D44" s="2"/>
      <c r="E44" s="2"/>
      <c r="F44" s="34">
        <f>SUMIFS('BA History'!C:C,'BA History'!B:B,A44)</f>
        <v>40</v>
      </c>
      <c r="G44" s="66">
        <f>AVERAGEIFS('BA History'!C:C,'BA History'!B:B,A44)</f>
        <v>10</v>
      </c>
      <c r="H44" s="35">
        <f t="array" ref="H44">MAX(IF('BA History'!B:B=A44, 'BA History'!C:C))</f>
        <v>21</v>
      </c>
      <c r="I44" s="34">
        <f>COUNTIFS('BA History'!B:B,A44,'BA History'!D:D, 1)</f>
        <v>3</v>
      </c>
      <c r="J44" s="2">
        <f>COUNTIFS('BA History'!B:B,A44,'BA History'!D:D, 0)</f>
        <v>1</v>
      </c>
      <c r="K44" s="75">
        <f>LOOKUP(2, 1/('BA History'!$B:$B=A44), 'BA History'!$AJ:$AJ)</f>
        <v>0.75</v>
      </c>
      <c r="L44" s="34">
        <f>SUMIFS('BA History'!F:F,'BA History'!B:B,A44)</f>
        <v>9</v>
      </c>
      <c r="M44" s="2">
        <f>SUMIFS('BA History'!E:E,'BA History'!B:B,A44)-L44</f>
        <v>8</v>
      </c>
      <c r="N44" s="75">
        <f>LOOKUP(2, 1/('BA History'!$B:$B=A44), 'BA History'!$AH:$AH)</f>
        <v>0.48750000000000004</v>
      </c>
      <c r="O44" s="34">
        <f>SUMIFS('BA History'!H:H,'BA History'!B:B,A44)</f>
        <v>38</v>
      </c>
      <c r="P44" s="2">
        <f>SUMIFS('BA History'!G:G,'BA History'!B:B,A44)-O44</f>
        <v>35</v>
      </c>
      <c r="Q44" s="89">
        <f>LOOKUP(2, 1/('BA History'!$B:$B=A44), 'BA History'!$AI:$AI)</f>
        <v>0.49249999999999999</v>
      </c>
      <c r="R44" s="2">
        <f>COUNTIFS('BA History'!$B:$B,$A$44,'BA History'!K:K, 1)</f>
        <v>1</v>
      </c>
      <c r="S44" s="2">
        <f>COUNTIFS('BA History'!$B:$B,$A$44,'BA History'!L:L, 1)</f>
        <v>0</v>
      </c>
      <c r="T44" s="2">
        <f>COUNTIFS('BA History'!$B:$B,$A$44,'BA History'!M:M, 1)</f>
        <v>1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2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1</v>
      </c>
      <c r="AL44" s="2">
        <f>COUNTIFS('BA History'!$B:$B,$A$44,'BA History'!AE:AE, 1)</f>
        <v>0</v>
      </c>
      <c r="AM44" s="2">
        <f>COUNTIFS('BA History'!$B:$B,$A$44,'BA History'!AF:AF, 1)</f>
        <v>1</v>
      </c>
    </row>
    <row r="45" spans="1:39" x14ac:dyDescent="0.25">
      <c r="A45" s="2" t="s">
        <v>147</v>
      </c>
      <c r="B45" s="2" t="s">
        <v>79</v>
      </c>
      <c r="C45" s="2"/>
      <c r="D45" s="2"/>
      <c r="E45" s="2"/>
      <c r="F45" s="34">
        <f>SUMIFS('BA History'!C:C,'BA History'!B:B,A45)</f>
        <v>335</v>
      </c>
      <c r="G45" s="66">
        <f>AVERAGEIFS('BA History'!C:C,'BA History'!B:B,A45)</f>
        <v>12.884615384615385</v>
      </c>
      <c r="H45" s="35">
        <f t="array" ref="H45">MAX(IF('BA History'!B:B=A45, 'BA History'!C:C))</f>
        <v>33</v>
      </c>
      <c r="I45" s="34">
        <f>COUNTIFS('BA History'!B:B,A45,'BA History'!D:D, 1)</f>
        <v>13</v>
      </c>
      <c r="J45" s="2">
        <f>COUNTIFS('BA History'!B:B,A45,'BA History'!D:D, 0)</f>
        <v>13</v>
      </c>
      <c r="K45" s="75">
        <f>LOOKUP(2, 1/('BA History'!$B:$B=A45), 'BA History'!$AJ:$AJ)</f>
        <v>0.5</v>
      </c>
      <c r="L45" s="34">
        <f>SUMIFS('BA History'!F:F,'BA History'!B:B,A45)</f>
        <v>55</v>
      </c>
      <c r="M45" s="2">
        <f>SUMIFS('BA History'!E:E,'BA History'!B:B,A45)-L45</f>
        <v>50</v>
      </c>
      <c r="N45" s="75">
        <f>LOOKUP(2, 1/('BA History'!$B:$B=A45), 'BA History'!$AH:$AH)</f>
        <v>0.54807692307692313</v>
      </c>
      <c r="O45" s="34">
        <f>SUMIFS('BA History'!H:H,'BA History'!B:B,A45)</f>
        <v>223</v>
      </c>
      <c r="P45" s="2">
        <f>SUMIFS('BA History'!G:G,'BA History'!B:B,A45)-O45</f>
        <v>211</v>
      </c>
      <c r="Q45" s="89">
        <f>LOOKUP(2, 1/('BA History'!$B:$B=A45), 'BA History'!$AI:$AI)</f>
        <v>0.53192307692307694</v>
      </c>
      <c r="R45" s="2">
        <f>COUNTIFS('BA History'!$B:$B,$A$45,'BA History'!K:K, 1)</f>
        <v>4</v>
      </c>
      <c r="S45" s="2">
        <f>COUNTIFS('BA History'!$B:$B,$A$45,'BA History'!L:L, 1)</f>
        <v>4</v>
      </c>
      <c r="T45" s="2">
        <f>COUNTIFS('BA History'!$B:$B,$A$45,'BA History'!M:M, 1)</f>
        <v>4</v>
      </c>
      <c r="U45" s="2">
        <f>COUNTIFS('BA History'!$B:$B,$A$45,'BA History'!N:N, 1)</f>
        <v>6</v>
      </c>
      <c r="V45" s="2">
        <f>COUNTIFS('BA History'!$B:$B,$A$45,'BA History'!O:O, 1)</f>
        <v>1</v>
      </c>
      <c r="W45" s="2">
        <f>COUNTIFS('BA History'!$B:$B,$A$45,'BA History'!P:P, 1)</f>
        <v>1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6</v>
      </c>
      <c r="AG45" s="2">
        <f>COUNTIFS('BA History'!$B:$B,$A$45,'BA History'!Z:Z, 1)</f>
        <v>9</v>
      </c>
      <c r="AH45" s="2">
        <f>COUNTIFS('BA History'!$B:$B,$A$45,'BA History'!AA:AA, 1)</f>
        <v>0</v>
      </c>
      <c r="AI45" s="2">
        <f>COUNTIFS('BA History'!$B:$B,$A$45,'BA History'!AB:AB, 1)</f>
        <v>9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5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723</v>
      </c>
      <c r="G46" s="66">
        <f>AVERAGEIFS('BA History'!C:C,'BA History'!B:B,A46)</f>
        <v>20.083333333333332</v>
      </c>
      <c r="H46" s="35">
        <f t="array" ref="H46">MAX(IF('BA History'!B:B=A46, 'BA History'!C:C))</f>
        <v>32</v>
      </c>
      <c r="I46" s="34">
        <f>COUNTIFS('BA History'!B:B,A46,'BA History'!D:D, 1)</f>
        <v>20</v>
      </c>
      <c r="J46" s="2">
        <f>COUNTIFS('BA History'!B:B,A46,'BA History'!D:D, 0)</f>
        <v>16</v>
      </c>
      <c r="K46" s="75">
        <f>LOOKUP(2, 1/('BA History'!$B:$B=A46), 'BA History'!$AJ:$AJ)</f>
        <v>0.55555555555555558</v>
      </c>
      <c r="L46" s="34">
        <f>SUMIFS('BA History'!F:F,'BA History'!B:B,A46)</f>
        <v>76</v>
      </c>
      <c r="M46" s="2">
        <f>SUMIFS('BA History'!E:E,'BA History'!B:B,A46)-L46</f>
        <v>69</v>
      </c>
      <c r="N46" s="75">
        <f>LOOKUP(2, 1/('BA History'!$B:$B=A46), 'BA History'!$AH:$AH)</f>
        <v>0.52555555555555555</v>
      </c>
      <c r="O46" s="34">
        <f>SUMIFS('BA History'!H:H,'BA History'!B:B,A46)</f>
        <v>300</v>
      </c>
      <c r="P46" s="2">
        <f>SUMIFS('BA History'!G:G,'BA History'!B:B,A46)-O46</f>
        <v>298</v>
      </c>
      <c r="Q46" s="89">
        <f>LOOKUP(2, 1/('BA History'!$B:$B=A46), 'BA History'!$AI:$AI)</f>
        <v>0.49416666666666664</v>
      </c>
      <c r="R46" s="2">
        <f>COUNTIFS('BA History'!$B:$B,$A$46,'BA History'!K:K, 1)</f>
        <v>6</v>
      </c>
      <c r="S46" s="2">
        <f>COUNTIFS('BA History'!$B:$B,$A$46,'BA History'!L:L, 1)</f>
        <v>2</v>
      </c>
      <c r="T46" s="2">
        <f>COUNTIFS('BA History'!$B:$B,$A$46,'BA History'!M:M, 1)</f>
        <v>7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1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10</v>
      </c>
      <c r="AH46" s="2">
        <f>COUNTIFS('BA History'!$B:$B,$A$46,'BA History'!AA:AA, 1)</f>
        <v>1</v>
      </c>
      <c r="AI46" s="2">
        <f>COUNTIFS('BA History'!$B:$B,$A$46,'BA History'!AB:AB, 1)</f>
        <v>9</v>
      </c>
      <c r="AJ46" s="2">
        <f>COUNTIFS('BA History'!$B:$B,$A$46,'BA History'!AC:AC, 1)</f>
        <v>7</v>
      </c>
      <c r="AK46" s="2">
        <f>COUNTIFS('BA History'!$B:$B,$A$46,'BA History'!AD:AD, 1)</f>
        <v>9</v>
      </c>
      <c r="AL46" s="2">
        <f>COUNTIFS('BA History'!$B:$B,$A$46,'BA History'!AE:AE, 1)</f>
        <v>1</v>
      </c>
      <c r="AM46" s="2">
        <f>COUNTIFS('BA History'!$B:$B,$A$46,'BA History'!AF:AF, 1)</f>
        <v>3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143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158</v>
      </c>
      <c r="C50" s="1"/>
      <c r="D50" s="1">
        <v>1</v>
      </c>
      <c r="E50" s="1">
        <v>1</v>
      </c>
      <c r="F50" s="34">
        <f>SUMIFS('BA History'!C:C,'BA History'!B:B,A50)</f>
        <v>1376</v>
      </c>
      <c r="G50" s="66">
        <f>AVERAGEIFS('BA History'!C:C,'BA History'!B:B,A50)</f>
        <v>22.193548387096776</v>
      </c>
      <c r="H50" s="35">
        <f t="array" ref="H50">MAX(IF('BA History'!B:B=A50, 'BA History'!C:C))</f>
        <v>37</v>
      </c>
      <c r="I50" s="34">
        <f>COUNTIFS('BA History'!B:B,A50,'BA History'!D:D, 1)</f>
        <v>37</v>
      </c>
      <c r="J50" s="2">
        <f>COUNTIFS('BA History'!B:B,A50,'BA History'!D:D, 0)</f>
        <v>25</v>
      </c>
      <c r="K50" s="75">
        <f>LOOKUP(2, 1/('BA History'!$B:$B=A50), 'BA History'!$AJ:$AJ)</f>
        <v>0.59677419354838712</v>
      </c>
      <c r="L50" s="34">
        <f>SUMIFS('BA History'!F:F,'BA History'!B:B,A50)</f>
        <v>133</v>
      </c>
      <c r="M50" s="2">
        <f>SUMIFS('BA History'!E:E,'BA History'!B:B,A50)-L50</f>
        <v>116</v>
      </c>
      <c r="N50" s="75">
        <f>LOOKUP(2, 1/('BA History'!$B:$B=A50), 'BA History'!$AH:$AH)</f>
        <v>0.5270967741935485</v>
      </c>
      <c r="O50" s="34">
        <f>SUMIFS('BA History'!H:H,'BA History'!B:B,A50)</f>
        <v>540</v>
      </c>
      <c r="P50" s="2">
        <f>SUMIFS('BA History'!G:G,'BA History'!B:B,A50)-O50</f>
        <v>494</v>
      </c>
      <c r="Q50" s="89">
        <f>LOOKUP(2, 1/('BA History'!$B:$B=A50), 'BA History'!$AI:$AI)</f>
        <v>0.51935483870967736</v>
      </c>
      <c r="R50" s="2">
        <f>COUNTIFS('BA History'!$B:$B,$A$50,'BA History'!K:K, 1)</f>
        <v>7</v>
      </c>
      <c r="S50" s="2">
        <f>COUNTIFS('BA History'!$B:$B,$A$50,'BA History'!L:L, 1)</f>
        <v>6</v>
      </c>
      <c r="T50" s="2">
        <f>COUNTIFS('BA History'!$B:$B,$A$50,'BA History'!M:M, 1)</f>
        <v>12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1</v>
      </c>
      <c r="X50" s="2">
        <f>COUNTIFS('BA History'!$B:$B,$A$50,'BA History'!Q:Q, 1)</f>
        <v>5</v>
      </c>
      <c r="Y50" s="2">
        <f>COUNTIFS('BA History'!$B:$B,$A$50,'BA History'!R:R, 1)</f>
        <v>4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18</v>
      </c>
      <c r="AH50" s="2">
        <f>COUNTIFS('BA History'!$B:$B,$A$50,'BA History'!AA:AA, 1)</f>
        <v>1</v>
      </c>
      <c r="AI50" s="2">
        <f>COUNTIFS('BA History'!$B:$B,$A$50,'BA History'!AB:AB, 1)</f>
        <v>16</v>
      </c>
      <c r="AJ50" s="2">
        <f>COUNTIFS('BA History'!$B:$B,$A$50,'BA History'!AC:AC, 1)</f>
        <v>7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9</v>
      </c>
    </row>
    <row r="51" spans="1:39" x14ac:dyDescent="0.25">
      <c r="A51" s="2" t="s">
        <v>18</v>
      </c>
      <c r="B51" s="2" t="s">
        <v>79</v>
      </c>
      <c r="C51" s="2"/>
      <c r="D51" s="2"/>
      <c r="E51" s="2"/>
      <c r="F51" s="34">
        <f>SUMIFS('BA History'!C:C,'BA History'!B:B,A51)</f>
        <v>129</v>
      </c>
      <c r="G51" s="66">
        <f>AVERAGEIFS('BA History'!C:C,'BA History'!B:B,A51)</f>
        <v>18.428571428571427</v>
      </c>
      <c r="H51" s="35">
        <f t="array" ref="H51">MAX(IF('BA History'!B:B=A51, 'BA History'!C:C))</f>
        <v>26</v>
      </c>
      <c r="I51" s="34">
        <f>COUNTIFS('BA History'!B:B,A51,'BA History'!D:D, 1)</f>
        <v>6</v>
      </c>
      <c r="J51" s="2">
        <f>COUNTIFS('BA History'!B:B,A51,'BA History'!D:D, 0)</f>
        <v>1</v>
      </c>
      <c r="K51" s="75">
        <f>LOOKUP(2, 1/('BA History'!$B:$B=A51), 'BA History'!$AJ:$AJ)</f>
        <v>0.8571428571428571</v>
      </c>
      <c r="L51" s="34">
        <f>SUMIFS('BA History'!F:F,'BA History'!B:B,A51)</f>
        <v>19</v>
      </c>
      <c r="M51" s="2">
        <f>SUMIFS('BA History'!E:E,'BA History'!B:B,A51)-L51</f>
        <v>7</v>
      </c>
      <c r="N51" s="75">
        <f>LOOKUP(2, 1/('BA History'!$B:$B=A51), 'BA History'!$AH:$AH)</f>
        <v>0.76428571428571423</v>
      </c>
      <c r="O51" s="34">
        <f>SUMIFS('BA History'!H:H,'BA History'!B:B,A51)</f>
        <v>66</v>
      </c>
      <c r="P51" s="2">
        <f>SUMIFS('BA History'!G:G,'BA History'!B:B,A51)-O51</f>
        <v>44</v>
      </c>
      <c r="Q51" s="89">
        <f>LOOKUP(2, 1/('BA History'!$B:$B=A51), 'BA History'!$AI:$AI)</f>
        <v>0.62</v>
      </c>
      <c r="R51" s="2">
        <f>COUNTIFS('BA History'!$B:$B,$A$51,'BA History'!K:K, 1)</f>
        <v>0</v>
      </c>
      <c r="S51" s="2">
        <f>COUNTIFS('BA History'!$B:$B,$A$51,'BA History'!L:L, 1)</f>
        <v>3</v>
      </c>
      <c r="T51" s="2">
        <f>COUNTIFS('BA History'!$B:$B,$A$51,'BA History'!M:M, 1)</f>
        <v>1</v>
      </c>
      <c r="U51" s="2">
        <f>COUNTIFS('BA History'!$B:$B,$A$51,'BA History'!N:N, 1)</f>
        <v>3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1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1</v>
      </c>
      <c r="AD51" s="2">
        <f>COUNTIFS('BA History'!$B:$B,$A$51,'BA History'!W:W, 1)</f>
        <v>1</v>
      </c>
      <c r="AE51" s="2">
        <f>COUNTIFS('BA History'!$B:$B,$A$51,'BA History'!X:X, 1)</f>
        <v>1</v>
      </c>
      <c r="AF51" s="2">
        <f>COUNTIFS('BA History'!$B:$B,$A$51,'BA History'!Y:Y, 1)</f>
        <v>1</v>
      </c>
      <c r="AG51" s="2">
        <f>COUNTIFS('BA History'!$B:$B,$A$51,'BA History'!Z:Z, 1)</f>
        <v>2</v>
      </c>
      <c r="AH51" s="2">
        <f>COUNTIFS('BA History'!$B:$B,$A$51,'BA History'!AA:AA, 1)</f>
        <v>1</v>
      </c>
      <c r="AI51" s="2">
        <f>COUNTIFS('BA History'!$B:$B,$A$51,'BA History'!AB:AB, 1)</f>
        <v>1</v>
      </c>
      <c r="AJ51" s="2">
        <f>COUNTIFS('BA History'!$B:$B,$A$51,'BA History'!AC:AC, 1)</f>
        <v>0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179</v>
      </c>
      <c r="B52" s="2" t="s">
        <v>79</v>
      </c>
      <c r="C52" s="2">
        <v>1</v>
      </c>
      <c r="D52" s="2"/>
      <c r="E52" s="2"/>
      <c r="F52" s="34">
        <f>SUMIFS('BA History'!C:C,'BA History'!B:B,A52)</f>
        <v>26</v>
      </c>
      <c r="G52" s="66">
        <f>AVERAGEIFS('BA History'!C:C,'BA History'!B:B,A52)</f>
        <v>13</v>
      </c>
      <c r="H52" s="35">
        <f t="array" ref="H52">MAX(IF('BA History'!B:B=A52, 'BA History'!C:C))</f>
        <v>16</v>
      </c>
      <c r="I52" s="34">
        <f>COUNTIFS('BA History'!B:B,A52,'BA History'!D:D, 1)</f>
        <v>0</v>
      </c>
      <c r="J52" s="2">
        <f>COUNTIFS('BA History'!B:B,A52,'BA History'!D:D, 0)</f>
        <v>2</v>
      </c>
      <c r="K52" s="75">
        <f>LOOKUP(2, 1/('BA History'!$B:$B=A52), 'BA History'!$AJ:$AJ)</f>
        <v>0</v>
      </c>
      <c r="L52" s="34">
        <f>SUMIFS('BA History'!F:F,'BA History'!B:B,A52)</f>
        <v>3</v>
      </c>
      <c r="M52" s="2">
        <f>SUMIFS('BA History'!E:E,'BA History'!B:B,A52)-L52</f>
        <v>6</v>
      </c>
      <c r="N52" s="75">
        <f>LOOKUP(2, 1/('BA History'!$B:$B=A52), 'BA History'!$AH:$AH)</f>
        <v>0.32500000000000001</v>
      </c>
      <c r="O52" s="34">
        <f>SUMIFS('BA History'!H:H,'BA History'!B:B,A52)</f>
        <v>19</v>
      </c>
      <c r="P52" s="2">
        <f>SUMIFS('BA History'!G:G,'BA History'!B:B,A52)-O52</f>
        <v>22</v>
      </c>
      <c r="Q52" s="89">
        <f>LOOKUP(2, 1/('BA History'!$B:$B=A52), 'BA History'!$AI:$AI)</f>
        <v>0.46499999999999997</v>
      </c>
      <c r="R52" s="2">
        <f>COUNTIFS('BA History'!$B:$B,$A$52,'BA History'!K:K, 1)</f>
        <v>0</v>
      </c>
      <c r="S52" s="2">
        <f>COUNTIFS('BA History'!$B:$B,$A$52,'BA History'!L:L, 1)</f>
        <v>0</v>
      </c>
      <c r="T52" s="2">
        <f>COUNTIFS('BA History'!$B:$B,$A$52,'BA History'!M:M, 1)</f>
        <v>0</v>
      </c>
      <c r="U52" s="2">
        <f>COUNTIFS('BA History'!$B:$B,$A$52,'BA History'!N:N, 1)</f>
        <v>1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0</v>
      </c>
      <c r="Y52" s="2">
        <f>COUNTIFS('BA History'!$B:$B,$A$52,'BA History'!R:R, 1)</f>
        <v>0</v>
      </c>
      <c r="Z52" s="2">
        <f>COUNTIFS('BA History'!$B:$B,$A$52,'BA History'!S:S, 1)</f>
        <v>0</v>
      </c>
      <c r="AA52" s="2">
        <f>COUNTIFS('BA History'!$B:$B,$A$52,'BA History'!T:T, 1)</f>
        <v>0</v>
      </c>
      <c r="AB52" s="2">
        <f>COUNTIFS('BA History'!$B:$B,$A$52,'BA History'!U:U, 1)</f>
        <v>0</v>
      </c>
      <c r="AC52" s="2">
        <f>COUNTIFS('BA History'!$B:$B,$A$52,'BA History'!V:V, 1)</f>
        <v>1</v>
      </c>
      <c r="AD52" s="2">
        <f>COUNTIFS('BA History'!$B:$B,$A$52,'BA History'!W:W, 1)</f>
        <v>0</v>
      </c>
      <c r="AE52" s="2">
        <f>COUNTIFS('BA History'!$B:$B,$A$52,'BA History'!X:X, 1)</f>
        <v>0</v>
      </c>
      <c r="AF52" s="2">
        <f>COUNTIFS('BA History'!$B:$B,$A$52,'BA History'!Y:Y, 1)</f>
        <v>0</v>
      </c>
      <c r="AG52" s="2">
        <f>COUNTIFS('BA History'!$B:$B,$A$52,'BA History'!Z:Z, 1)</f>
        <v>0</v>
      </c>
      <c r="AH52" s="2">
        <f>COUNTIFS('BA History'!$B:$B,$A$52,'BA History'!AA:AA, 1)</f>
        <v>0</v>
      </c>
      <c r="AI52" s="2">
        <f>COUNTIFS('BA History'!$B:$B,$A$52,'BA History'!AB:AB, 1)</f>
        <v>0</v>
      </c>
      <c r="AJ52" s="2">
        <f>COUNTIFS('BA History'!$B:$B,$A$52,'BA History'!AC:AC, 1)</f>
        <v>1</v>
      </c>
      <c r="AK52" s="2">
        <f>COUNTIFS('BA History'!$B:$B,$A$52,'BA History'!AD:AD, 1)</f>
        <v>0</v>
      </c>
      <c r="AL52" s="2">
        <f>COUNTIFS('BA History'!$B:$B,$A$52,'BA History'!AE:AE, 1)</f>
        <v>0</v>
      </c>
      <c r="AM52" s="2">
        <f>COUNTIFS('BA History'!$B:$B,$A$52,'BA History'!AF:AF, 1)</f>
        <v>0</v>
      </c>
    </row>
    <row r="53" spans="1:39" x14ac:dyDescent="0.25">
      <c r="A53" s="2" t="s">
        <v>113</v>
      </c>
      <c r="B53" s="2" t="s">
        <v>79</v>
      </c>
      <c r="C53" s="2">
        <v>1</v>
      </c>
      <c r="D53" s="2">
        <v>1</v>
      </c>
      <c r="E53" s="2"/>
      <c r="F53" s="34">
        <f>SUMIFS('BA History'!C:C,'BA History'!B:B,A53)</f>
        <v>681</v>
      </c>
      <c r="G53" s="66">
        <f>AVERAGEIFS('BA History'!C:C,'BA History'!B:B,A53)</f>
        <v>17.921052631578949</v>
      </c>
      <c r="H53" s="35">
        <f t="array" ref="H53">MAX(IF('BA History'!B:B=A53, 'BA History'!C:C))</f>
        <v>36</v>
      </c>
      <c r="I53" s="34">
        <f>COUNTIFS('BA History'!B:B,A53,'BA History'!D:D, 1)</f>
        <v>20</v>
      </c>
      <c r="J53" s="2">
        <f>COUNTIFS('BA History'!B:B,A53,'BA History'!D:D, 0)</f>
        <v>18</v>
      </c>
      <c r="K53" s="75">
        <f>LOOKUP(2, 1/('BA History'!$B:$B=A53), 'BA History'!$AJ:$AJ)</f>
        <v>0.52631578947368418</v>
      </c>
      <c r="L53" s="34">
        <f>SUMIFS('BA History'!F:F,'BA History'!B:B,A53)</f>
        <v>83</v>
      </c>
      <c r="M53" s="2">
        <f>SUMIFS('BA History'!E:E,'BA History'!B:B,A53)-L53</f>
        <v>69</v>
      </c>
      <c r="N53" s="75">
        <f>LOOKUP(2, 1/('BA History'!$B:$B=A53), 'BA History'!$AH:$AH)</f>
        <v>0.5657894736842104</v>
      </c>
      <c r="O53" s="34">
        <f>SUMIFS('BA History'!H:H,'BA History'!B:B,A53)</f>
        <v>320</v>
      </c>
      <c r="P53" s="2">
        <f>SUMIFS('BA History'!G:G,'BA History'!B:B,A53)-O53</f>
        <v>297</v>
      </c>
      <c r="Q53" s="89">
        <f>LOOKUP(2, 1/('BA History'!$B:$B=A53), 'BA History'!$AI:$AI)</f>
        <v>0.52921052631578969</v>
      </c>
      <c r="R53" s="2">
        <f>COUNTIFS('BA History'!$B:$B,$A$53,'BA History'!K:K, 1)</f>
        <v>2</v>
      </c>
      <c r="S53" s="2">
        <f>COUNTIFS('BA History'!$B:$B,$A$53,'BA History'!L:L, 1)</f>
        <v>5</v>
      </c>
      <c r="T53" s="2">
        <f>COUNTIFS('BA History'!$B:$B,$A$53,'BA History'!M:M, 1)</f>
        <v>11</v>
      </c>
      <c r="U53" s="2">
        <f>COUNTIFS('BA History'!$B:$B,$A$53,'BA History'!N:N, 1)</f>
        <v>8</v>
      </c>
      <c r="V53" s="2">
        <f>COUNTIFS('BA History'!$B:$B,$A$53,'BA History'!O:O, 1)</f>
        <v>2</v>
      </c>
      <c r="W53" s="2">
        <f>COUNTIFS('BA History'!$B:$B,$A$53,'BA History'!P:P, 1)</f>
        <v>1</v>
      </c>
      <c r="X53" s="2">
        <f>COUNTIFS('BA History'!$B:$B,$A$53,'BA History'!Q:Q, 1)</f>
        <v>3</v>
      </c>
      <c r="Y53" s="2">
        <f>COUNTIFS('BA History'!$B:$B,$A$53,'BA History'!R:R, 1)</f>
        <v>2</v>
      </c>
      <c r="Z53" s="2">
        <f>COUNTIFS('BA History'!$B:$B,$A$53,'BA History'!S:S, 1)</f>
        <v>1</v>
      </c>
      <c r="AA53" s="2">
        <f>COUNTIFS('BA History'!$B:$B,$A$53,'BA History'!T:T, 1)</f>
        <v>0</v>
      </c>
      <c r="AB53" s="2">
        <f>COUNTIFS('BA History'!$B:$B,$A$53,'BA History'!U:U, 1)</f>
        <v>2</v>
      </c>
      <c r="AC53" s="2">
        <f>COUNTIFS('BA History'!$B:$B,$A$53,'BA History'!V:V, 1)</f>
        <v>5</v>
      </c>
      <c r="AD53" s="2">
        <f>COUNTIFS('BA History'!$B:$B,$A$53,'BA History'!W:W, 1)</f>
        <v>0</v>
      </c>
      <c r="AE53" s="2">
        <f>COUNTIFS('BA History'!$B:$B,$A$53,'BA History'!X:X, 1)</f>
        <v>0</v>
      </c>
      <c r="AF53" s="2">
        <f>COUNTIFS('BA History'!$B:$B,$A$53,'BA History'!Y:Y, 1)</f>
        <v>8</v>
      </c>
      <c r="AG53" s="2">
        <f>COUNTIFS('BA History'!$B:$B,$A$53,'BA History'!Z:Z, 1)</f>
        <v>8</v>
      </c>
      <c r="AH53" s="2">
        <f>COUNTIFS('BA History'!$B:$B,$A$53,'BA History'!AA:AA, 1)</f>
        <v>0</v>
      </c>
      <c r="AI53" s="2">
        <f>COUNTIFS('BA History'!$B:$B,$A$53,'BA History'!AB:AB, 1)</f>
        <v>11</v>
      </c>
      <c r="AJ53" s="2">
        <f>COUNTIFS('BA History'!$B:$B,$A$53,'BA History'!AC:AC, 1)</f>
        <v>8</v>
      </c>
      <c r="AK53" s="2">
        <f>COUNTIFS('BA History'!$B:$B,$A$53,'BA History'!AD:AD, 1)</f>
        <v>2</v>
      </c>
      <c r="AL53" s="2">
        <f>COUNTIFS('BA History'!$B:$B,$A$53,'BA History'!AE:AE, 1)</f>
        <v>0</v>
      </c>
      <c r="AM53" s="2">
        <f>COUNTIFS('BA History'!$B:$B,$A$53,'BA History'!AF:AF, 1)</f>
        <v>4</v>
      </c>
    </row>
    <row r="54" spans="1:39" x14ac:dyDescent="0.25">
      <c r="A54" s="2" t="s">
        <v>14</v>
      </c>
      <c r="B54" s="2" t="s">
        <v>79</v>
      </c>
      <c r="C54" s="2">
        <v>1</v>
      </c>
      <c r="D54" s="2"/>
      <c r="E54" s="2"/>
      <c r="F54" s="34">
        <f>SUMIFS('BA History'!C:C,'BA History'!B:B,A54)</f>
        <v>338</v>
      </c>
      <c r="G54" s="66">
        <f>AVERAGEIFS('BA History'!C:C,'BA History'!B:B,A54)</f>
        <v>16.899999999999999</v>
      </c>
      <c r="H54" s="35">
        <f t="array" ref="H54">MAX(IF('BA History'!B:B=A54, 'BA History'!C:C))</f>
        <v>30</v>
      </c>
      <c r="I54" s="34">
        <f>COUNTIFS('BA History'!B:B,A54,'BA History'!D:D, 1)</f>
        <v>9</v>
      </c>
      <c r="J54" s="2">
        <f>COUNTIFS('BA History'!B:B,A54,'BA History'!D:D, 0)</f>
        <v>11</v>
      </c>
      <c r="K54" s="75">
        <f>LOOKUP(2, 1/('BA History'!$B:$B=A54), 'BA History'!$AJ:$AJ)</f>
        <v>0.45</v>
      </c>
      <c r="L54" s="34">
        <f>SUMIFS('BA History'!F:F,'BA History'!B:B,A54)</f>
        <v>38</v>
      </c>
      <c r="M54" s="2">
        <f>SUMIFS('BA History'!E:E,'BA History'!B:B,A54)-L54</f>
        <v>45</v>
      </c>
      <c r="N54" s="75">
        <f>LOOKUP(2, 1/('BA History'!$B:$B=A54), 'BA History'!$AH:$AH)</f>
        <v>0.45599999999999996</v>
      </c>
      <c r="O54" s="34">
        <f>SUMIFS('BA History'!H:H,'BA History'!B:B,A54)</f>
        <v>167</v>
      </c>
      <c r="P54" s="2">
        <f>SUMIFS('BA History'!G:G,'BA History'!B:B,A54)-O54</f>
        <v>173</v>
      </c>
      <c r="Q54" s="89">
        <f>LOOKUP(2, 1/('BA History'!$B:$B=A54), 'BA History'!$AI:$AI)</f>
        <v>0.48699999999999999</v>
      </c>
      <c r="R54" s="2">
        <f>COUNTIFS('BA History'!$B:$B,$A$54,'BA History'!K:K, 1)</f>
        <v>1</v>
      </c>
      <c r="S54" s="2">
        <f>COUNTIFS('BA History'!$B:$B,$A$54,'BA History'!L:L, 1)</f>
        <v>3</v>
      </c>
      <c r="T54" s="2">
        <f>COUNTIFS('BA History'!$B:$B,$A$54,'BA History'!M:M, 1)</f>
        <v>0</v>
      </c>
      <c r="U54" s="2">
        <f>COUNTIFS('BA History'!$B:$B,$A$54,'BA History'!N:N, 1)</f>
        <v>2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3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1</v>
      </c>
      <c r="AB54" s="2">
        <f>COUNTIFS('BA History'!$B:$B,$A$54,'BA History'!U:U, 1)</f>
        <v>1</v>
      </c>
      <c r="AC54" s="2">
        <f>COUNTIFS('BA History'!$B:$B,$A$54,'BA History'!V:V, 1)</f>
        <v>1</v>
      </c>
      <c r="AD54" s="2">
        <f>COUNTIFS('BA History'!$B:$B,$A$54,'BA History'!W:W, 1)</f>
        <v>2</v>
      </c>
      <c r="AE54" s="2">
        <f>COUNTIFS('BA History'!$B:$B,$A$54,'BA History'!X:X, 1)</f>
        <v>1</v>
      </c>
      <c r="AF54" s="2">
        <f>COUNTIFS('BA History'!$B:$B,$A$54,'BA History'!Y:Y, 1)</f>
        <v>4</v>
      </c>
      <c r="AG54" s="2">
        <f>COUNTIFS('BA History'!$B:$B,$A$54,'BA History'!Z:Z, 1)</f>
        <v>6</v>
      </c>
      <c r="AH54" s="2">
        <f>COUNTIFS('BA History'!$B:$B,$A$54,'BA History'!AA:AA, 1)</f>
        <v>1</v>
      </c>
      <c r="AI54" s="2">
        <f>COUNTIFS('BA History'!$B:$B,$A$54,'BA History'!AB:AB, 1)</f>
        <v>8</v>
      </c>
      <c r="AJ54" s="2">
        <f>COUNTIFS('BA History'!$B:$B,$A$54,'BA History'!AC:AC, 1)</f>
        <v>3</v>
      </c>
      <c r="AK54" s="2">
        <f>COUNTIFS('BA History'!$B:$B,$A$54,'BA History'!AD:AD, 1)</f>
        <v>0</v>
      </c>
      <c r="AL54" s="2">
        <f>COUNTIFS('BA History'!$B:$B,$A$54,'BA History'!AE:AE, 1)</f>
        <v>0</v>
      </c>
      <c r="AM54" s="2">
        <f>COUNTIFS('BA History'!$B:$B,$A$54,'BA History'!AF:AF, 1)</f>
        <v>0</v>
      </c>
    </row>
    <row r="55" spans="1:39" x14ac:dyDescent="0.25">
      <c r="A55" s="2" t="s">
        <v>70</v>
      </c>
      <c r="B55" s="2" t="s">
        <v>79</v>
      </c>
      <c r="C55" s="2"/>
      <c r="D55" s="2"/>
      <c r="E55" s="2"/>
      <c r="F55" s="34">
        <f>SUMIFS('BA History'!C:C,'BA History'!B:B,A55)</f>
        <v>80</v>
      </c>
      <c r="G55" s="66">
        <f>AVERAGEIFS('BA History'!C:C,'BA History'!B:B,A55)</f>
        <v>11.428571428571429</v>
      </c>
      <c r="H55" s="35">
        <f t="array" ref="H55">MAX(IF('BA History'!B:B=A55, 'BA History'!C:C))</f>
        <v>19</v>
      </c>
      <c r="I55" s="34">
        <f>COUNTIFS('BA History'!B:B,A55,'BA History'!D:D, 1)</f>
        <v>5</v>
      </c>
      <c r="J55" s="2">
        <f>COUNTIFS('BA History'!B:B,A55,'BA History'!D:D, 0)</f>
        <v>2</v>
      </c>
      <c r="K55" s="75">
        <f>LOOKUP(2, 1/('BA History'!$B:$B=A55), 'BA History'!$AJ:$AJ)</f>
        <v>0.7142857142857143</v>
      </c>
      <c r="L55" s="34">
        <f>SUMIFS('BA History'!F:F,'BA History'!B:B,A55)</f>
        <v>16</v>
      </c>
      <c r="M55" s="2">
        <f>SUMIFS('BA History'!E:E,'BA History'!B:B,A55)-L55</f>
        <v>13</v>
      </c>
      <c r="N55" s="75">
        <f>LOOKUP(2, 1/('BA History'!$B:$B=A55), 'BA History'!$AH:$AH)</f>
        <v>0.54285714285714293</v>
      </c>
      <c r="O55" s="34">
        <f>SUMIFS('BA History'!H:H,'BA History'!B:B,A55)</f>
        <v>64</v>
      </c>
      <c r="P55" s="2">
        <f>SUMIFS('BA History'!G:G,'BA History'!B:B,A55)-O55</f>
        <v>59</v>
      </c>
      <c r="Q55" s="89">
        <f>LOOKUP(2, 1/('BA History'!$B:$B=A55), 'BA History'!$AI:$AI)</f>
        <v>0.52142857142857146</v>
      </c>
      <c r="R55" s="2">
        <f>COUNTIFS('BA History'!$B:$B,$A$55,'BA History'!K:K, 1)</f>
        <v>1</v>
      </c>
      <c r="S55" s="2">
        <f>COUNTIFS('BA History'!$B:$B,$A$55,'BA History'!L:L, 1)</f>
        <v>1</v>
      </c>
      <c r="T55" s="2">
        <f>COUNTIFS('BA History'!$B:$B,$A$55,'BA History'!M:M, 1)</f>
        <v>2</v>
      </c>
      <c r="U55" s="2">
        <f>COUNTIFS('BA History'!$B:$B,$A$55,'BA History'!N:N, 1)</f>
        <v>3</v>
      </c>
      <c r="V55" s="2">
        <f>COUNTIFS('BA History'!$B:$B,$A$55,'BA History'!O:O, 1)</f>
        <v>0</v>
      </c>
      <c r="W55" s="2">
        <f>COUNTIFS('BA History'!$B:$B,$A$55,'BA History'!P:P, 1)</f>
        <v>0</v>
      </c>
      <c r="X55" s="2">
        <f>COUNTIFS('BA History'!$B:$B,$A$55,'BA History'!Q:Q, 1)</f>
        <v>0</v>
      </c>
      <c r="Y55" s="2">
        <f>COUNTIFS('BA History'!$B:$B,$A$55,'BA History'!R:R, 1)</f>
        <v>1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0</v>
      </c>
      <c r="AC55" s="2">
        <f>COUNTIFS('BA History'!$B:$B,$A$55,'BA History'!V:V, 1)</f>
        <v>1</v>
      </c>
      <c r="AD55" s="2">
        <f>COUNTIFS('BA History'!$B:$B,$A$55,'BA History'!W:W, 1)</f>
        <v>1</v>
      </c>
      <c r="AE55" s="2">
        <f>COUNTIFS('BA History'!$B:$B,$A$55,'BA History'!X:X, 1)</f>
        <v>0</v>
      </c>
      <c r="AF55" s="2">
        <f>COUNTIFS('BA History'!$B:$B,$A$55,'BA History'!Y:Y, 1)</f>
        <v>1</v>
      </c>
      <c r="AG55" s="2">
        <f>COUNTIFS('BA History'!$B:$B,$A$55,'BA History'!Z:Z, 1)</f>
        <v>0</v>
      </c>
      <c r="AH55" s="2">
        <f>COUNTIFS('BA History'!$B:$B,$A$55,'BA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0</v>
      </c>
      <c r="AK55" s="2">
        <f>COUNTIFS('BA History'!$B:$B,$A$55,'BA History'!AD:AD, 1)</f>
        <v>3</v>
      </c>
      <c r="AL55" s="2">
        <f>COUNTIFS('BA History'!$B:$B,$A$55,'BA History'!AE:AE, 1)</f>
        <v>0</v>
      </c>
      <c r="AM55" s="2">
        <f>COUNTIFS('BA History'!$B:$B,$A$55,'BA History'!AF:AF, 1)</f>
        <v>2</v>
      </c>
    </row>
    <row r="56" spans="1:39" x14ac:dyDescent="0.25">
      <c r="A56" s="2" t="s">
        <v>4</v>
      </c>
      <c r="B56" s="1" t="s">
        <v>158</v>
      </c>
      <c r="C56" s="1">
        <v>1</v>
      </c>
      <c r="D56" s="1"/>
      <c r="E56" s="1"/>
      <c r="F56" s="34">
        <f>SUMIFS('BA History'!C:C,'BA History'!B:B,A56)</f>
        <v>823</v>
      </c>
      <c r="G56" s="66">
        <f>AVERAGEIFS('BA History'!C:C,'BA History'!B:B,A56)</f>
        <v>24.939393939393938</v>
      </c>
      <c r="H56" s="35">
        <f t="array" ref="H56">MAX(IF('BA History'!B:B=A56, 'BA History'!C:C))</f>
        <v>41</v>
      </c>
      <c r="I56" s="34">
        <f>COUNTIFS('BA History'!B:B,A56,'BA History'!D:D, 1)</f>
        <v>12</v>
      </c>
      <c r="J56" s="2">
        <f>COUNTIFS('BA History'!B:B,A56,'BA History'!D:D, 0)</f>
        <v>21</v>
      </c>
      <c r="K56" s="75">
        <f>LOOKUP(2, 1/('BA History'!$B:$B=A56), 'BA History'!$AJ:$AJ)</f>
        <v>0.36363636363636365</v>
      </c>
      <c r="L56" s="34">
        <f>SUMIFS('BA History'!F:F,'BA History'!B:B,A56)</f>
        <v>61</v>
      </c>
      <c r="M56" s="2">
        <f>SUMIFS('BA History'!E:E,'BA History'!B:B,A56)-L56</f>
        <v>76</v>
      </c>
      <c r="N56" s="75">
        <f>LOOKUP(2, 1/('BA History'!$B:$B=A56), 'BA History'!$AH:$AH)</f>
        <v>0.44545454545454544</v>
      </c>
      <c r="O56" s="34">
        <f>SUMIFS('BA History'!H:H,'BA History'!B:B,A56)</f>
        <v>268</v>
      </c>
      <c r="P56" s="2">
        <f>SUMIFS('BA History'!G:G,'BA History'!B:B,A56)-O56</f>
        <v>301</v>
      </c>
      <c r="Q56" s="89">
        <f>LOOKUP(2, 1/('BA History'!$B:$B=A56), 'BA History'!$AI:$AI)</f>
        <v>0.46606060606060601</v>
      </c>
      <c r="R56" s="2">
        <f>COUNTIFS('BA History'!$B:$B,$A$56,'BA History'!K:K, 1)</f>
        <v>3</v>
      </c>
      <c r="S56" s="2">
        <f>COUNTIFS('BA History'!$B:$B,$A$56,'BA History'!L:L, 1)</f>
        <v>7</v>
      </c>
      <c r="T56" s="2">
        <f>COUNTIFS('BA History'!$B:$B,$A$56,'BA History'!M:M, 1)</f>
        <v>6</v>
      </c>
      <c r="U56" s="2">
        <f>COUNTIFS('BA History'!$B:$B,$A$56,'BA History'!N:N, 1)</f>
        <v>8</v>
      </c>
      <c r="V56" s="2">
        <f>COUNTIFS('BA History'!$B:$B,$A$56,'BA History'!O:O, 1)</f>
        <v>1</v>
      </c>
      <c r="W56" s="2">
        <f>COUNTIFS('BA History'!$B:$B,$A$56,'BA History'!P:P, 1)</f>
        <v>0</v>
      </c>
      <c r="X56" s="2">
        <f>COUNTIFS('BA History'!$B:$B,$A$56,'BA History'!Q:Q, 1)</f>
        <v>1</v>
      </c>
      <c r="Y56" s="2">
        <f>COUNTIFS('BA History'!$B:$B,$A$56,'BA History'!R:R, 1)</f>
        <v>0</v>
      </c>
      <c r="Z56" s="2">
        <f>COUNTIFS('BA History'!$B:$B,$A$56,'BA History'!S:S, 1)</f>
        <v>0</v>
      </c>
      <c r="AA56" s="2">
        <f>COUNTIFS('BA History'!$B:$B,$A$56,'BA History'!T:T, 1)</f>
        <v>0</v>
      </c>
      <c r="AB56" s="2">
        <f>COUNTIFS('BA History'!$B:$B,$A$56,'BA History'!U:U, 1)</f>
        <v>2</v>
      </c>
      <c r="AC56" s="2">
        <f>COUNTIFS('BA History'!$B:$B,$A$56,'BA History'!V:V, 1)</f>
        <v>1</v>
      </c>
      <c r="AD56" s="2">
        <f>COUNTIFS('BA History'!$B:$B,$A$56,'BA History'!W:W, 1)</f>
        <v>0</v>
      </c>
      <c r="AE56" s="2">
        <f>COUNTIFS('BA History'!$B:$B,$A$56,'BA History'!X:X, 1)</f>
        <v>0</v>
      </c>
      <c r="AF56" s="2">
        <f>COUNTIFS('BA History'!$B:$B,$A$56,'BA History'!Y:Y, 1)</f>
        <v>8</v>
      </c>
      <c r="AG56" s="2">
        <f>COUNTIFS('BA History'!$B:$B,$A$56,'BA History'!Z:Z, 1)</f>
        <v>3</v>
      </c>
      <c r="AH56" s="2">
        <f>COUNTIFS('BA History'!$B:$B,$A$56,'BA History'!AA:AA, 1)</f>
        <v>0</v>
      </c>
      <c r="AI56" s="2">
        <f>COUNTIFS('BA History'!$B:$B,$A$56,'BA History'!AB:AB, 1)</f>
        <v>9</v>
      </c>
      <c r="AJ56" s="2">
        <f>COUNTIFS('BA History'!$B:$B,$A$56,'BA History'!AC:AC, 1)</f>
        <v>6</v>
      </c>
      <c r="AK56" s="2">
        <f>COUNTIFS('BA History'!$B:$B,$A$56,'BA History'!AD:AD, 1)</f>
        <v>5</v>
      </c>
      <c r="AL56" s="2">
        <f>COUNTIFS('BA History'!$B:$B,$A$56,'BA History'!AE:AE, 1)</f>
        <v>0</v>
      </c>
      <c r="AM56" s="2">
        <f>COUNTIFS('BA History'!$B:$B,$A$56,'BA History'!AF:AF, 1)</f>
        <v>1</v>
      </c>
    </row>
    <row r="57" spans="1:39" x14ac:dyDescent="0.25">
      <c r="A57" s="1" t="s">
        <v>107</v>
      </c>
      <c r="B57" s="2" t="s">
        <v>79</v>
      </c>
      <c r="C57" s="2"/>
      <c r="D57" s="2"/>
      <c r="E57" s="2"/>
      <c r="F57" s="34">
        <f>SUMIFS('BA History'!C:C,'BA History'!B:B,A57)</f>
        <v>700</v>
      </c>
      <c r="G57" s="66">
        <f>AVERAGEIFS('BA History'!C:C,'BA History'!B:B,A57)</f>
        <v>16.279069767441861</v>
      </c>
      <c r="H57" s="35">
        <f t="array" ref="H57">MAX(IF('BA History'!B:B=A57, 'BA History'!C:C))</f>
        <v>35</v>
      </c>
      <c r="I57" s="34">
        <f>COUNTIFS('BA History'!B:B,A57,'BA History'!D:D, 1)</f>
        <v>25</v>
      </c>
      <c r="J57" s="2">
        <f>COUNTIFS('BA History'!B:B,A57,'BA History'!D:D, 0)</f>
        <v>18</v>
      </c>
      <c r="K57" s="75">
        <f>LOOKUP(2, 1/('BA History'!$B:$B=A57), 'BA History'!$AJ:$AJ)</f>
        <v>0.58139534883720934</v>
      </c>
      <c r="L57" s="34">
        <f>SUMIFS('BA History'!F:F,'BA History'!B:B,A57)</f>
        <v>92</v>
      </c>
      <c r="M57" s="2">
        <f>SUMIFS('BA History'!E:E,'BA History'!B:B,A57)-L57</f>
        <v>82</v>
      </c>
      <c r="N57" s="75">
        <f>LOOKUP(2, 1/('BA History'!$B:$B=A57), 'BA History'!$AH:$AH)</f>
        <v>0.52209302325581397</v>
      </c>
      <c r="O57" s="34">
        <f>SUMIFS('BA History'!H:H,'BA History'!B:B,A57)</f>
        <v>376</v>
      </c>
      <c r="P57" s="2">
        <f>SUMIFS('BA History'!G:G,'BA History'!B:B,A57)-O57</f>
        <v>343</v>
      </c>
      <c r="Q57" s="89">
        <f>LOOKUP(2, 1/('BA History'!$B:$B=A57), 'BA History'!$AI:$AI)</f>
        <v>0.5190697674418604</v>
      </c>
      <c r="R57" s="2">
        <f>COUNTIFS('BA History'!$B:$B,$A$57,'BA History'!K:K, 1)</f>
        <v>5</v>
      </c>
      <c r="S57" s="2">
        <f>COUNTIFS('BA History'!$B:$B,$A$57,'BA History'!L:L, 1)</f>
        <v>3</v>
      </c>
      <c r="T57" s="2">
        <f>COUNTIFS('BA History'!$B:$B,$A$57,'BA History'!M:M, 1)</f>
        <v>12</v>
      </c>
      <c r="U57" s="2">
        <f>COUNTIFS('BA History'!$B:$B,$A$57,'BA History'!N:N, 1)</f>
        <v>12</v>
      </c>
      <c r="V57" s="2">
        <f>COUNTIFS('BA History'!$B:$B,$A$57,'BA History'!O:O, 1)</f>
        <v>2</v>
      </c>
      <c r="W57" s="2">
        <f>COUNTIFS('BA History'!$B:$B,$A$57,'BA History'!P:P, 1)</f>
        <v>1</v>
      </c>
      <c r="X57" s="2">
        <f>COUNTIFS('BA History'!$B:$B,$A$57,'BA History'!Q:Q, 1)</f>
        <v>2</v>
      </c>
      <c r="Y57" s="2">
        <f>COUNTIFS('BA History'!$B:$B,$A$57,'BA History'!R:R, 1)</f>
        <v>2</v>
      </c>
      <c r="Z57" s="2">
        <f>COUNTIFS('BA History'!$B:$B,$A$57,'BA History'!S:S, 1)</f>
        <v>1</v>
      </c>
      <c r="AA57" s="2">
        <f>COUNTIFS('BA History'!$B:$B,$A$57,'BA History'!T:T, 1)</f>
        <v>0</v>
      </c>
      <c r="AB57" s="2">
        <f>COUNTIFS('BA History'!$B:$B,$A$57,'BA History'!U:U, 1)</f>
        <v>1</v>
      </c>
      <c r="AC57" s="2">
        <f>COUNTIFS('BA History'!$B:$B,$A$57,'BA History'!V:V, 1)</f>
        <v>3</v>
      </c>
      <c r="AD57" s="2">
        <f>COUNTIFS('BA History'!$B:$B,$A$57,'BA History'!W:W, 1)</f>
        <v>2</v>
      </c>
      <c r="AE57" s="2">
        <f>COUNTIFS('BA History'!$B:$B,$A$57,'BA History'!X:X, 1)</f>
        <v>0</v>
      </c>
      <c r="AF57" s="2">
        <f>COUNTIFS('BA History'!$B:$B,$A$57,'BA History'!Y:Y, 1)</f>
        <v>7</v>
      </c>
      <c r="AG57" s="2">
        <f>COUNTIFS('BA History'!$B:$B,$A$57,'BA History'!Z:Z, 1)</f>
        <v>10</v>
      </c>
      <c r="AH57" s="2">
        <f>COUNTIFS('BA History'!$B:$B,$A$57,'BA History'!AA:AA, 1)</f>
        <v>1</v>
      </c>
      <c r="AI57" s="2">
        <f>COUNTIFS('BA History'!$B:$B,$A$57,'BA History'!AB:AB, 1)</f>
        <v>8</v>
      </c>
      <c r="AJ57" s="2">
        <f>COUNTIFS('BA History'!$B:$B,$A$57,'BA History'!AC:AC, 1)</f>
        <v>5</v>
      </c>
      <c r="AK57" s="2">
        <f>COUNTIFS('BA History'!$B:$B,$A$57,'BA History'!AD:AD, 1)</f>
        <v>9</v>
      </c>
      <c r="AL57" s="2">
        <f>COUNTIFS('BA History'!$B:$B,$A$57,'BA History'!AE:AE, 1)</f>
        <v>0</v>
      </c>
      <c r="AM57" s="2">
        <f>COUNTIFS('BA History'!$B:$B,$A$57,'BA History'!AF:AF, 1)</f>
        <v>6</v>
      </c>
    </row>
    <row r="58" spans="1:39" x14ac:dyDescent="0.25">
      <c r="A58" s="2" t="s">
        <v>94</v>
      </c>
      <c r="B58" s="2" t="s">
        <v>79</v>
      </c>
      <c r="C58" s="2"/>
      <c r="D58" s="2"/>
      <c r="E58" s="2"/>
      <c r="F58" s="34">
        <f>SUMIFS('BA History'!C:C,'BA History'!B:B,A58)</f>
        <v>18</v>
      </c>
      <c r="G58" s="66">
        <f>AVERAGEIFS('BA History'!C:C,'BA History'!B:B,A58)</f>
        <v>18</v>
      </c>
      <c r="H58" s="35">
        <f t="array" ref="H58">MAX(IF('BA History'!B:B=A58, 'BA History'!C:C))</f>
        <v>18</v>
      </c>
      <c r="I58" s="34">
        <f>COUNTIFS('BA History'!B:B,A58,'BA History'!D:D, 1)</f>
        <v>1</v>
      </c>
      <c r="J58" s="2">
        <f>COUNTIFS('BA History'!B:B,A58,'BA History'!D:D, 0)</f>
        <v>0</v>
      </c>
      <c r="K58" s="75">
        <f>LOOKUP(2, 1/('BA History'!$B:$B=A58), 'BA History'!$AJ:$AJ)</f>
        <v>1</v>
      </c>
      <c r="L58" s="34">
        <f>SUMIFS('BA History'!F:F,'BA History'!B:B,A58)</f>
        <v>3</v>
      </c>
      <c r="M58" s="2">
        <f>SUMIFS('BA History'!E:E,'BA History'!B:B,A58)-L58</f>
        <v>2</v>
      </c>
      <c r="N58" s="75">
        <f>LOOKUP(2, 1/('BA History'!$B:$B=A58), 'BA History'!$AH:$AH)</f>
        <v>0.6</v>
      </c>
      <c r="O58" s="34">
        <f>SUMIFS('BA History'!H:H,'BA History'!B:B,A58)</f>
        <v>11</v>
      </c>
      <c r="P58" s="2">
        <f>SUMIFS('BA History'!G:G,'BA History'!B:B,A58)-O58</f>
        <v>10</v>
      </c>
      <c r="Q58" s="89">
        <f>LOOKUP(2, 1/('BA History'!$B:$B=A58), 'BA History'!$AI:$AI)</f>
        <v>0.52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1</v>
      </c>
      <c r="AE58" s="2">
        <f>COUNTIFS('BA History'!$B:$B,$A$58,'BA History'!X:X, 1)</f>
        <v>1</v>
      </c>
      <c r="AF58" s="2">
        <f>COUNTIFS('BA History'!$B:$B,$A$58,'BA History'!Y:Y, 1)</f>
        <v>0</v>
      </c>
      <c r="AG58" s="2">
        <f>COUNTIFS('BA History'!$B:$B,$A$58,'BA History'!Z:Z, 1)</f>
        <v>1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  <row r="59" spans="1:39" ht="15.75" thickBot="1" x14ac:dyDescent="0.3">
      <c r="A59" s="2" t="s">
        <v>55</v>
      </c>
      <c r="B59" s="2" t="s">
        <v>79</v>
      </c>
      <c r="C59" s="2"/>
      <c r="D59" s="2"/>
      <c r="E59" s="2"/>
      <c r="F59" s="34">
        <f>SUMIFS('BA History'!C:C,'BA History'!B:B,A59)</f>
        <v>2</v>
      </c>
      <c r="G59" s="66">
        <f>AVERAGEIFS('BA History'!C:C,'BA History'!B:B,A59)</f>
        <v>2</v>
      </c>
      <c r="H59" s="35">
        <f t="array" ref="H59">MAX(IF('BA History'!B:B=A59, 'BA History'!C:C))</f>
        <v>2</v>
      </c>
      <c r="I59" s="34">
        <f>COUNTIFS('BA History'!B:B,A59,'BA History'!D:D, 1)</f>
        <v>0</v>
      </c>
      <c r="J59" s="2">
        <f>COUNTIFS('BA History'!B:B,A59,'BA History'!D:D, 0)</f>
        <v>1</v>
      </c>
      <c r="K59" s="75">
        <f>LOOKUP(2, 1/('BA History'!$B:$B=A59), 'BA History'!$AJ:$AJ)</f>
        <v>0</v>
      </c>
      <c r="L59" s="34">
        <f>SUMIFS('BA History'!F:F,'BA History'!B:B,A59)</f>
        <v>0</v>
      </c>
      <c r="M59" s="2">
        <f>SUMIFS('BA History'!E:E,'BA History'!B:B,A59)-L59</f>
        <v>3</v>
      </c>
      <c r="N59" s="75">
        <f>LOOKUP(2, 1/('BA History'!$B:$B=A59), 'BA History'!$AH:$AH)</f>
        <v>0</v>
      </c>
      <c r="O59" s="34">
        <f>SUMIFS('BA History'!H:H,'BA History'!B:B,A59)</f>
        <v>4</v>
      </c>
      <c r="P59" s="48">
        <v>9</v>
      </c>
      <c r="Q59" s="89">
        <f>LOOKUP(2, 1/('BA History'!$B:$B=A59), 'BA History'!$AI:$AI)</f>
        <v>0.31</v>
      </c>
      <c r="R59" s="2">
        <f>COUNTIFS('BA History'!$B:$B,$A$59,'BA History'!K:K, 1)</f>
        <v>0</v>
      </c>
      <c r="S59" s="2">
        <f>COUNTIFS('BA History'!$B:$B,$A$59,'BA History'!L:L, 1)</f>
        <v>0</v>
      </c>
      <c r="T59" s="2">
        <f>COUNTIFS('BA History'!$B:$B,$A$59,'BA History'!M:M, 1)</f>
        <v>0</v>
      </c>
      <c r="U59" s="2">
        <f>COUNTIFS('BA History'!$B:$B,$A$59,'BA History'!N:N, 1)</f>
        <v>0</v>
      </c>
      <c r="V59" s="2">
        <f>COUNTIFS('BA History'!$B:$B,$A$59,'BA History'!O:O, 1)</f>
        <v>0</v>
      </c>
      <c r="W59" s="2">
        <f>COUNTIFS('BA History'!$B:$B,$A$59,'BA History'!P:P, 1)</f>
        <v>0</v>
      </c>
      <c r="X59" s="2">
        <f>COUNTIFS('BA History'!$B:$B,$A$59,'BA History'!Q:Q, 1)</f>
        <v>0</v>
      </c>
      <c r="Y59" s="2">
        <f>COUNTIFS('BA History'!$B:$B,$A$59,'BA History'!R:R, 1)</f>
        <v>0</v>
      </c>
      <c r="Z59" s="2">
        <f>COUNTIFS('BA History'!$B:$B,$A$59,'BA History'!S:S, 1)</f>
        <v>0</v>
      </c>
      <c r="AA59" s="2">
        <f>COUNTIFS('BA History'!$B:$B,$A$59,'BA History'!T:T, 1)</f>
        <v>0</v>
      </c>
      <c r="AB59" s="2">
        <f>COUNTIFS('BA History'!$B:$B,$A$59,'BA History'!U:U, 1)</f>
        <v>0</v>
      </c>
      <c r="AC59" s="2">
        <f>COUNTIFS('BA History'!$B:$B,$A$59,'BA History'!V:V, 1)</f>
        <v>0</v>
      </c>
      <c r="AD59" s="2">
        <f>COUNTIFS('BA History'!$B:$B,$A$59,'BA History'!W:W, 1)</f>
        <v>0</v>
      </c>
      <c r="AE59" s="2">
        <f>COUNTIFS('BA History'!$B:$B,$A$59,'BA History'!X:X, 1)</f>
        <v>0</v>
      </c>
      <c r="AF59" s="2">
        <f>COUNTIFS('BA History'!$B:$B,$A$59,'BA History'!Y:Y, 1)</f>
        <v>0</v>
      </c>
      <c r="AG59" s="2">
        <f>COUNTIFS('BA History'!$B:$B,$A$59,'BA History'!Z:Z, 1)</f>
        <v>0</v>
      </c>
      <c r="AH59" s="2">
        <f>COUNTIFS('BA History'!$B:$B,$A$59,'BA History'!AA:AA, 1)</f>
        <v>0</v>
      </c>
      <c r="AI59" s="2">
        <f>COUNTIFS('BA History'!$B:$B,$A$59,'BA History'!AB:AB, 1)</f>
        <v>0</v>
      </c>
      <c r="AJ59" s="2">
        <f>COUNTIFS('BA History'!$B:$B,$A$59,'BA History'!AC:AC, 1)</f>
        <v>0</v>
      </c>
      <c r="AK59" s="2">
        <f>COUNTIFS('BA History'!$B:$B,$A$59,'BA History'!AD:AD, 1)</f>
        <v>0</v>
      </c>
      <c r="AL59" s="2">
        <f>COUNTIFS('BA History'!$B:$B,$A$59,'BA History'!AE:AE, 1)</f>
        <v>0</v>
      </c>
      <c r="AM59" s="2">
        <f>COUNTIFS('BA History'!$B:$B,$A$59,'BA History'!AF:AF, 1)</f>
        <v>0</v>
      </c>
    </row>
  </sheetData>
  <autoFilter ref="A1:AM59" xr:uid="{DA548192-1F03-46EA-8AB8-115EB9A7CE5D}">
    <sortState xmlns:xlrd2="http://schemas.microsoft.com/office/spreadsheetml/2017/richdata2" ref="A2:AM59">
      <sortCondition ref="A1:A59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965"/>
  <sheetViews>
    <sheetView workbookViewId="0">
      <pane xSplit="2" ySplit="1" topLeftCell="C925" activePane="bottomRight" state="frozen"/>
      <selection pane="topRight" activeCell="C1" sqref="C1"/>
      <selection pane="bottomLeft" activeCell="A2" sqref="A2"/>
      <selection pane="bottomRight" activeCell="A954" sqref="A954:A965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168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168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10.810810810810811</v>
      </c>
      <c r="AH853" s="86">
        <f>AVERAGEIFS($I$2:I853, $B$2:B853, B853)</f>
        <v>0.45486486486486494</v>
      </c>
      <c r="AI853" s="86">
        <f>AVERAGEIFS($J$2:J853, $B$2:B853, B853)</f>
        <v>0.48027027027027025</v>
      </c>
      <c r="AJ853" s="86">
        <f>AVERAGEIFS($D$2:D853, $B$2:B853, B853)</f>
        <v>0.43243243243243246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10.657894736842104</v>
      </c>
      <c r="AH858" s="86">
        <f>AVERAGEIFS($I$2:I858, $B$2:B858, B858)</f>
        <v>0.44947368421052636</v>
      </c>
      <c r="AI858" s="86">
        <f>AVERAGEIFS($J$2:J858, $B$2:B858, B858)</f>
        <v>0.47473684210526312</v>
      </c>
      <c r="AJ858" s="86">
        <f>AVERAGEIFS($D$2:D858, $B$2:B858, B858)</f>
        <v>0.42105263157894735</v>
      </c>
    </row>
    <row r="859" spans="1:36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  <row r="866" spans="1:36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>
        <v>1</v>
      </c>
      <c r="AG866" s="86">
        <f>AVERAGEIFS($C$2:C866, $B$2:B866, B866)</f>
        <v>21.844827586206897</v>
      </c>
      <c r="AH866" s="86">
        <f>AVERAGEIFS($I$2:I866, $B$2:B866, B866)</f>
        <v>0.52293103448275868</v>
      </c>
      <c r="AI866" s="86">
        <f>AVERAGEIFS($J$2:J866, $B$2:B866, B866)</f>
        <v>0.52051724137931032</v>
      </c>
      <c r="AJ866" s="86">
        <f>AVERAGEIFS($D$2:D866, $B$2:B866, B866)</f>
        <v>0.58620689655172409</v>
      </c>
    </row>
    <row r="867" spans="1:36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1</v>
      </c>
      <c r="AC867">
        <v>0</v>
      </c>
      <c r="AD867">
        <v>0</v>
      </c>
      <c r="AE867">
        <v>0</v>
      </c>
      <c r="AF867">
        <v>1</v>
      </c>
      <c r="AG867" s="86">
        <f>AVERAGEIFS($C$2:C867, $B$2:B867, B867)</f>
        <v>25.866666666666667</v>
      </c>
      <c r="AH867" s="86">
        <f>AVERAGEIFS($I$2:I867, $B$2:B867, B867)</f>
        <v>0.47833333333333339</v>
      </c>
      <c r="AI867" s="86">
        <f>AVERAGEIFS($J$2:J867, $B$2:B867, B867)</f>
        <v>0.49000000000000005</v>
      </c>
      <c r="AJ867" s="86">
        <f>AVERAGEIFS($D$2:D867, $B$2:B867, B867)</f>
        <v>0.5</v>
      </c>
    </row>
    <row r="868" spans="1:36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1</v>
      </c>
      <c r="AC868">
        <v>0</v>
      </c>
      <c r="AD868">
        <v>0</v>
      </c>
      <c r="AE868">
        <v>0</v>
      </c>
      <c r="AF868">
        <v>1</v>
      </c>
      <c r="AG868" s="86">
        <f>AVERAGEIFS($C$2:C868, $B$2:B868, B868)</f>
        <v>16.162162162162161</v>
      </c>
      <c r="AH868" s="86">
        <f>AVERAGEIFS($I$2:I868, $B$2:B868, B868)</f>
        <v>0.5243243243243243</v>
      </c>
      <c r="AI868" s="86">
        <f>AVERAGEIFS($J$2:J868, $B$2:B868, B868)</f>
        <v>0.52162162162162162</v>
      </c>
      <c r="AJ868" s="86">
        <f>AVERAGEIFS($D$2:D868, $B$2:B868, B868)</f>
        <v>0.56756756756756754</v>
      </c>
    </row>
    <row r="869" spans="1:36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1</v>
      </c>
      <c r="AC869">
        <v>0</v>
      </c>
      <c r="AD869">
        <v>0</v>
      </c>
      <c r="AE869">
        <v>0</v>
      </c>
      <c r="AF869">
        <v>1</v>
      </c>
      <c r="AG869" s="86">
        <f>AVERAGEIFS($C$2:C869, $B$2:B869, B869)</f>
        <v>17.303030303030305</v>
      </c>
      <c r="AH869" s="86">
        <f>AVERAGEIFS($I$2:I869, $B$2:B869, B869)</f>
        <v>0.58484848484848484</v>
      </c>
      <c r="AI869" s="86">
        <f>AVERAGEIFS($J$2:J869, $B$2:B869, B869)</f>
        <v>0.53787878787878796</v>
      </c>
      <c r="AJ869" s="86">
        <f>AVERAGEIFS($D$2:D869, $B$2:B869, B869)</f>
        <v>0.5757575757575758</v>
      </c>
    </row>
    <row r="870" spans="1:36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1</v>
      </c>
      <c r="AC870">
        <v>0</v>
      </c>
      <c r="AD870">
        <v>0</v>
      </c>
      <c r="AE870">
        <v>0</v>
      </c>
      <c r="AF870">
        <v>1</v>
      </c>
      <c r="AG870" s="86">
        <f>AVERAGEIFS($C$2:C870, $B$2:B870, B870)</f>
        <v>16.351351351351351</v>
      </c>
      <c r="AH870" s="86">
        <f>AVERAGEIFS($I$2:I870, $B$2:B870, B870)</f>
        <v>0.52297297297297296</v>
      </c>
      <c r="AI870" s="86">
        <f>AVERAGEIFS($J$2:J870, $B$2:B870, B870)</f>
        <v>0.53810810810810816</v>
      </c>
      <c r="AJ870" s="86">
        <f>AVERAGEIFS($D$2:D870, $B$2:B870, B870)</f>
        <v>0.6216216216216216</v>
      </c>
    </row>
    <row r="871" spans="1:36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1</v>
      </c>
      <c r="AC871">
        <v>0</v>
      </c>
      <c r="AD871">
        <v>0</v>
      </c>
      <c r="AE871">
        <v>0</v>
      </c>
      <c r="AF871">
        <v>1</v>
      </c>
      <c r="AG871" s="86">
        <f>AVERAGEIFS($C$2:C871, $B$2:B871, B871)</f>
        <v>10.538461538461538</v>
      </c>
      <c r="AH871" s="86">
        <f>AVERAGEIFS($I$2:I871, $B$2:B871, B871)</f>
        <v>0.46358974358974364</v>
      </c>
      <c r="AI871" s="86">
        <f>AVERAGEIFS($J$2:J871, $B$2:B871, B871)</f>
        <v>0.48820512820512818</v>
      </c>
      <c r="AJ871" s="86">
        <f>AVERAGEIFS($D$2:D871, $B$2:B871, B871)</f>
        <v>0.4358974358974359</v>
      </c>
    </row>
    <row r="872" spans="1:36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 s="86">
        <f>AVERAGEIFS($C$2:C872, $B$2:B872, B872)</f>
        <v>18.657894736842106</v>
      </c>
      <c r="AH872" s="86">
        <f>AVERAGEIFS($I$2:I872, $B$2:B872, B872)</f>
        <v>0.42763157894736842</v>
      </c>
      <c r="AI872" s="86">
        <f>AVERAGEIFS($J$2:J872, $B$2:B872, B872)</f>
        <v>0.43921052631578944</v>
      </c>
      <c r="AJ872" s="86">
        <f>AVERAGEIFS($D$2:D872, $B$2:B872, B872)</f>
        <v>0.42105263157894735</v>
      </c>
    </row>
    <row r="873" spans="1:36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 s="86">
        <f>AVERAGEIFS($C$2:C873, $B$2:B873, B873)</f>
        <v>23.481481481481481</v>
      </c>
      <c r="AH873" s="86">
        <f>AVERAGEIFS($I$2:I873, $B$2:B873, B873)</f>
        <v>0.54203703703703709</v>
      </c>
      <c r="AI873" s="86">
        <f>AVERAGEIFS($J$2:J873, $B$2:B873, B873)</f>
        <v>0.51314814814814813</v>
      </c>
      <c r="AJ873" s="86">
        <f>AVERAGEIFS($D$2:D873, $B$2:B873, B873)</f>
        <v>0.55555555555555558</v>
      </c>
    </row>
    <row r="874" spans="1:36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 s="86">
        <f>AVERAGEIFS($C$2:C874, $B$2:B874, B874)</f>
        <v>17.96551724137931</v>
      </c>
      <c r="AH874" s="86">
        <f>AVERAGEIFS($I$2:I874, $B$2:B874, B874)</f>
        <v>0.39310344827586202</v>
      </c>
      <c r="AI874" s="86">
        <f>AVERAGEIFS($J$2:J874, $B$2:B874, B874)</f>
        <v>0.43551724137931036</v>
      </c>
      <c r="AJ874" s="86">
        <f>AVERAGEIFS($D$2:D874, $B$2:B874, B874)</f>
        <v>0.34482758620689657</v>
      </c>
    </row>
    <row r="875" spans="1:36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 s="86">
        <f>AVERAGEIFS($C$2:C875, $B$2:B875, B875)</f>
        <v>16.899999999999999</v>
      </c>
      <c r="AH875" s="86">
        <f>AVERAGEIFS($I$2:I875, $B$2:B875, B875)</f>
        <v>0.45599999999999996</v>
      </c>
      <c r="AI875" s="86">
        <f>AVERAGEIFS($J$2:J875, $B$2:B875, B875)</f>
        <v>0.48699999999999999</v>
      </c>
      <c r="AJ875" s="86">
        <f>AVERAGEIFS($D$2:D875, $B$2:B875, B875)</f>
        <v>0.45</v>
      </c>
    </row>
    <row r="876" spans="1:36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 s="86">
        <f>AVERAGEIFS($C$2:C876, $B$2:B876, B876)</f>
        <v>23.457142857142856</v>
      </c>
      <c r="AH876" s="86">
        <f>AVERAGEIFS($I$2:I876, $B$2:B876, B876)</f>
        <v>0.54942857142857138</v>
      </c>
      <c r="AI876" s="86">
        <f>AVERAGEIFS($J$2:J876, $B$2:B876, B876)</f>
        <v>0.54371428571428571</v>
      </c>
      <c r="AJ876" s="86">
        <f>AVERAGEIFS($D$2:D876, $B$2:B876, B876)</f>
        <v>0.54285714285714282</v>
      </c>
    </row>
    <row r="877" spans="1:36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 s="86">
        <f>AVERAGEIFS($C$2:C877, $B$2:B877, B877)</f>
        <v>19.875</v>
      </c>
      <c r="AH877" s="86">
        <f>AVERAGEIFS($I$2:I877, $B$2:B877, B877)</f>
        <v>0.52249999999999996</v>
      </c>
      <c r="AI877" s="86">
        <f>AVERAGEIFS($J$2:J877, $B$2:B877, B877)</f>
        <v>0.49156250000000007</v>
      </c>
      <c r="AJ877" s="86">
        <f>AVERAGEIFS($D$2:D877, $B$2:B877, B877)</f>
        <v>0.53125</v>
      </c>
    </row>
    <row r="878" spans="1:36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1</v>
      </c>
      <c r="AE878">
        <v>0</v>
      </c>
      <c r="AF878">
        <v>1</v>
      </c>
      <c r="AG878" s="86">
        <f>AVERAGEIFS($C$2:C878, $B$2:B878, B878)</f>
        <v>25.838709677419356</v>
      </c>
      <c r="AH878" s="86">
        <f>AVERAGEIFS($I$2:I878, $B$2:B878, B878)</f>
        <v>0.48709677419354841</v>
      </c>
      <c r="AI878" s="86">
        <f>AVERAGEIFS($J$2:J878, $B$2:B878, B878)</f>
        <v>0.49451612903225811</v>
      </c>
      <c r="AJ878" s="86">
        <f>AVERAGEIFS($D$2:D878, $B$2:B878, B878)</f>
        <v>0.5161290322580645</v>
      </c>
    </row>
    <row r="879" spans="1:36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1</v>
      </c>
      <c r="AC879">
        <v>0</v>
      </c>
      <c r="AD879">
        <v>1</v>
      </c>
      <c r="AE879">
        <v>0</v>
      </c>
      <c r="AF879">
        <v>1</v>
      </c>
      <c r="AG879" s="86">
        <f>AVERAGEIFS($C$2:C879, $B$2:B879, B879)</f>
        <v>23.361111111111111</v>
      </c>
      <c r="AH879" s="86">
        <f>AVERAGEIFS($I$2:I879, $B$2:B879, B879)</f>
        <v>0.55499999999999994</v>
      </c>
      <c r="AI879" s="86">
        <f>AVERAGEIFS($J$2:J879, $B$2:B879, B879)</f>
        <v>0.5461111111111111</v>
      </c>
      <c r="AJ879" s="86">
        <f>AVERAGEIFS($D$2:D879, $B$2:B879, B879)</f>
        <v>0.55555555555555558</v>
      </c>
    </row>
    <row r="880" spans="1:36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1</v>
      </c>
      <c r="AC880">
        <v>0</v>
      </c>
      <c r="AD880">
        <v>1</v>
      </c>
      <c r="AE880">
        <v>0</v>
      </c>
      <c r="AF880">
        <v>1</v>
      </c>
      <c r="AG880" s="86">
        <f>AVERAGEIFS($C$2:C880, $B$2:B880, B880)</f>
        <v>16.133333333333333</v>
      </c>
      <c r="AH880" s="86">
        <f>AVERAGEIFS($I$2:I880, $B$2:B880, B880)</f>
        <v>0.63</v>
      </c>
      <c r="AI880" s="86">
        <f>AVERAGEIFS($J$2:J880, $B$2:B880, B880)</f>
        <v>0.5993333333333335</v>
      </c>
      <c r="AJ880" s="86">
        <f>AVERAGEIFS($D$2:D880, $B$2:B880, B880)</f>
        <v>0.6</v>
      </c>
    </row>
    <row r="881" spans="1:36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1</v>
      </c>
      <c r="AC881">
        <v>0</v>
      </c>
      <c r="AD881">
        <v>1</v>
      </c>
      <c r="AE881">
        <v>0</v>
      </c>
      <c r="AF881">
        <v>1</v>
      </c>
      <c r="AG881" s="86">
        <f>AVERAGEIFS($C$2:C881, $B$2:B881, B881)</f>
        <v>16.289473684210527</v>
      </c>
      <c r="AH881" s="86">
        <f>AVERAGEIFS($I$2:I881, $B$2:B881, B881)</f>
        <v>0.52894736842105261</v>
      </c>
      <c r="AI881" s="86">
        <f>AVERAGEIFS($J$2:J881, $B$2:B881, B881)</f>
        <v>0.54052631578947363</v>
      </c>
      <c r="AJ881" s="86">
        <f>AVERAGEIFS($D$2:D881, $B$2:B881, B881)</f>
        <v>0.63157894736842102</v>
      </c>
    </row>
    <row r="882" spans="1:36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1</v>
      </c>
      <c r="AC882">
        <v>0</v>
      </c>
      <c r="AD882">
        <v>1</v>
      </c>
      <c r="AE882">
        <v>0</v>
      </c>
      <c r="AF882">
        <v>1</v>
      </c>
      <c r="AG882" s="86">
        <f>AVERAGEIFS($C$2:C882, $B$2:B882, B882)</f>
        <v>12.111111111111111</v>
      </c>
      <c r="AH882" s="86">
        <f>AVERAGEIFS($I$2:I882, $B$2:B882, B882)</f>
        <v>0.43888888888888888</v>
      </c>
      <c r="AI882" s="86">
        <f>AVERAGEIFS($J$2:J882, $B$2:B882, B882)</f>
        <v>0.50555555555555565</v>
      </c>
      <c r="AJ882" s="86">
        <f>AVERAGEIFS($D$2:D882, $B$2:B882, B882)</f>
        <v>0.55555555555555558</v>
      </c>
    </row>
    <row r="883" spans="1:36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1</v>
      </c>
      <c r="AC883">
        <v>0</v>
      </c>
      <c r="AD883">
        <v>1</v>
      </c>
      <c r="AE883">
        <v>0</v>
      </c>
      <c r="AF883">
        <v>1</v>
      </c>
      <c r="AG883" s="86">
        <f>AVERAGEIFS($C$2:C883, $B$2:B883, B883)</f>
        <v>18.435897435897434</v>
      </c>
      <c r="AH883" s="86">
        <f>AVERAGEIFS($I$2:I883, $B$2:B883, B883)</f>
        <v>0.4358974358974359</v>
      </c>
      <c r="AI883" s="86">
        <f>AVERAGEIFS($J$2:J883, $B$2:B883, B883)</f>
        <v>0.44410256410256405</v>
      </c>
      <c r="AJ883" s="86">
        <f>AVERAGEIFS($D$2:D883, $B$2:B883, B883)</f>
        <v>0.4358974358974359</v>
      </c>
    </row>
    <row r="884" spans="1:36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1</v>
      </c>
      <c r="AD884">
        <v>0</v>
      </c>
      <c r="AE884">
        <v>0</v>
      </c>
      <c r="AF884">
        <v>0</v>
      </c>
      <c r="AG884" s="86">
        <f>AVERAGEIFS($C$2:C884, $B$2:B884, B884)</f>
        <v>21.864406779661017</v>
      </c>
      <c r="AH884" s="86">
        <f>AVERAGEIFS($I$2:I884, $B$2:B884, B884)</f>
        <v>0.51830508474576276</v>
      </c>
      <c r="AI884" s="86">
        <f>AVERAGEIFS($J$2:J884, $B$2:B884, B884)</f>
        <v>0.51813559322033897</v>
      </c>
      <c r="AJ884" s="86">
        <f>AVERAGEIFS($D$2:D884, $B$2:B884, B884)</f>
        <v>0.57627118644067798</v>
      </c>
    </row>
    <row r="885" spans="1:36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1</v>
      </c>
      <c r="AD885">
        <v>0</v>
      </c>
      <c r="AE885">
        <v>0</v>
      </c>
      <c r="AF885">
        <v>0</v>
      </c>
      <c r="AG885" s="86">
        <f>AVERAGEIFS($C$2:C885, $B$2:B885, B885)</f>
        <v>19.391304347826086</v>
      </c>
      <c r="AH885" s="86">
        <f>AVERAGEIFS($I$2:I885, $B$2:B885, B885)</f>
        <v>0.61173913043478256</v>
      </c>
      <c r="AI885" s="86">
        <f>AVERAGEIFS($J$2:J885, $B$2:B885, B885)</f>
        <v>0.55652173913043479</v>
      </c>
      <c r="AJ885" s="86">
        <f>AVERAGEIFS($D$2:D885, $B$2:B885, B885)</f>
        <v>0.73913043478260865</v>
      </c>
    </row>
    <row r="886" spans="1:36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1</v>
      </c>
      <c r="AD886">
        <v>0</v>
      </c>
      <c r="AE886">
        <v>0</v>
      </c>
      <c r="AF886">
        <v>0</v>
      </c>
      <c r="AG886" s="86">
        <f>AVERAGEIFS($C$2:C886, $B$2:B886, B886)</f>
        <v>19.757575757575758</v>
      </c>
      <c r="AH886" s="86">
        <f>AVERAGEIFS($I$2:I886, $B$2:B886, B886)</f>
        <v>0.51424242424242417</v>
      </c>
      <c r="AI886" s="86">
        <f>AVERAGEIFS($J$2:J886, $B$2:B886, B886)</f>
        <v>0.48818181818181827</v>
      </c>
      <c r="AJ886" s="86">
        <f>AVERAGEIFS($D$2:D886, $B$2:B886, B886)</f>
        <v>0.51515151515151514</v>
      </c>
    </row>
    <row r="887" spans="1:36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1</v>
      </c>
      <c r="AD887">
        <v>0</v>
      </c>
      <c r="AE887">
        <v>0</v>
      </c>
      <c r="AF887">
        <v>0</v>
      </c>
      <c r="AG887" s="86">
        <f>AVERAGEIFS($C$2:C887, $B$2:B887, B887)</f>
        <v>18.267857142857142</v>
      </c>
      <c r="AH887" s="86">
        <f>AVERAGEIFS($I$2:I887, $B$2:B887, B887)</f>
        <v>0.48928571428571416</v>
      </c>
      <c r="AI887" s="86">
        <f>AVERAGEIFS($J$2:J887, $B$2:B887, B887)</f>
        <v>0.48500000000000004</v>
      </c>
      <c r="AJ887" s="86">
        <f>AVERAGEIFS($D$2:D887, $B$2:B887, B887)</f>
        <v>0.42857142857142855</v>
      </c>
    </row>
    <row r="888" spans="1:36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1</v>
      </c>
      <c r="AD888">
        <v>0</v>
      </c>
      <c r="AE888">
        <v>0</v>
      </c>
      <c r="AF888">
        <v>0</v>
      </c>
      <c r="AG888" s="86">
        <f>AVERAGEIFS($C$2:C888, $B$2:B888, B888)</f>
        <v>16.026315789473685</v>
      </c>
      <c r="AH888" s="86">
        <f>AVERAGEIFS($I$2:I888, $B$2:B888, B888)</f>
        <v>0.51710526315789473</v>
      </c>
      <c r="AI888" s="86">
        <f>AVERAGEIFS($J$2:J888, $B$2:B888, B888)</f>
        <v>0.5178947368421053</v>
      </c>
      <c r="AJ888" s="86">
        <f>AVERAGEIFS($D$2:D888, $B$2:B888, B888)</f>
        <v>0.55263157894736847</v>
      </c>
    </row>
    <row r="889" spans="1:36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1</v>
      </c>
      <c r="AD889">
        <v>0</v>
      </c>
      <c r="AE889">
        <v>0</v>
      </c>
      <c r="AF889">
        <v>0</v>
      </c>
      <c r="AG889" s="86">
        <f>AVERAGEIFS($C$2:C889, $B$2:B889, B889)</f>
        <v>10.475</v>
      </c>
      <c r="AH889" s="86">
        <f>AVERAGEIFS($I$2:I889, $B$2:B889, B889)</f>
        <v>0.45825000000000005</v>
      </c>
      <c r="AI889" s="86">
        <f>AVERAGEIFS($J$2:J889, $B$2:B889, B889)</f>
        <v>0.48549999999999993</v>
      </c>
      <c r="AJ889" s="86">
        <f>AVERAGEIFS($D$2:D889, $B$2:B889, B889)</f>
        <v>0.42499999999999999</v>
      </c>
    </row>
    <row r="890" spans="1:36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 s="86">
        <f>AVERAGEIFS($C$2:C890, $B$2:B890, B890)</f>
        <v>16.179487179487179</v>
      </c>
      <c r="AH890" s="86">
        <f>AVERAGEIFS($I$2:I890, $B$2:B890, B890)</f>
        <v>0.5346153846153846</v>
      </c>
      <c r="AI890" s="86">
        <f>AVERAGEIFS($J$2:J890, $B$2:B890, B890)</f>
        <v>0.54102564102564099</v>
      </c>
      <c r="AJ890" s="86">
        <f>AVERAGEIFS($D$2:D890, $B$2:B890, B890)</f>
        <v>0.64102564102564108</v>
      </c>
    </row>
    <row r="891" spans="1:36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 s="86">
        <f>AVERAGEIFS($C$2:C891, $B$2:B891, B891)</f>
        <v>25.84375</v>
      </c>
      <c r="AH891" s="86">
        <f>AVERAGEIFS($I$2:I891, $B$2:B891, B891)</f>
        <v>0.49531250000000004</v>
      </c>
      <c r="AI891" s="86">
        <f>AVERAGEIFS($J$2:J891, $B$2:B891, B891)</f>
        <v>0.49656250000000007</v>
      </c>
      <c r="AJ891" s="86">
        <f>AVERAGEIFS($D$2:D891, $B$2:B891, B891)</f>
        <v>0.53125</v>
      </c>
    </row>
    <row r="892" spans="1:36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 s="86">
        <f>AVERAGEIFS($C$2:C892, $B$2:B892, B892)</f>
        <v>19.291666666666668</v>
      </c>
      <c r="AH892" s="86">
        <f>AVERAGEIFS($I$2:I892, $B$2:B892, B892)</f>
        <v>0.61749999999999994</v>
      </c>
      <c r="AI892" s="86">
        <f>AVERAGEIFS($J$2:J892, $B$2:B892, B892)</f>
        <v>0.55666666666666675</v>
      </c>
      <c r="AJ892" s="86">
        <f>AVERAGEIFS($D$2:D892, $B$2:B892, B892)</f>
        <v>0.75</v>
      </c>
    </row>
    <row r="893" spans="1:36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 s="86">
        <f>AVERAGEIFS($C$2:C893, $B$2:B893, B893)</f>
        <v>16.625</v>
      </c>
      <c r="AH893" s="86">
        <f>AVERAGEIFS($I$2:I893, $B$2:B893, B893)</f>
        <v>0.63749999999999996</v>
      </c>
      <c r="AI893" s="86">
        <f>AVERAGEIFS($J$2:J893, $B$2:B893, B893)</f>
        <v>0.59687500000000016</v>
      </c>
      <c r="AJ893" s="86">
        <f>AVERAGEIFS($D$2:D893, $B$2:B893, B893)</f>
        <v>0.625</v>
      </c>
    </row>
    <row r="894" spans="1:36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 s="86">
        <f>AVERAGEIFS($C$2:C894, $B$2:B894, B894)</f>
        <v>15.948717948717949</v>
      </c>
      <c r="AH894" s="86">
        <f>AVERAGEIFS($I$2:I894, $B$2:B894, B894)</f>
        <v>0.52307692307692299</v>
      </c>
      <c r="AI894" s="86">
        <f>AVERAGEIFS($J$2:J894, $B$2:B894, B894)</f>
        <v>0.51897435897435895</v>
      </c>
      <c r="AJ894" s="86">
        <f>AVERAGEIFS($D$2:D894, $B$2:B894, B894)</f>
        <v>0.5641025641025641</v>
      </c>
    </row>
    <row r="895" spans="1:36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 s="86">
        <f>AVERAGEIFS($C$2:C895, $B$2:B895, B895)</f>
        <v>5</v>
      </c>
      <c r="AH895" s="86">
        <f>AVERAGEIFS($I$2:I895, $B$2:B895, B895)</f>
        <v>0.7</v>
      </c>
      <c r="AI895" s="86">
        <f>AVERAGEIFS($J$2:J895, $B$2:B895, B895)</f>
        <v>0.56399999999999995</v>
      </c>
      <c r="AJ895" s="86">
        <f>AVERAGEIFS($D$2:D895, $B$2:B895, B895)</f>
        <v>0.8</v>
      </c>
    </row>
    <row r="896" spans="1:36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1</v>
      </c>
      <c r="AC896">
        <v>0</v>
      </c>
      <c r="AD896">
        <v>0</v>
      </c>
      <c r="AE896">
        <v>0</v>
      </c>
      <c r="AF896">
        <v>0</v>
      </c>
      <c r="AG896" s="86">
        <f>AVERAGEIFS($C$2:C896, $B$2:B896, B896)</f>
        <v>24.666666666666668</v>
      </c>
      <c r="AH896" s="86">
        <f>AVERAGEIFS($I$2:I896, $B$2:B896, B896)</f>
        <v>0.43166666666666664</v>
      </c>
      <c r="AI896" s="86">
        <f>AVERAGEIFS($J$2:J896, $B$2:B896, B896)</f>
        <v>0.45966666666666661</v>
      </c>
      <c r="AJ896" s="86">
        <f>AVERAGEIFS($D$2:D896, $B$2:B896, B896)</f>
        <v>0.33333333333333331</v>
      </c>
    </row>
    <row r="897" spans="1:36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1</v>
      </c>
      <c r="AC897">
        <v>0</v>
      </c>
      <c r="AD897">
        <v>0</v>
      </c>
      <c r="AE897">
        <v>0</v>
      </c>
      <c r="AF897">
        <v>0</v>
      </c>
      <c r="AG897" s="86">
        <f>AVERAGEIFS($C$2:C897, $B$2:B897, B897)</f>
        <v>23</v>
      </c>
      <c r="AH897" s="86">
        <f>AVERAGEIFS($I$2:I897, $B$2:B897, B897)</f>
        <v>0.54675675675675672</v>
      </c>
      <c r="AI897" s="86">
        <f>AVERAGEIFS($J$2:J897, $B$2:B897, B897)</f>
        <v>0.54324324324324325</v>
      </c>
      <c r="AJ897" s="86">
        <f>AVERAGEIFS($D$2:D897, $B$2:B897, B897)</f>
        <v>0.54054054054054057</v>
      </c>
    </row>
    <row r="898" spans="1:36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1</v>
      </c>
      <c r="AC898">
        <v>0</v>
      </c>
      <c r="AD898">
        <v>0</v>
      </c>
      <c r="AE898">
        <v>0</v>
      </c>
      <c r="AF898">
        <v>0</v>
      </c>
      <c r="AG898" s="86">
        <f>AVERAGEIFS($C$2:C898, $B$2:B898, B898)</f>
        <v>17.588235294117649</v>
      </c>
      <c r="AH898" s="86">
        <f>AVERAGEIFS($I$2:I898, $B$2:B898, B898)</f>
        <v>0.57500000000000007</v>
      </c>
      <c r="AI898" s="86">
        <f>AVERAGEIFS($J$2:J898, $B$2:B898, B898)</f>
        <v>0.53500000000000014</v>
      </c>
      <c r="AJ898" s="86">
        <f>AVERAGEIFS($D$2:D898, $B$2:B898, B898)</f>
        <v>0.55882352941176472</v>
      </c>
    </row>
    <row r="899" spans="1:36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1</v>
      </c>
      <c r="AC899">
        <v>0</v>
      </c>
      <c r="AD899">
        <v>0</v>
      </c>
      <c r="AE899">
        <v>0</v>
      </c>
      <c r="AF899">
        <v>0</v>
      </c>
      <c r="AG899" s="86">
        <f>AVERAGEIFS($C$2:C899, $B$2:B899, B899)</f>
        <v>11.476190476190476</v>
      </c>
      <c r="AH899" s="86">
        <f>AVERAGEIFS($I$2:I899, $B$2:B899, B899)</f>
        <v>0.56428571428571428</v>
      </c>
      <c r="AI899" s="86">
        <f>AVERAGEIFS($J$2:J899, $B$2:B899, B899)</f>
        <v>0.54095238095238085</v>
      </c>
      <c r="AJ899" s="86">
        <f>AVERAGEIFS($D$2:D899, $B$2:B899, B899)</f>
        <v>0.52380952380952384</v>
      </c>
    </row>
    <row r="900" spans="1:36" x14ac:dyDescent="0.25">
      <c r="A900" s="85">
        <v>46130</v>
      </c>
      <c r="B900" t="s">
        <v>168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1</v>
      </c>
      <c r="AC900">
        <v>0</v>
      </c>
      <c r="AD900">
        <v>0</v>
      </c>
      <c r="AE900">
        <v>0</v>
      </c>
      <c r="AF900">
        <v>0</v>
      </c>
      <c r="AG900" s="86">
        <f>AVERAGEIFS($C$2:C900, $B$2:B900, B900)</f>
        <v>10</v>
      </c>
      <c r="AH900" s="86">
        <f>AVERAGEIFS($I$2:I900, $B$2:B900, B900)</f>
        <v>0.46666666666666662</v>
      </c>
      <c r="AI900" s="86">
        <f>AVERAGEIFS($J$2:J900, $B$2:B900, B900)</f>
        <v>0.48333333333333334</v>
      </c>
      <c r="AJ900" s="86">
        <f>AVERAGEIFS($D$2:D900, $B$2:B900, B900)</f>
        <v>0.33333333333333331</v>
      </c>
    </row>
    <row r="901" spans="1:36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1</v>
      </c>
      <c r="AC901">
        <v>0</v>
      </c>
      <c r="AD901">
        <v>0</v>
      </c>
      <c r="AE901">
        <v>0</v>
      </c>
      <c r="AF901">
        <v>0</v>
      </c>
      <c r="AG901" s="86">
        <f>AVERAGEIFS($C$2:C901, $B$2:B901, B901)</f>
        <v>14.72</v>
      </c>
      <c r="AH901" s="86">
        <f>AVERAGEIFS($I$2:I901, $B$2:B901, B901)</f>
        <v>0.49400000000000005</v>
      </c>
      <c r="AI901" s="86">
        <f>AVERAGEIFS($J$2:J901, $B$2:B901, B901)</f>
        <v>0.49480000000000002</v>
      </c>
      <c r="AJ901" s="86">
        <f>AVERAGEIFS($D$2:D901, $B$2:B901, B901)</f>
        <v>0.4</v>
      </c>
    </row>
    <row r="902" spans="1:36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1</v>
      </c>
      <c r="AE902">
        <v>0</v>
      </c>
      <c r="AF902">
        <v>1</v>
      </c>
      <c r="AG902" s="86">
        <f>AVERAGEIFS($C$2:C902, $B$2:B902, B902)</f>
        <v>26.545454545454547</v>
      </c>
      <c r="AH902" s="86">
        <f>AVERAGEIFS($I$2:I902, $B$2:B902, B902)</f>
        <v>0.49848484848484859</v>
      </c>
      <c r="AI902" s="86">
        <f>AVERAGEIFS($J$2:J902, $B$2:B902, B902)</f>
        <v>0.49727272727272737</v>
      </c>
      <c r="AJ902" s="86">
        <f>AVERAGEIFS($D$2:D902, $B$2:B902, B902)</f>
        <v>0.54545454545454541</v>
      </c>
    </row>
    <row r="903" spans="1:36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1</v>
      </c>
      <c r="AE903">
        <v>0</v>
      </c>
      <c r="AF903">
        <v>1</v>
      </c>
      <c r="AG903" s="86">
        <f>AVERAGEIFS($C$2:C903, $B$2:B903, B903)</f>
        <v>18.508771929824562</v>
      </c>
      <c r="AH903" s="86">
        <f>AVERAGEIFS($I$2:I903, $B$2:B903, B903)</f>
        <v>0.49122807017543846</v>
      </c>
      <c r="AI903" s="86">
        <f>AVERAGEIFS($J$2:J903, $B$2:B903, B903)</f>
        <v>0.48561403508771933</v>
      </c>
      <c r="AJ903" s="86">
        <f>AVERAGEIFS($D$2:D903, $B$2:B903, B903)</f>
        <v>0.43859649122807015</v>
      </c>
    </row>
    <row r="904" spans="1:36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1</v>
      </c>
      <c r="AE904">
        <v>0</v>
      </c>
      <c r="AF904">
        <v>1</v>
      </c>
      <c r="AG904" s="86">
        <f>AVERAGEIFS($C$2:C904, $B$2:B904, B904)</f>
        <v>16.375</v>
      </c>
      <c r="AH904" s="86">
        <f>AVERAGEIFS($I$2:I904, $B$2:B904, B904)</f>
        <v>0.53625</v>
      </c>
      <c r="AI904" s="86">
        <f>AVERAGEIFS($J$2:J904, $B$2:B904, B904)</f>
        <v>0.54049999999999998</v>
      </c>
      <c r="AJ904" s="86">
        <f>AVERAGEIFS($D$2:D904, $B$2:B904, B904)</f>
        <v>0.65</v>
      </c>
    </row>
    <row r="905" spans="1:36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1</v>
      </c>
      <c r="AE905">
        <v>0</v>
      </c>
      <c r="AF905">
        <v>1</v>
      </c>
      <c r="AG905" s="86">
        <f>AVERAGEIFS($C$2:C905, $B$2:B905, B905)</f>
        <v>16.100000000000001</v>
      </c>
      <c r="AH905" s="86">
        <f>AVERAGEIFS($I$2:I905, $B$2:B905, B905)</f>
        <v>0.52500000000000002</v>
      </c>
      <c r="AI905" s="86">
        <f>AVERAGEIFS($J$2:J905, $B$2:B905, B905)</f>
        <v>0.51899999999999991</v>
      </c>
      <c r="AJ905" s="86">
        <f>AVERAGEIFS($D$2:D905, $B$2:B905, B905)</f>
        <v>0.57499999999999996</v>
      </c>
    </row>
    <row r="906" spans="1:36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1</v>
      </c>
      <c r="AE906">
        <v>0</v>
      </c>
      <c r="AF906">
        <v>1</v>
      </c>
      <c r="AG906" s="86">
        <f>AVERAGEIFS($C$2:C906, $B$2:B906, B906)</f>
        <v>12.8</v>
      </c>
      <c r="AH906" s="86">
        <f>AVERAGEIFS($I$2:I906, $B$2:B906, B906)</f>
        <v>0.45499999999999996</v>
      </c>
      <c r="AI906" s="86">
        <f>AVERAGEIFS($J$2:J906, $B$2:B906, B906)</f>
        <v>0.50700000000000001</v>
      </c>
      <c r="AJ906" s="86">
        <f>AVERAGEIFS($D$2:D906, $B$2:B906, B906)</f>
        <v>0.6</v>
      </c>
    </row>
    <row r="907" spans="1:36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1</v>
      </c>
      <c r="AE907">
        <v>0</v>
      </c>
      <c r="AF907">
        <v>1</v>
      </c>
      <c r="AG907" s="86">
        <f>AVERAGEIFS($C$2:C907, $B$2:B907, B907)</f>
        <v>6.333333333333333</v>
      </c>
      <c r="AH907" s="86">
        <f>AVERAGEIFS($I$2:I907, $B$2:B907, B907)</f>
        <v>0.45</v>
      </c>
      <c r="AI907" s="86">
        <f>AVERAGEIFS($J$2:J907, $B$2:B907, B907)</f>
        <v>0.47666666666666663</v>
      </c>
      <c r="AJ907" s="86">
        <f>AVERAGEIFS($D$2:D907, $B$2:B907, B907)</f>
        <v>0.66666666666666663</v>
      </c>
    </row>
    <row r="908" spans="1:36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1</v>
      </c>
      <c r="AC908">
        <v>0</v>
      </c>
      <c r="AD908">
        <v>0</v>
      </c>
      <c r="AE908">
        <v>0</v>
      </c>
      <c r="AF908">
        <v>0</v>
      </c>
      <c r="AG908" s="86">
        <f>AVERAGEIFS($C$2:C908, $B$2:B908, B908)</f>
        <v>20</v>
      </c>
      <c r="AH908" s="86">
        <f>AVERAGEIFS($I$2:I908, $B$2:B908, B908)</f>
        <v>0.60880000000000001</v>
      </c>
      <c r="AI908" s="86">
        <f>AVERAGEIFS($J$2:J908, $B$2:B908, B908)</f>
        <v>0.55360000000000009</v>
      </c>
      <c r="AJ908" s="86">
        <f>AVERAGEIFS($D$2:D908, $B$2:B908, B908)</f>
        <v>0.72</v>
      </c>
    </row>
    <row r="909" spans="1:36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1</v>
      </c>
      <c r="AC909">
        <v>0</v>
      </c>
      <c r="AD909">
        <v>0</v>
      </c>
      <c r="AE909">
        <v>0</v>
      </c>
      <c r="AF909">
        <v>0</v>
      </c>
      <c r="AG909" s="86">
        <f>AVERAGEIFS($C$2:C909, $B$2:B909, B909)</f>
        <v>24.967741935483872</v>
      </c>
      <c r="AH909" s="86">
        <f>AVERAGEIFS($I$2:I909, $B$2:B909, B909)</f>
        <v>0.43064516129032254</v>
      </c>
      <c r="AI909" s="86">
        <f>AVERAGEIFS($J$2:J909, $B$2:B909, B909)</f>
        <v>0.46032258064516129</v>
      </c>
      <c r="AJ909" s="86">
        <f>AVERAGEIFS($D$2:D909, $B$2:B909, B909)</f>
        <v>0.32258064516129031</v>
      </c>
    </row>
    <row r="910" spans="1:36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1</v>
      </c>
      <c r="AC910">
        <v>0</v>
      </c>
      <c r="AD910">
        <v>0</v>
      </c>
      <c r="AE910">
        <v>0</v>
      </c>
      <c r="AF910">
        <v>0</v>
      </c>
      <c r="AG910" s="86">
        <f>AVERAGEIFS($C$2:C910, $B$2:B910, B910)</f>
        <v>17.942857142857143</v>
      </c>
      <c r="AH910" s="86">
        <f>AVERAGEIFS($I$2:I910, $B$2:B910, B910)</f>
        <v>0.56999999999999995</v>
      </c>
      <c r="AI910" s="86">
        <f>AVERAGEIFS($J$2:J910, $B$2:B910, B910)</f>
        <v>0.53342857142857159</v>
      </c>
      <c r="AJ910" s="86">
        <f>AVERAGEIFS($D$2:D910, $B$2:B910, B910)</f>
        <v>0.54285714285714282</v>
      </c>
    </row>
    <row r="911" spans="1:36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1</v>
      </c>
      <c r="AC911">
        <v>0</v>
      </c>
      <c r="AD911">
        <v>0</v>
      </c>
      <c r="AE911">
        <v>0</v>
      </c>
      <c r="AF911">
        <v>0</v>
      </c>
      <c r="AG911" s="86">
        <f>AVERAGEIFS($C$2:C911, $B$2:B911, B911)</f>
        <v>12.045454545454545</v>
      </c>
      <c r="AH911" s="86">
        <f>AVERAGEIFS($I$2:I911, $B$2:B911, B911)</f>
        <v>0.55681818181818177</v>
      </c>
      <c r="AI911" s="86">
        <f>AVERAGEIFS($J$2:J911, $B$2:B911, B911)</f>
        <v>0.53818181818181809</v>
      </c>
      <c r="AJ911" s="86">
        <f>AVERAGEIFS($D$2:D911, $B$2:B911, B911)</f>
        <v>0.5</v>
      </c>
    </row>
    <row r="912" spans="1:36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1</v>
      </c>
      <c r="AC912">
        <v>0</v>
      </c>
      <c r="AD912">
        <v>0</v>
      </c>
      <c r="AE912">
        <v>0</v>
      </c>
      <c r="AF912">
        <v>0</v>
      </c>
      <c r="AG912" s="86">
        <f>AVERAGEIFS($C$2:C912, $B$2:B912, B912)</f>
        <v>12.62962962962963</v>
      </c>
      <c r="AH912" s="86">
        <f>AVERAGEIFS($I$2:I912, $B$2:B912, B912)</f>
        <v>0.45</v>
      </c>
      <c r="AI912" s="86">
        <f>AVERAGEIFS($J$2:J912, $B$2:B912, B912)</f>
        <v>0.47</v>
      </c>
      <c r="AJ912" s="86">
        <f>AVERAGEIFS($D$2:D912, $B$2:B912, B912)</f>
        <v>0.48148148148148145</v>
      </c>
    </row>
    <row r="913" spans="1:36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1</v>
      </c>
      <c r="AC913">
        <v>0</v>
      </c>
      <c r="AD913">
        <v>0</v>
      </c>
      <c r="AE913">
        <v>0</v>
      </c>
      <c r="AF913">
        <v>0</v>
      </c>
      <c r="AG913" s="86">
        <f>AVERAGEIFS($C$2:C913, $B$2:B913, B913)</f>
        <v>5.166666666666667</v>
      </c>
      <c r="AH913" s="86">
        <f>AVERAGEIFS($I$2:I913, $B$2:B913, B913)</f>
        <v>0.65</v>
      </c>
      <c r="AI913" s="86">
        <f>AVERAGEIFS($J$2:J913, $B$2:B913, B913)</f>
        <v>0.54999999999999993</v>
      </c>
      <c r="AJ913" s="86">
        <f>AVERAGEIFS($D$2:D913, $B$2:B913, B913)</f>
        <v>0.66666666666666663</v>
      </c>
    </row>
    <row r="914" spans="1:36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1</v>
      </c>
      <c r="AC914">
        <v>0</v>
      </c>
      <c r="AD914">
        <v>1</v>
      </c>
      <c r="AE914">
        <v>0</v>
      </c>
      <c r="AF914">
        <v>0</v>
      </c>
      <c r="AG914" s="86">
        <f>AVERAGEIFS($C$2:C914, $B$2:B914, B914)</f>
        <v>23.581818181818182</v>
      </c>
      <c r="AH914" s="86">
        <f>AVERAGEIFS($I$2:I914, $B$2:B914, B914)</f>
        <v>0.54309090909090918</v>
      </c>
      <c r="AI914" s="86">
        <f>AVERAGEIFS($J$2:J914, $B$2:B914, B914)</f>
        <v>0.51436363636363625</v>
      </c>
      <c r="AJ914" s="86">
        <f>AVERAGEIFS($D$2:D914, $B$2:B914, B914)</f>
        <v>0.5636363636363636</v>
      </c>
    </row>
    <row r="915" spans="1:36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1</v>
      </c>
      <c r="AC915">
        <v>0</v>
      </c>
      <c r="AD915">
        <v>1</v>
      </c>
      <c r="AE915">
        <v>0</v>
      </c>
      <c r="AF915">
        <v>0</v>
      </c>
      <c r="AG915" s="86">
        <f>AVERAGEIFS($C$2:C915, $B$2:B915, B915)</f>
        <v>25.03125</v>
      </c>
      <c r="AH915" s="86">
        <f>AVERAGEIFS($I$2:I915, $B$2:B915, B915)</f>
        <v>0.43593749999999998</v>
      </c>
      <c r="AI915" s="86">
        <f>AVERAGEIFS($J$2:J915, $B$2:B915, B915)</f>
        <v>0.46406249999999999</v>
      </c>
      <c r="AJ915" s="86">
        <f>AVERAGEIFS($D$2:D915, $B$2:B915, B915)</f>
        <v>0.34375</v>
      </c>
    </row>
    <row r="916" spans="1:36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1</v>
      </c>
      <c r="AC916">
        <v>0</v>
      </c>
      <c r="AD916">
        <v>1</v>
      </c>
      <c r="AE916">
        <v>0</v>
      </c>
      <c r="AF916">
        <v>0</v>
      </c>
      <c r="AG916" s="86">
        <f>AVERAGEIFS($C$2:C916, $B$2:B916, B916)</f>
        <v>18.5</v>
      </c>
      <c r="AH916" s="86">
        <f>AVERAGEIFS($I$2:I916, $B$2:B916, B916)</f>
        <v>0.44000000000000006</v>
      </c>
      <c r="AI916" s="86">
        <f>AVERAGEIFS($J$2:J916, $B$2:B916, B916)</f>
        <v>0.4474999999999999</v>
      </c>
      <c r="AJ916" s="86">
        <f>AVERAGEIFS($D$2:D916, $B$2:B916, B916)</f>
        <v>0.45</v>
      </c>
    </row>
    <row r="917" spans="1:36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1</v>
      </c>
      <c r="AC917">
        <v>0</v>
      </c>
      <c r="AD917">
        <v>1</v>
      </c>
      <c r="AE917">
        <v>0</v>
      </c>
      <c r="AF917">
        <v>0</v>
      </c>
      <c r="AG917" s="86">
        <f>AVERAGEIFS($C$2:C917, $B$2:B917, B917)</f>
        <v>19.794117647058822</v>
      </c>
      <c r="AH917" s="86">
        <f>AVERAGEIFS($I$2:I917, $B$2:B917, B917)</f>
        <v>0.5167647058823529</v>
      </c>
      <c r="AI917" s="86">
        <f>AVERAGEIFS($J$2:J917, $B$2:B917, B917)</f>
        <v>0.49088235294117649</v>
      </c>
      <c r="AJ917" s="86">
        <f>AVERAGEIFS($D$2:D917, $B$2:B917, B917)</f>
        <v>0.52941176470588236</v>
      </c>
    </row>
    <row r="918" spans="1:36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1</v>
      </c>
      <c r="AC918">
        <v>0</v>
      </c>
      <c r="AD918">
        <v>1</v>
      </c>
      <c r="AE918">
        <v>0</v>
      </c>
      <c r="AF918">
        <v>0</v>
      </c>
      <c r="AG918" s="86">
        <f>AVERAGEIFS($C$2:C918, $B$2:B918, B918)</f>
        <v>18.135135135135137</v>
      </c>
      <c r="AH918" s="86">
        <f>AVERAGEIFS($I$2:I918, $B$2:B918, B918)</f>
        <v>0.52243243243243254</v>
      </c>
      <c r="AI918" s="86">
        <f>AVERAGEIFS($J$2:J918, $B$2:B918, B918)</f>
        <v>0.52054054054054044</v>
      </c>
      <c r="AJ918" s="86">
        <f>AVERAGEIFS($D$2:D918, $B$2:B918, B918)</f>
        <v>0.54054054054054057</v>
      </c>
    </row>
    <row r="919" spans="1:36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1</v>
      </c>
      <c r="AC919">
        <v>0</v>
      </c>
      <c r="AD919">
        <v>1</v>
      </c>
      <c r="AE919">
        <v>0</v>
      </c>
      <c r="AF919">
        <v>0</v>
      </c>
      <c r="AG919" s="86">
        <f>AVERAGEIFS($C$2:C919, $B$2:B919, B919)</f>
        <v>16.048780487804876</v>
      </c>
      <c r="AH919" s="86">
        <f>AVERAGEIFS($I$2:I919, $B$2:B919, B919)</f>
        <v>0.52682926829268295</v>
      </c>
      <c r="AI919" s="86">
        <f>AVERAGEIFS($J$2:J919, $B$2:B919, B919)</f>
        <v>0.52048780487804869</v>
      </c>
      <c r="AJ919" s="86">
        <f>AVERAGEIFS($D$2:D919, $B$2:B919, B919)</f>
        <v>0.58536585365853655</v>
      </c>
    </row>
    <row r="920" spans="1:36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 s="86">
        <f>AVERAGEIFS($C$2:C920, $B$2:B920, B920)</f>
        <v>26.647058823529413</v>
      </c>
      <c r="AH920" s="86">
        <f>AVERAGEIFS($I$2:I920, $B$2:B920, B920)</f>
        <v>0.49558823529411766</v>
      </c>
      <c r="AI920" s="86">
        <f>AVERAGEIFS($J$2:J920, $B$2:B920, B920)</f>
        <v>0.49500000000000016</v>
      </c>
      <c r="AJ920" s="86">
        <f>AVERAGEIFS($D$2:D920, $B$2:B920, B920)</f>
        <v>0.52941176470588236</v>
      </c>
    </row>
    <row r="921" spans="1:36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 s="86">
        <f>AVERAGEIFS($C$2:C921, $B$2:B921, B921)</f>
        <v>20</v>
      </c>
      <c r="AH921" s="86">
        <f>AVERAGEIFS($I$2:I921, $B$2:B921, B921)</f>
        <v>0.60076923076923072</v>
      </c>
      <c r="AI921" s="86">
        <f>AVERAGEIFS($J$2:J921, $B$2:B921, B921)</f>
        <v>0.54846153846153856</v>
      </c>
      <c r="AJ921" s="86">
        <f>AVERAGEIFS($D$2:D921, $B$2:B921, B921)</f>
        <v>0.69230769230769229</v>
      </c>
    </row>
    <row r="922" spans="1:36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 s="86">
        <f>AVERAGEIFS($C$2:C922, $B$2:B922, B922)</f>
        <v>18.517241379310345</v>
      </c>
      <c r="AH922" s="86">
        <f>AVERAGEIFS($I$2:I922, $B$2:B922, B922)</f>
        <v>0.48965517241379297</v>
      </c>
      <c r="AI922" s="86">
        <f>AVERAGEIFS($J$2:J922, $B$2:B922, B922)</f>
        <v>0.48448275862068974</v>
      </c>
      <c r="AJ922" s="86">
        <f>AVERAGEIFS($D$2:D922, $B$2:B922, B922)</f>
        <v>0.43103448275862066</v>
      </c>
    </row>
    <row r="923" spans="1:36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 s="86">
        <f>AVERAGEIFS($C$2:C923, $B$2:B923, B923)</f>
        <v>16.414634146341463</v>
      </c>
      <c r="AH923" s="86">
        <f>AVERAGEIFS($I$2:I923, $B$2:B923, B923)</f>
        <v>0.5329268292682926</v>
      </c>
      <c r="AI923" s="86">
        <f>AVERAGEIFS($J$2:J923, $B$2:B923, B923)</f>
        <v>0.53756097560975613</v>
      </c>
      <c r="AJ923" s="86">
        <f>AVERAGEIFS($D$2:D923, $B$2:B923, B923)</f>
        <v>0.63414634146341464</v>
      </c>
    </row>
    <row r="924" spans="1:36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 s="86">
        <f>AVERAGEIFS($C$2:C924, $B$2:B924, B924)</f>
        <v>17.916666666666668</v>
      </c>
      <c r="AH924" s="86">
        <f>AVERAGEIFS($I$2:I924, $B$2:B924, B924)</f>
        <v>0.56527777777777777</v>
      </c>
      <c r="AI924" s="86">
        <f>AVERAGEIFS($J$2:J924, $B$2:B924, B924)</f>
        <v>0.53027777777777796</v>
      </c>
      <c r="AJ924" s="86">
        <f>AVERAGEIFS($D$2:D924, $B$2:B924, B924)</f>
        <v>0.52777777777777779</v>
      </c>
    </row>
    <row r="925" spans="1:36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 s="86">
        <f>AVERAGEIFS($C$2:C925, $B$2:B925, B925)</f>
        <v>11.869565217391305</v>
      </c>
      <c r="AH925" s="86">
        <f>AVERAGEIFS($I$2:I925, $B$2:B925, B925)</f>
        <v>0.55000000000000004</v>
      </c>
      <c r="AI925" s="86">
        <f>AVERAGEIFS($J$2:J925, $B$2:B925, B925)</f>
        <v>0.53304347826086951</v>
      </c>
      <c r="AJ925" s="86">
        <f>AVERAGEIFS($D$2:D925, $B$2:B925, B925)</f>
        <v>0.47826086956521741</v>
      </c>
    </row>
    <row r="926" spans="1:36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1</v>
      </c>
      <c r="AG926" s="86">
        <f>AVERAGEIFS($C$2:C926, $B$2:B926, B926)</f>
        <v>21.9</v>
      </c>
      <c r="AH926" s="86">
        <f>AVERAGEIFS($I$2:I926, $B$2:B926, B926)</f>
        <v>0.52216666666666667</v>
      </c>
      <c r="AI926" s="86">
        <f>AVERAGEIFS($J$2:J926, $B$2:B926, B926)</f>
        <v>0.51883333333333337</v>
      </c>
      <c r="AJ926" s="86">
        <f>AVERAGEIFS($D$2:D926, $B$2:B926, B926)</f>
        <v>0.58333333333333337</v>
      </c>
    </row>
    <row r="927" spans="1:36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1</v>
      </c>
      <c r="AG927" s="86">
        <f>AVERAGEIFS($C$2:C927, $B$2:B927, B927)</f>
        <v>19.857142857142858</v>
      </c>
      <c r="AH927" s="86">
        <f>AVERAGEIFS($I$2:I927, $B$2:B927, B927)</f>
        <v>0.52342857142857147</v>
      </c>
      <c r="AI927" s="86">
        <f>AVERAGEIFS($J$2:J927, $B$2:B927, B927)</f>
        <v>0.49285714285714288</v>
      </c>
      <c r="AJ927" s="86">
        <f>AVERAGEIFS($D$2:D927, $B$2:B927, B927)</f>
        <v>0.54285714285714282</v>
      </c>
    </row>
    <row r="928" spans="1:36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1</v>
      </c>
      <c r="AG928" s="86">
        <f>AVERAGEIFS($C$2:C928, $B$2:B928, B928)</f>
        <v>12.291666666666666</v>
      </c>
      <c r="AH928" s="86">
        <f>AVERAGEIFS($I$2:I928, $B$2:B928, B928)</f>
        <v>0.55833333333333335</v>
      </c>
      <c r="AI928" s="86">
        <f>AVERAGEIFS($J$2:J928, $B$2:B928, B928)</f>
        <v>0.53416666666666657</v>
      </c>
      <c r="AJ928" s="86">
        <f>AVERAGEIFS($D$2:D928, $B$2:B928, B928)</f>
        <v>0.5</v>
      </c>
    </row>
    <row r="929" spans="1:36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1</v>
      </c>
      <c r="AG929" s="86">
        <f>AVERAGEIFS($C$2:C929, $B$2:B929, B929)</f>
        <v>18.560975609756099</v>
      </c>
      <c r="AH929" s="86">
        <f>AVERAGEIFS($I$2:I929, $B$2:B929, B929)</f>
        <v>0.44756097560975611</v>
      </c>
      <c r="AI929" s="86">
        <f>AVERAGEIFS($J$2:J929, $B$2:B929, B929)</f>
        <v>0.45024390243902424</v>
      </c>
      <c r="AJ929" s="86">
        <f>AVERAGEIFS($D$2:D929, $B$2:B929, B929)</f>
        <v>0.46341463414634149</v>
      </c>
    </row>
    <row r="930" spans="1:36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1</v>
      </c>
      <c r="AG930" s="86">
        <f>AVERAGEIFS($C$2:C930, $B$2:B930, B930)</f>
        <v>16.705882352941178</v>
      </c>
      <c r="AH930" s="86">
        <f>AVERAGEIFS($I$2:I930, $B$2:B930, B930)</f>
        <v>0.64411764705882346</v>
      </c>
      <c r="AI930" s="86">
        <f>AVERAGEIFS($J$2:J930, $B$2:B930, B930)</f>
        <v>0.59470588235294131</v>
      </c>
      <c r="AJ930" s="86">
        <f>AVERAGEIFS($D$2:D930, $B$2:B930, B930)</f>
        <v>0.6470588235294118</v>
      </c>
    </row>
    <row r="931" spans="1:36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1</v>
      </c>
      <c r="AG931" s="86">
        <f>AVERAGEIFS($C$2:C931, $B$2:B931, B931)</f>
        <v>17.864864864864863</v>
      </c>
      <c r="AH931" s="86">
        <f>AVERAGEIFS($I$2:I931, $B$2:B931, B931)</f>
        <v>0.57027027027027022</v>
      </c>
      <c r="AI931" s="86">
        <f>AVERAGEIFS($J$2:J931, $B$2:B931, B931)</f>
        <v>0.53108108108108121</v>
      </c>
      <c r="AJ931" s="86">
        <f>AVERAGEIFS($D$2:D931, $B$2:B931, B931)</f>
        <v>0.54054054054054057</v>
      </c>
    </row>
    <row r="932" spans="1:36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 s="86">
        <f>AVERAGEIFS($C$2:C932, $B$2:B932, B932)</f>
        <v>26.8</v>
      </c>
      <c r="AH932" s="86">
        <f>AVERAGEIFS($I$2:I932, $B$2:B932, B932)</f>
        <v>0.4885714285714286</v>
      </c>
      <c r="AI932" s="86">
        <f>AVERAGEIFS($J$2:J932, $B$2:B932, B932)</f>
        <v>0.49342857142857161</v>
      </c>
      <c r="AJ932" s="86">
        <f>AVERAGEIFS($D$2:D932, $B$2:B932, B932)</f>
        <v>0.51428571428571423</v>
      </c>
    </row>
    <row r="933" spans="1:36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 s="86">
        <f>AVERAGEIFS($C$2:C933, $B$2:B933, B933)</f>
        <v>18.576271186440678</v>
      </c>
      <c r="AH933" s="86">
        <f>AVERAGEIFS($I$2:I933, $B$2:B933, B933)</f>
        <v>0.48559322033898289</v>
      </c>
      <c r="AI933" s="86">
        <f>AVERAGEIFS($J$2:J933, $B$2:B933, B933)</f>
        <v>0.48372881355932212</v>
      </c>
      <c r="AJ933" s="86">
        <f>AVERAGEIFS($D$2:D933, $B$2:B933, B933)</f>
        <v>0.42372881355932202</v>
      </c>
    </row>
    <row r="934" spans="1:36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 s="86">
        <f>AVERAGEIFS($C$2:C934, $B$2:B934, B934)</f>
        <v>18.210526315789473</v>
      </c>
      <c r="AH934" s="86">
        <f>AVERAGEIFS($I$2:I934, $B$2:B934, B934)</f>
        <v>0.51526315789473698</v>
      </c>
      <c r="AI934" s="86">
        <f>AVERAGEIFS($J$2:J934, $B$2:B934, B934)</f>
        <v>0.51842105263157878</v>
      </c>
      <c r="AJ934" s="86">
        <f>AVERAGEIFS($D$2:D934, $B$2:B934, B934)</f>
        <v>0.52631578947368418</v>
      </c>
    </row>
    <row r="935" spans="1:36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 s="86">
        <f>AVERAGEIFS($C$2:C935, $B$2:B935, B935)</f>
        <v>16.404761904761905</v>
      </c>
      <c r="AH935" s="86">
        <f>AVERAGEIFS($I$2:I935, $B$2:B935, B935)</f>
        <v>0.5261904761904761</v>
      </c>
      <c r="AI935" s="86">
        <f>AVERAGEIFS($J$2:J935, $B$2:B935, B935)</f>
        <v>0.53523809523809529</v>
      </c>
      <c r="AJ935" s="86">
        <f>AVERAGEIFS($D$2:D935, $B$2:B935, B935)</f>
        <v>0.61904761904761907</v>
      </c>
    </row>
    <row r="936" spans="1:36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 s="86">
        <f>AVERAGEIFS($C$2:C936, $B$2:B936, B936)</f>
        <v>16.023809523809526</v>
      </c>
      <c r="AH936" s="86">
        <f>AVERAGEIFS($I$2:I936, $B$2:B936, B936)</f>
        <v>0.52023809523809528</v>
      </c>
      <c r="AI936" s="86">
        <f>AVERAGEIFS($J$2:J936, $B$2:B936, B936)</f>
        <v>0.51857142857142846</v>
      </c>
      <c r="AJ936" s="86">
        <f>AVERAGEIFS($D$2:D936, $B$2:B936, B936)</f>
        <v>0.5714285714285714</v>
      </c>
    </row>
    <row r="937" spans="1:36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 s="86">
        <f>AVERAGEIFS($C$2:C937, $B$2:B937, B937)</f>
        <v>19.74074074074074</v>
      </c>
      <c r="AH937" s="86">
        <f>AVERAGEIFS($I$2:I937, $B$2:B937, B937)</f>
        <v>0.58777777777777773</v>
      </c>
      <c r="AI937" s="86">
        <f>AVERAGEIFS($J$2:J937, $B$2:B937, B937)</f>
        <v>0.54444444444444451</v>
      </c>
      <c r="AJ937" s="86">
        <f>AVERAGEIFS($D$2:D937, $B$2:B937, B937)</f>
        <v>0.66666666666666663</v>
      </c>
    </row>
    <row r="938" spans="1:36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 s="86">
        <f>AVERAGEIFS($C$2:C938, $B$2:B938, B938)</f>
        <v>22.131147540983605</v>
      </c>
      <c r="AH938" s="86">
        <f>AVERAGEIFS($I$2:I938, $B$2:B938, B938)</f>
        <v>0.52344262295081978</v>
      </c>
      <c r="AI938" s="86">
        <f>AVERAGEIFS($J$2:J938, $B$2:B938, B938)</f>
        <v>0.51918032786885238</v>
      </c>
      <c r="AJ938" s="86">
        <f>AVERAGEIFS($D$2:D938, $B$2:B938, B938)</f>
        <v>0.5901639344262295</v>
      </c>
    </row>
    <row r="939" spans="1:36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 s="86">
        <f>AVERAGEIFS($C$2:C939, $B$2:B939, B939)</f>
        <v>20.25</v>
      </c>
      <c r="AH939" s="86">
        <f>AVERAGEIFS($I$2:I939, $B$2:B939, B939)</f>
        <v>0.58821428571428569</v>
      </c>
      <c r="AI939" s="86">
        <f>AVERAGEIFS($J$2:J939, $B$2:B939, B939)</f>
        <v>0.54428571428571437</v>
      </c>
      <c r="AJ939" s="86">
        <f>AVERAGEIFS($D$2:D939, $B$2:B939, B939)</f>
        <v>0.6785714285714286</v>
      </c>
    </row>
    <row r="940" spans="1:36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 s="86">
        <f>AVERAGEIFS($C$2:C940, $B$2:B940, B940)</f>
        <v>16.279069767441861</v>
      </c>
      <c r="AH940" s="86">
        <f>AVERAGEIFS($I$2:I940, $B$2:B940, B940)</f>
        <v>0.52209302325581397</v>
      </c>
      <c r="AI940" s="86">
        <f>AVERAGEIFS($J$2:J940, $B$2:B940, B940)</f>
        <v>0.5190697674418604</v>
      </c>
      <c r="AJ940" s="86">
        <f>AVERAGEIFS($D$2:D940, $B$2:B940, B940)</f>
        <v>0.58139534883720934</v>
      </c>
    </row>
    <row r="941" spans="1:36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 s="86">
        <f>AVERAGEIFS($C$2:C941, $B$2:B941, B941)</f>
        <v>20.083333333333332</v>
      </c>
      <c r="AH941" s="86">
        <f>AVERAGEIFS($I$2:I941, $B$2:B941, B941)</f>
        <v>0.52555555555555555</v>
      </c>
      <c r="AI941" s="86">
        <f>AVERAGEIFS($J$2:J941, $B$2:B941, B941)</f>
        <v>0.49416666666666664</v>
      </c>
      <c r="AJ941" s="86">
        <f>AVERAGEIFS($D$2:D941, $B$2:B941, B941)</f>
        <v>0.55555555555555558</v>
      </c>
    </row>
    <row r="942" spans="1:36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 s="86">
        <f>AVERAGEIFS($C$2:C942, $B$2:B942, B942)</f>
        <v>16.674418604651162</v>
      </c>
      <c r="AH942" s="86">
        <f>AVERAGEIFS($I$2:I942, $B$2:B942, B942)</f>
        <v>0.52790697674418607</v>
      </c>
      <c r="AI942" s="86">
        <f>AVERAGEIFS($J$2:J942, $B$2:B942, B942)</f>
        <v>0.53534883720930226</v>
      </c>
      <c r="AJ942" s="86">
        <f>AVERAGEIFS($D$2:D942, $B$2:B942, B942)</f>
        <v>0.62790697674418605</v>
      </c>
    </row>
    <row r="943" spans="1:36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 s="86">
        <f>AVERAGEIFS($C$2:C943, $B$2:B943, B943)</f>
        <v>12.84</v>
      </c>
      <c r="AH943" s="86">
        <f>AVERAGEIFS($I$2:I943, $B$2:B943, B943)</f>
        <v>0.56000000000000005</v>
      </c>
      <c r="AI943" s="86">
        <f>AVERAGEIFS($J$2:J943, $B$2:B943, B943)</f>
        <v>0.53439999999999999</v>
      </c>
      <c r="AJ943" s="86">
        <f>AVERAGEIFS($D$2:D943, $B$2:B943, B943)</f>
        <v>0.52</v>
      </c>
    </row>
    <row r="944" spans="1:36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 s="86">
        <f>AVERAGEIFS($C$2:C944, $B$2:B944, B944)</f>
        <v>10.463414634146341</v>
      </c>
      <c r="AH944" s="86">
        <f>AVERAGEIFS($I$2:I944, $B$2:B944, B944)</f>
        <v>0.46170731707317081</v>
      </c>
      <c r="AI944" s="86">
        <f>AVERAGEIFS($J$2:J944, $B$2:B944, B944)</f>
        <v>0.48682926829268286</v>
      </c>
      <c r="AJ944" s="86">
        <f>AVERAGEIFS($D$2:D944, $B$2:B944, B944)</f>
        <v>0.43902439024390244</v>
      </c>
    </row>
    <row r="945" spans="1:36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 s="86">
        <f>AVERAGEIFS($C$2:C945, $B$2:B945, B945)</f>
        <v>10</v>
      </c>
      <c r="AH945" s="86">
        <f>AVERAGEIFS($I$2:I945, $B$2:B945, B945)</f>
        <v>0.48750000000000004</v>
      </c>
      <c r="AI945" s="86">
        <f>AVERAGEIFS($J$2:J945, $B$2:B945, B945)</f>
        <v>0.49249999999999999</v>
      </c>
      <c r="AJ945" s="86">
        <f>AVERAGEIFS($D$2:D945, $B$2:B945, B945)</f>
        <v>0.75</v>
      </c>
    </row>
    <row r="946" spans="1:36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1</v>
      </c>
      <c r="AD946">
        <v>0</v>
      </c>
      <c r="AE946">
        <v>0</v>
      </c>
      <c r="AF946">
        <v>0</v>
      </c>
      <c r="AG946" s="86">
        <f>AVERAGEIFS($C$2:C946, $B$2:B946, B946)</f>
        <v>24</v>
      </c>
      <c r="AH946" s="86">
        <f>AVERAGEIFS($I$2:I946, $B$2:B946, B946)</f>
        <v>0.54053571428571434</v>
      </c>
      <c r="AI946" s="86">
        <f>AVERAGEIFS($J$2:J946, $B$2:B946, B946)</f>
        <v>0.5133928571428571</v>
      </c>
      <c r="AJ946" s="86">
        <f>AVERAGEIFS($D$2:D946, $B$2:B946, B946)</f>
        <v>0.5535714285714286</v>
      </c>
    </row>
    <row r="947" spans="1:36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1</v>
      </c>
      <c r="AD947">
        <v>0</v>
      </c>
      <c r="AE947">
        <v>0</v>
      </c>
      <c r="AF947">
        <v>0</v>
      </c>
      <c r="AG947" s="86">
        <f>AVERAGEIFS($C$2:C947, $B$2:B947, B947)</f>
        <v>22.763157894736842</v>
      </c>
      <c r="AH947" s="86">
        <f>AVERAGEIFS($I$2:I947, $B$2:B947, B947)</f>
        <v>0.5428947368421051</v>
      </c>
      <c r="AI947" s="86">
        <f>AVERAGEIFS($J$2:J947, $B$2:B947, B947)</f>
        <v>0.54105263157894745</v>
      </c>
      <c r="AJ947" s="86">
        <f>AVERAGEIFS($D$2:D947, $B$2:B947, B947)</f>
        <v>0.52631578947368418</v>
      </c>
    </row>
    <row r="948" spans="1:36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1</v>
      </c>
      <c r="AD948">
        <v>0</v>
      </c>
      <c r="AE948">
        <v>0</v>
      </c>
      <c r="AF948">
        <v>0</v>
      </c>
      <c r="AG948" s="86">
        <f>AVERAGEIFS($C$2:C948, $B$2:B948, B948)</f>
        <v>17.921052631578949</v>
      </c>
      <c r="AH948" s="86">
        <f>AVERAGEIFS($I$2:I948, $B$2:B948, B948)</f>
        <v>0.5657894736842104</v>
      </c>
      <c r="AI948" s="86">
        <f>AVERAGEIFS($J$2:J948, $B$2:B948, B948)</f>
        <v>0.52921052631578969</v>
      </c>
      <c r="AJ948" s="86">
        <f>AVERAGEIFS($D$2:D948, $B$2:B948, B948)</f>
        <v>0.52631578947368418</v>
      </c>
    </row>
    <row r="949" spans="1:36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1</v>
      </c>
      <c r="AD949">
        <v>0</v>
      </c>
      <c r="AE949">
        <v>0</v>
      </c>
      <c r="AF949">
        <v>0</v>
      </c>
      <c r="AG949" s="86">
        <f>AVERAGEIFS($C$2:C949, $B$2:B949, B949)</f>
        <v>18.307692307692307</v>
      </c>
      <c r="AH949" s="86">
        <f>AVERAGEIFS($I$2:I949, $B$2:B949, B949)</f>
        <v>0.51230769230769246</v>
      </c>
      <c r="AI949" s="86">
        <f>AVERAGEIFS($J$2:J949, $B$2:B949, B949)</f>
        <v>0.51692307692307682</v>
      </c>
      <c r="AJ949" s="86">
        <f>AVERAGEIFS($D$2:D949, $B$2:B949, B949)</f>
        <v>0.51282051282051277</v>
      </c>
    </row>
    <row r="950" spans="1:36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1</v>
      </c>
      <c r="AD950">
        <v>0</v>
      </c>
      <c r="AE950">
        <v>0</v>
      </c>
      <c r="AF950">
        <v>0</v>
      </c>
      <c r="AG950" s="86">
        <f>AVERAGEIFS($C$2:C950, $B$2:B950, B950)</f>
        <v>14.333333333333334</v>
      </c>
      <c r="AH950" s="86">
        <f>AVERAGEIFS($I$2:I950, $B$2:B950, B950)</f>
        <v>0.48333333333333339</v>
      </c>
      <c r="AI950" s="86">
        <f>AVERAGEIFS($J$2:J950, $B$2:B950, B950)</f>
        <v>0.54666666666666663</v>
      </c>
      <c r="AJ950" s="86">
        <f>AVERAGEIFS($D$2:D950, $B$2:B950, B950)</f>
        <v>0.33333333333333331</v>
      </c>
    </row>
    <row r="951" spans="1:36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1</v>
      </c>
      <c r="AD951">
        <v>0</v>
      </c>
      <c r="AE951">
        <v>0</v>
      </c>
      <c r="AF951">
        <v>0</v>
      </c>
      <c r="AG951" s="86">
        <f>AVERAGEIFS($C$2:C951, $B$2:B951, B951)</f>
        <v>12</v>
      </c>
      <c r="AH951" s="86">
        <f>AVERAGEIFS($I$2:I951, $B$2:B951, B951)</f>
        <v>0.33333333333333331</v>
      </c>
      <c r="AI951" s="86">
        <f>AVERAGEIFS($J$2:J951, $B$2:B951, B951)</f>
        <v>0.37111111111111111</v>
      </c>
      <c r="AJ951" s="86">
        <f>AVERAGEIFS($D$2:D951, $B$2:B951, B951)</f>
        <v>0.22222222222222221</v>
      </c>
    </row>
    <row r="952" spans="1:36" x14ac:dyDescent="0.25">
      <c r="A952" s="85">
        <v>46139</v>
      </c>
      <c r="B952" t="s">
        <v>179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1</v>
      </c>
      <c r="AD952">
        <v>0</v>
      </c>
      <c r="AE952">
        <v>0</v>
      </c>
      <c r="AF952">
        <v>0</v>
      </c>
      <c r="AG952" s="86">
        <f>AVERAGEIFS($C$2:C952, $B$2:B952, B952)</f>
        <v>16</v>
      </c>
      <c r="AH952" s="86">
        <f>AVERAGEIFS($I$2:I952, $B$2:B952, B952)</f>
        <v>0.4</v>
      </c>
      <c r="AI952" s="86">
        <f>AVERAGEIFS($J$2:J952, $B$2:B952, B952)</f>
        <v>0.46</v>
      </c>
      <c r="AJ952" s="86">
        <f>AVERAGEIFS($D$2:D952, $B$2:B952, B952)</f>
        <v>0</v>
      </c>
    </row>
    <row r="953" spans="1:36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1</v>
      </c>
      <c r="AD953">
        <v>0</v>
      </c>
      <c r="AE953">
        <v>0</v>
      </c>
      <c r="AF953">
        <v>0</v>
      </c>
      <c r="AG953" s="86">
        <f>AVERAGEIFS($C$2:C953, $B$2:B953, B953)</f>
        <v>7.8571428571428568</v>
      </c>
      <c r="AH953" s="86">
        <f>AVERAGEIFS($I$2:I953, $B$2:B953, B953)</f>
        <v>0.61428571428571421</v>
      </c>
      <c r="AI953" s="86">
        <f>AVERAGEIFS($J$2:J953, $B$2:B953, B953)</f>
        <v>0.53714285714285714</v>
      </c>
      <c r="AJ953" s="86">
        <f>AVERAGEIFS($D$2:D953, $B$2:B953, B953)</f>
        <v>0.5714285714285714</v>
      </c>
    </row>
    <row r="954" spans="1:36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 s="86">
        <f>AVERAGEIFS($C$2:C954, $B$2:B954, B954)</f>
        <v>26.888888888888889</v>
      </c>
      <c r="AH954" s="86">
        <f>AVERAGEIFS($I$2:I954, $B$2:B954, B954)</f>
        <v>0.48194444444444451</v>
      </c>
      <c r="AI954" s="86">
        <f>AVERAGEIFS($J$2:J954, $B$2:B954, B954)</f>
        <v>0.49277777777777793</v>
      </c>
      <c r="AJ954" s="86">
        <f>AVERAGEIFS($D$2:D954, $B$2:B954, B954)</f>
        <v>0.5</v>
      </c>
    </row>
    <row r="955" spans="1:36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 s="86">
        <f>AVERAGEIFS($C$2:C955, $B$2:B955, B955)</f>
        <v>22.589743589743591</v>
      </c>
      <c r="AH955" s="86">
        <f>AVERAGEIFS($I$2:I955, $B$2:B955, B955)</f>
        <v>0.53538461538461524</v>
      </c>
      <c r="AI955" s="86">
        <f>AVERAGEIFS($J$2:J955, $B$2:B955, B955)</f>
        <v>0.53923076923076929</v>
      </c>
      <c r="AJ955" s="86">
        <f>AVERAGEIFS($D$2:D955, $B$2:B955, B955)</f>
        <v>0.51282051282051277</v>
      </c>
    </row>
    <row r="956" spans="1:36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 s="86">
        <f>AVERAGEIFS($C$2:C956, $B$2:B956, B956)</f>
        <v>18.716666666666665</v>
      </c>
      <c r="AH956" s="86">
        <f>AVERAGEIFS($I$2:I956, $B$2:B956, B956)</f>
        <v>0.48166666666666652</v>
      </c>
      <c r="AI956" s="86">
        <f>AVERAGEIFS($J$2:J956, $B$2:B956, B956)</f>
        <v>0.4835000000000001</v>
      </c>
      <c r="AJ956" s="86">
        <f>AVERAGEIFS($D$2:D956, $B$2:B956, B956)</f>
        <v>0.41666666666666669</v>
      </c>
    </row>
    <row r="957" spans="1:36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 s="86">
        <f>AVERAGEIFS($C$2:C957, $B$2:B957, B957)</f>
        <v>14.73076923076923</v>
      </c>
      <c r="AH957" s="86">
        <f>AVERAGEIFS($I$2:I957, $B$2:B957, B957)</f>
        <v>0.48461538461538467</v>
      </c>
      <c r="AI957" s="86">
        <f>AVERAGEIFS($J$2:J957, $B$2:B957, B957)</f>
        <v>0.49384615384615393</v>
      </c>
      <c r="AJ957" s="86">
        <f>AVERAGEIFS($D$2:D957, $B$2:B957, B957)</f>
        <v>0.38461538461538464</v>
      </c>
    </row>
    <row r="958" spans="1:36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 s="86">
        <f>AVERAGEIFS($C$2:C958, $B$2:B958, B958)</f>
        <v>12.884615384615385</v>
      </c>
      <c r="AH958" s="86">
        <f>AVERAGEIFS($I$2:I958, $B$2:B958, B958)</f>
        <v>0.54807692307692313</v>
      </c>
      <c r="AI958" s="86">
        <f>AVERAGEIFS($J$2:J958, $B$2:B958, B958)</f>
        <v>0.53192307692307694</v>
      </c>
      <c r="AJ958" s="86">
        <f>AVERAGEIFS($D$2:D958, $B$2:B958, B958)</f>
        <v>0.5</v>
      </c>
    </row>
    <row r="959" spans="1:36" x14ac:dyDescent="0.25">
      <c r="A959" s="85">
        <v>46140</v>
      </c>
      <c r="B959" t="s">
        <v>179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 s="86">
        <f>AVERAGEIFS($C$2:C959, $B$2:B959, B959)</f>
        <v>13</v>
      </c>
      <c r="AH959" s="86">
        <f>AVERAGEIFS($I$2:I959, $B$2:B959, B959)</f>
        <v>0.32500000000000001</v>
      </c>
      <c r="AI959" s="86">
        <f>AVERAGEIFS($J$2:J959, $B$2:B959, B959)</f>
        <v>0.46499999999999997</v>
      </c>
      <c r="AJ959" s="86">
        <f>AVERAGEIFS($D$2:D959, $B$2:B959, B959)</f>
        <v>0</v>
      </c>
    </row>
    <row r="960" spans="1:36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1</v>
      </c>
      <c r="AC960">
        <v>0</v>
      </c>
      <c r="AD960">
        <v>0</v>
      </c>
      <c r="AE960">
        <v>0</v>
      </c>
      <c r="AF960">
        <v>0</v>
      </c>
      <c r="AG960" s="86">
        <f>AVERAGEIFS($C$2:C960, $B$2:B960, B960)</f>
        <v>24.939393939393938</v>
      </c>
      <c r="AH960" s="86">
        <f>AVERAGEIFS($I$2:I960, $B$2:B960, B960)</f>
        <v>0.44545454545454544</v>
      </c>
      <c r="AI960" s="86">
        <f>AVERAGEIFS($J$2:J960, $B$2:B960, B960)</f>
        <v>0.46606060606060601</v>
      </c>
      <c r="AJ960" s="86">
        <f>AVERAGEIFS($D$2:D960, $B$2:B960, B960)</f>
        <v>0.36363636363636365</v>
      </c>
    </row>
    <row r="961" spans="1:36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1</v>
      </c>
      <c r="AC961">
        <v>0</v>
      </c>
      <c r="AD961">
        <v>0</v>
      </c>
      <c r="AE961">
        <v>0</v>
      </c>
      <c r="AF961">
        <v>0</v>
      </c>
      <c r="AG961" s="86">
        <f>AVERAGEIFS($C$2:C961, $B$2:B961, B961)</f>
        <v>22.193548387096776</v>
      </c>
      <c r="AH961" s="86">
        <f>AVERAGEIFS($I$2:I961, $B$2:B961, B961)</f>
        <v>0.5270967741935485</v>
      </c>
      <c r="AI961" s="86">
        <f>AVERAGEIFS($J$2:J961, $B$2:B961, B961)</f>
        <v>0.51935483870967736</v>
      </c>
      <c r="AJ961" s="86">
        <f>AVERAGEIFS($D$2:D961, $B$2:B961, B961)</f>
        <v>0.59677419354838712</v>
      </c>
    </row>
    <row r="962" spans="1:36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1</v>
      </c>
      <c r="AC962">
        <v>0</v>
      </c>
      <c r="AD962">
        <v>0</v>
      </c>
      <c r="AE962">
        <v>0</v>
      </c>
      <c r="AF962">
        <v>0</v>
      </c>
      <c r="AG962" s="86">
        <f>AVERAGEIFS($C$2:C962, $B$2:B962, B962)</f>
        <v>18.523809523809526</v>
      </c>
      <c r="AH962" s="86">
        <f>AVERAGEIFS($I$2:I962, $B$2:B962, B962)</f>
        <v>0.45476190476190481</v>
      </c>
      <c r="AI962" s="86">
        <f>AVERAGEIFS($J$2:J962, $B$2:B962, B962)</f>
        <v>0.45214285714285701</v>
      </c>
      <c r="AJ962" s="86">
        <f>AVERAGEIFS($D$2:D962, $B$2:B962, B962)</f>
        <v>0.47619047619047616</v>
      </c>
    </row>
    <row r="963" spans="1:36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1</v>
      </c>
      <c r="AC963">
        <v>0</v>
      </c>
      <c r="AD963">
        <v>0</v>
      </c>
      <c r="AE963">
        <v>0</v>
      </c>
      <c r="AF963">
        <v>0</v>
      </c>
      <c r="AG963" s="86">
        <f>AVERAGEIFS($C$2:C963, $B$2:B963, B963)</f>
        <v>13.363636363636363</v>
      </c>
      <c r="AH963" s="86">
        <f>AVERAGEIFS($I$2:I963, $B$2:B963, B963)</f>
        <v>0.48181818181818181</v>
      </c>
      <c r="AI963" s="86">
        <f>AVERAGEIFS($J$2:J963, $B$2:B963, B963)</f>
        <v>0.50909090909090915</v>
      </c>
      <c r="AJ963" s="86">
        <f>AVERAGEIFS($D$2:D963, $B$2:B963, B963)</f>
        <v>0.63636363636363635</v>
      </c>
    </row>
    <row r="964" spans="1:36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1</v>
      </c>
      <c r="AC964">
        <v>0</v>
      </c>
      <c r="AD964">
        <v>0</v>
      </c>
      <c r="AE964">
        <v>0</v>
      </c>
      <c r="AF964">
        <v>0</v>
      </c>
      <c r="AG964" s="86">
        <f>AVERAGEIFS($C$2:C964, $B$2:B964, B964)</f>
        <v>15</v>
      </c>
      <c r="AH964" s="86">
        <f>AVERAGEIFS($I$2:I964, $B$2:B964, B964)</f>
        <v>0.55000000000000004</v>
      </c>
      <c r="AI964" s="86">
        <f>AVERAGEIFS($J$2:J964, $B$2:B964, B964)</f>
        <v>0.54249999999999998</v>
      </c>
      <c r="AJ964" s="86">
        <f>AVERAGEIFS($D$2:D964, $B$2:B964, B964)</f>
        <v>0.5</v>
      </c>
    </row>
    <row r="965" spans="1:36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1</v>
      </c>
      <c r="AC965">
        <v>0</v>
      </c>
      <c r="AD965">
        <v>0</v>
      </c>
      <c r="AE965">
        <v>0</v>
      </c>
      <c r="AF965">
        <v>0</v>
      </c>
      <c r="AG965" s="86">
        <f>AVERAGEIFS($C$2:C965, $B$2:B965, B965)</f>
        <v>12.535714285714286</v>
      </c>
      <c r="AH965" s="86">
        <f>AVERAGEIFS($I$2:I965, $B$2:B965, B965)</f>
        <v>0.46071428571428574</v>
      </c>
      <c r="AI965" s="86">
        <f>AVERAGEIFS($J$2:J965, $B$2:B965, B965)</f>
        <v>0.47214285714285709</v>
      </c>
      <c r="AJ965" s="86">
        <f>AVERAGEIFS($D$2:D965, $B$2:B965, B965)</f>
        <v>0.5</v>
      </c>
    </row>
  </sheetData>
  <autoFilter ref="A1:AJ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6"/>
  <sheetViews>
    <sheetView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J44" sqref="J44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133</v>
      </c>
      <c r="G4" s="66">
        <f>AVERAGEIFS('BA History S2'!C:C,'BA History S2'!B:B,A4)</f>
        <v>12.090909090909092</v>
      </c>
      <c r="H4" s="35">
        <f t="array" ref="H4">MAX(IF('BA History S2'!B:B=A4, 'BA History S2'!C:C))</f>
        <v>23</v>
      </c>
      <c r="I4" s="34">
        <f>COUNTIFS('BA History S2'!B:B,A4,'BA History S2'!D:D, 1)</f>
        <v>4</v>
      </c>
      <c r="J4" s="2">
        <f>COUNTIFS('BA History S2'!B:B,A4,'BA History S2'!D:D, 0)</f>
        <v>7</v>
      </c>
      <c r="K4" s="75">
        <f>LOOKUP(2, 1/('BA History S2'!$B:$B=A4), 'BA History S2'!$AJ:$AJ)</f>
        <v>0.36363636363636365</v>
      </c>
      <c r="L4" s="34">
        <f>SUMIFS('BA History S2'!F:F,'BA History S2'!B:B,A4)</f>
        <v>21</v>
      </c>
      <c r="M4" s="2">
        <f>SUMIFS('BA History S2'!E:E,'BA History S2'!B:B,A4)-L4</f>
        <v>26</v>
      </c>
      <c r="N4" s="75">
        <f>LOOKUP(2, 1/('BA History S2'!$B:$B=A4), 'BA History S2'!$AH:$AH)</f>
        <v>0.43636363636363634</v>
      </c>
      <c r="O4" s="34">
        <f>SUMIFS('BA History S2'!H:H,'BA History S2'!B:B,A4)</f>
        <v>97</v>
      </c>
      <c r="P4" s="2">
        <f>SUMIFS('BA History S2'!G:G,'BA History S2'!B:B,A4)-O4</f>
        <v>108</v>
      </c>
      <c r="Q4" s="89">
        <f>LOOKUP(2, 1/('BA History S2'!$B:$B=A4), 'BA History S2'!$AI:$AI)</f>
        <v>0.46181818181818174</v>
      </c>
      <c r="R4" s="2">
        <f>COUNTIFS('BA History S2'!$B:$B,$A$4,'BA History S2'!K:K, 1)</f>
        <v>3</v>
      </c>
      <c r="S4" s="2">
        <f>COUNTIFS('BA History S2'!$B:$B,$A$4,'BA History S2'!L:L, 1)</f>
        <v>4</v>
      </c>
      <c r="T4" s="2">
        <f>COUNTIFS('BA History S2'!$B:$B,$A$4,'BA History S2'!M:M, 1)</f>
        <v>1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4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41</v>
      </c>
      <c r="G5" s="66">
        <f>AVERAGEIFS('BA History S2'!C:C,'BA History S2'!B:B,A5)</f>
        <v>6.833333333333333</v>
      </c>
      <c r="H5" s="35">
        <f t="array" ref="H5">MAX(IF('BA History S2'!B:B=A5, 'BA History S2'!C:C))</f>
        <v>10</v>
      </c>
      <c r="I5" s="34">
        <f>COUNTIFS('BA History S2'!B:B,A5,'BA History S2'!D:D, 1)</f>
        <v>2</v>
      </c>
      <c r="J5" s="2">
        <f>COUNTIFS('BA History S2'!B:B,A5,'BA History S2'!D:D, 0)</f>
        <v>4</v>
      </c>
      <c r="K5" s="75">
        <f>LOOKUP(2, 1/('BA History S2'!$B:$B=A5), 'BA History S2'!$AJ:$AJ)</f>
        <v>0.33333333333333331</v>
      </c>
      <c r="L5" s="34">
        <f>SUMIFS('BA History S2'!F:F,'BA History S2'!B:B,A5)</f>
        <v>9</v>
      </c>
      <c r="M5" s="2">
        <f>SUMIFS('BA History S2'!E:E,'BA History S2'!B:B,A5)-L5</f>
        <v>14</v>
      </c>
      <c r="N5" s="75">
        <f>LOOKUP(2, 1/('BA History S2'!$B:$B=A5), 'BA History S2'!$AH:$AH)</f>
        <v>0.39166666666666666</v>
      </c>
      <c r="O5" s="34">
        <f>SUMIFS('BA History S2'!H:H,'BA History S2'!B:B,A5)</f>
        <v>41</v>
      </c>
      <c r="P5" s="2">
        <f>SUMIFS('BA History S2'!G:G,'BA History S2'!B:B,A5)-O5</f>
        <v>52</v>
      </c>
      <c r="Q5" s="89">
        <f>LOOKUP(2, 1/('BA History S2'!$B:$B=A5), 'BA History S2'!$AI:$AI)</f>
        <v>0.46</v>
      </c>
      <c r="R5" s="2">
        <f>COUNTIFS('BA History S2'!$B:$B,$A$5,'BA History S2'!K:K, 1)</f>
        <v>1</v>
      </c>
      <c r="S5" s="2">
        <f>COUNTIFS('BA History S2'!$B:$B,$A$5,'BA History S2'!L:L, 1)</f>
        <v>0</v>
      </c>
      <c r="T5" s="2">
        <f>COUNTIFS('BA History S2'!$B:$B,$A$5,'BA History S2'!M:M, 1)</f>
        <v>1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S2'!$B:$B,$A$5,'BA History S2'!AA:AA, 1)</f>
        <v>0</v>
      </c>
      <c r="AI5" s="2">
        <f>COUNTIFS('BA History S2'!$B:$B,$A$5,'BA History S2'!AB:AB, 1)</f>
        <v>1</v>
      </c>
      <c r="AJ5" s="2">
        <f>COUNTIFS('BA History S2'!$B:$B,$A$5,'BA History S2'!AC:AC, 1)</f>
        <v>1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1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248</v>
      </c>
      <c r="G6" s="66">
        <f>AVERAGEIFS('BA History S2'!C:C,'BA History S2'!B:B,A6)</f>
        <v>17.714285714285715</v>
      </c>
      <c r="H6" s="35">
        <f t="array" ref="H6">MAX(IF('BA History S2'!B:B=A6, 'BA History S2'!C:C))</f>
        <v>40</v>
      </c>
      <c r="I6" s="34">
        <f>COUNTIFS('BA History S2'!B:B,A6,'BA History S2'!D:D, 1)</f>
        <v>7</v>
      </c>
      <c r="J6" s="2">
        <f>COUNTIFS('BA History S2'!B:B,A6,'BA History S2'!D:D, 0)</f>
        <v>7</v>
      </c>
      <c r="K6" s="75">
        <f>LOOKUP(2, 1/('BA History S2'!$B:$B=A6), 'BA History S2'!$AJ:$AJ)</f>
        <v>0.5</v>
      </c>
      <c r="L6" s="34">
        <f>SUMIFS('BA History S2'!F:F,'BA History S2'!B:B,A6)</f>
        <v>27</v>
      </c>
      <c r="M6" s="2">
        <f>SUMIFS('BA History S2'!E:E,'BA History S2'!B:B,A6)-L6</f>
        <v>29</v>
      </c>
      <c r="N6" s="75">
        <f>LOOKUP(2, 1/('BA History S2'!$B:$B=A6), 'BA History S2'!$AH:$AH)</f>
        <v>0.47142857142857142</v>
      </c>
      <c r="O6" s="34">
        <f>SUMIFS('BA History S2'!H:H,'BA History S2'!B:B,A6)</f>
        <v>107</v>
      </c>
      <c r="P6" s="2">
        <f>SUMIFS('BA History S2'!G:G,'BA History S2'!B:B,A6)-O6</f>
        <v>124</v>
      </c>
      <c r="Q6" s="89">
        <f>LOOKUP(2, 1/('BA History S2'!$B:$B=A6), 'BA History S2'!$AI:$AI)</f>
        <v>0.44857142857142857</v>
      </c>
      <c r="R6" s="2">
        <f>COUNTIFS('BA History S2'!$B:$B,$A$6,'BA History S2'!K:K, 1)</f>
        <v>2</v>
      </c>
      <c r="S6" s="2">
        <f>COUNTIFS('BA History S2'!$B:$B,$A$6,'BA History S2'!L:L, 1)</f>
        <v>0</v>
      </c>
      <c r="T6" s="2">
        <f>COUNTIFS('BA History S2'!$B:$B,$A$6,'BA History S2'!M:M, 1)</f>
        <v>4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3</v>
      </c>
      <c r="AH6" s="2">
        <f>COUNTIFS('BA History S2'!$B:$B,$A$6,'BA History S2'!AA:AA, 1)</f>
        <v>0</v>
      </c>
      <c r="AI6" s="2">
        <f>COUNTIFS('BA History S2'!$B:$B,$A$6,'BA History S2'!AB:AB, 1)</f>
        <v>7</v>
      </c>
      <c r="AJ6" s="2">
        <f>COUNTIFS('BA History S2'!$B:$B,$A$6,'BA History S2'!AC:AC, 1)</f>
        <v>0</v>
      </c>
      <c r="AK6" s="2">
        <f>COUNTIFS('BA History S2'!$B:$B,$A$6,'BA History S2'!AD:AD, 1)</f>
        <v>2</v>
      </c>
      <c r="AL6" s="2">
        <f>COUNTIFS('BA History S2'!$B:$B,$A$6,'BA History S2'!AE:AE, 1)</f>
        <v>0</v>
      </c>
      <c r="AM6" s="2">
        <f>COUNTIFS('BA History S2'!$B:$B,$A$6,'BA History S2'!AF:AF, 1)</f>
        <v>3</v>
      </c>
    </row>
    <row r="7" spans="1:39" x14ac:dyDescent="0.25">
      <c r="A7" s="2" t="s">
        <v>146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27</v>
      </c>
      <c r="B8" s="2" t="s">
        <v>79</v>
      </c>
      <c r="C8" s="2"/>
      <c r="D8" s="2"/>
      <c r="E8" s="2"/>
      <c r="F8" s="34">
        <f>SUMIFS('BA History S2'!C:C,'BA History S2'!B:B,A8)</f>
        <v>15</v>
      </c>
      <c r="G8" s="66">
        <f>AVERAGEIFS('BA History S2'!C:C,'BA History S2'!B:B,A8)</f>
        <v>15</v>
      </c>
      <c r="H8" s="35">
        <f t="array" ref="H8">MAX(IF('BA History S2'!B:B=A8, 'BA History S2'!C:C))</f>
        <v>15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2</v>
      </c>
      <c r="M8" s="2">
        <f>SUMIFS('BA History S2'!E:E,'BA History S2'!B:B,A8)-L8</f>
        <v>3</v>
      </c>
      <c r="N8" s="75">
        <f>LOOKUP(2, 1/('BA History S2'!$B:$B=A8), 'BA History S2'!$AH:$AH)</f>
        <v>0.4</v>
      </c>
      <c r="O8" s="34">
        <f>SUMIFS('BA History S2'!H:H,'BA History S2'!B:B,A8)</f>
        <v>11</v>
      </c>
      <c r="P8" s="2">
        <f>SUMIFS('BA History S2'!G:G,'BA History S2'!B:B,A8)-O8</f>
        <v>13</v>
      </c>
      <c r="Q8" s="89">
        <f>LOOKUP(2, 1/('BA History S2'!$B:$B=A8), 'BA History S2'!$AI:$AI)</f>
        <v>0.46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0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1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152</v>
      </c>
      <c r="B9" s="2" t="s">
        <v>79</v>
      </c>
      <c r="C9" s="2"/>
      <c r="D9" s="2"/>
      <c r="E9" s="2"/>
      <c r="F9" s="34">
        <f>SUMIFS('BA History S2'!C:C,'BA History S2'!B:B,A9)</f>
        <v>48</v>
      </c>
      <c r="G9" s="66">
        <f>AVERAGEIFS('BA History S2'!C:C,'BA History S2'!B:B,A9)</f>
        <v>16</v>
      </c>
      <c r="H9" s="35">
        <f t="array" ref="H9">MAX(IF('BA History S2'!B:B=A9, 'BA History S2'!C:C))</f>
        <v>19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6</v>
      </c>
      <c r="M9" s="2">
        <f>SUMIFS('BA History S2'!E:E,'BA History S2'!B:B,A9)-L9</f>
        <v>7</v>
      </c>
      <c r="N9" s="75">
        <f>LOOKUP(2, 1/('BA History S2'!$B:$B=A9), 'BA History S2'!$AH:$AH)</f>
        <v>0.46666666666666662</v>
      </c>
      <c r="O9" s="34">
        <f>SUMIFS('BA History S2'!H:H,'BA History S2'!B:B,A9)</f>
        <v>28</v>
      </c>
      <c r="P9" s="2">
        <f>SUMIFS('BA History S2'!G:G,'BA History S2'!B:B,A9)-O9</f>
        <v>31</v>
      </c>
      <c r="Q9" s="89">
        <f>LOOKUP(2, 1/('BA History S2'!$B:$B=A9), 'BA History S2'!$AI:$AI)</f>
        <v>0.47666666666666674</v>
      </c>
      <c r="R9" s="2">
        <f>COUNTIFS('BA History S2'!$B:$B,$A$9,'BA History S2'!K:K, 1)</f>
        <v>1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1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50</v>
      </c>
      <c r="B10" s="2" t="s">
        <v>79</v>
      </c>
      <c r="C10" s="2"/>
      <c r="D10" s="2"/>
      <c r="E10" s="2"/>
      <c r="F10" s="34">
        <f>SUMIFS('BA History S2'!C:C,'BA History S2'!B:B,A10)</f>
        <v>102</v>
      </c>
      <c r="G10" s="66">
        <f>AVERAGEIFS('BA History S2'!C:C,'BA History S2'!B:B,A10)</f>
        <v>17</v>
      </c>
      <c r="H10" s="35">
        <f t="array" ref="H10">MAX(IF('BA History S2'!B:B=A10, 'BA History S2'!C:C))</f>
        <v>22</v>
      </c>
      <c r="I10" s="34">
        <f>COUNTIFS('BA History S2'!B:B,A10,'BA History S2'!D:D, 1)</f>
        <v>2</v>
      </c>
      <c r="J10" s="2">
        <f>COUNTIFS('BA History S2'!B:B,A10,'BA History S2'!D:D, 0)</f>
        <v>4</v>
      </c>
      <c r="K10" s="75">
        <f>LOOKUP(2, 1/('BA History S2'!$B:$B=A10), 'BA History S2'!$AJ:$AJ)</f>
        <v>0.33333333333333331</v>
      </c>
      <c r="L10" s="34">
        <f>SUMIFS('BA History S2'!F:F,'BA History S2'!B:B,A10)</f>
        <v>10</v>
      </c>
      <c r="M10" s="2">
        <f>SUMIFS('BA History S2'!E:E,'BA History S2'!B:B,A10)-L10</f>
        <v>16</v>
      </c>
      <c r="N10" s="75">
        <f>LOOKUP(2, 1/('BA History S2'!$B:$B=A10), 'BA History S2'!$AH:$AH)</f>
        <v>0.35000000000000003</v>
      </c>
      <c r="O10" s="34">
        <f>SUMIFS('BA History S2'!H:H,'BA History S2'!B:B,A10)</f>
        <v>49</v>
      </c>
      <c r="P10" s="2">
        <f>SUMIFS('BA History S2'!G:G,'BA History S2'!B:B,A10)-O10</f>
        <v>62</v>
      </c>
      <c r="Q10" s="89">
        <f>LOOKUP(2, 1/('BA History S2'!$B:$B=A10), 'BA History S2'!$AI:$AI)</f>
        <v>0.41166666666666663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3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0</v>
      </c>
      <c r="AH10" s="2">
        <f>COUNTIFS('BA History S2'!$B:$B,$A$10,'BA History S2'!AA:AA, 1)</f>
        <v>0</v>
      </c>
      <c r="AI10" s="2">
        <f>COUNTIFS('BA History S2'!$B:$B,$A$10,'BA History S2'!AB:AB, 1)</f>
        <v>2</v>
      </c>
      <c r="AJ10" s="2">
        <f>COUNTIFS('BA History S2'!$B:$B,$A$10,'BA History S2'!AC:AC, 1)</f>
        <v>1</v>
      </c>
      <c r="AK10" s="2">
        <f>COUNTIFS('BA History S2'!$B:$B,$A$10,'BA History S2'!AD:AD, 1)</f>
        <v>1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52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27</v>
      </c>
      <c r="G11" s="66">
        <f>AVERAGEIFS('BA History S2'!C:C,'BA History S2'!B:B,A11)</f>
        <v>13.5</v>
      </c>
      <c r="H11" s="35">
        <f t="array" ref="H11">MAX(IF('BA History S2'!B:B=A11, 'BA History S2'!C:C))</f>
        <v>17</v>
      </c>
      <c r="I11" s="34">
        <f>COUNTIFS('BA History S2'!B:B,A11,'BA History S2'!D:D, 1)</f>
        <v>0</v>
      </c>
      <c r="J11" s="2">
        <f>COUNTIFS('BA History S2'!B:B,A11,'BA History S2'!D:D, 0)</f>
        <v>2</v>
      </c>
      <c r="K11" s="75">
        <f>LOOKUP(2, 1/('BA History S2'!$B:$B=A11), 'BA History S2'!$AJ:$AJ)</f>
        <v>0</v>
      </c>
      <c r="L11" s="34">
        <f>SUMIFS('BA History S2'!F:F,'BA History S2'!B:B,A11)</f>
        <v>3</v>
      </c>
      <c r="M11" s="2">
        <f>SUMIFS('BA History S2'!E:E,'BA History S2'!B:B,A11)-L11</f>
        <v>6</v>
      </c>
      <c r="N11" s="75">
        <f>LOOKUP(2, 1/('BA History S2'!$B:$B=A11), 'BA History S2'!$AH:$AH)</f>
        <v>0.32500000000000001</v>
      </c>
      <c r="O11" s="34">
        <f>SUMIFS('BA History S2'!H:H,'BA History S2'!B:B,A11)</f>
        <v>17</v>
      </c>
      <c r="P11" s="2">
        <f>SUMIFS('BA History S2'!G:G,'BA History S2'!B:B,A11)-O11</f>
        <v>21</v>
      </c>
      <c r="Q11" s="89">
        <f>LOOKUP(2, 1/('BA History S2'!$B:$B=A11), 'BA History S2'!$AI:$AI)</f>
        <v>0.44499999999999995</v>
      </c>
      <c r="R11" s="2">
        <f>COUNTIFS('BA History S2'!$B:$B,$A$11,'BA History S2'!K:K, 1)</f>
        <v>0</v>
      </c>
      <c r="S11" s="2">
        <f>COUNTIFS('BA History S2'!$B:$B,$A$11,'BA History S2'!L:L, 1)</f>
        <v>0</v>
      </c>
      <c r="T11" s="2">
        <f>COUNTIFS('BA History S2'!$B:$B,$A$11,'BA History S2'!M:M, 1)</f>
        <v>0</v>
      </c>
      <c r="U11" s="2">
        <f>COUNTIFS('BA History S2'!$B:$B,$A$11,'BA History S2'!N:N, 1)</f>
        <v>1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1</v>
      </c>
      <c r="AH11" s="2">
        <f>COUNTIFS('BA History S2'!$B:$B,$A$11,'BA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1</v>
      </c>
      <c r="AK11" s="2">
        <f>COUNTIFS('BA History S2'!$B:$B,$A$11,'BA History S2'!AD:AD, 1)</f>
        <v>0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</row>
    <row r="12" spans="1:39" x14ac:dyDescent="0.25">
      <c r="A12" s="2" t="s">
        <v>44</v>
      </c>
      <c r="B12" s="2" t="s">
        <v>79</v>
      </c>
      <c r="C12" s="2">
        <v>1</v>
      </c>
      <c r="D12" s="2"/>
      <c r="E12" s="2"/>
      <c r="F12" s="34">
        <f>SUMIFS('BA History S2'!C:C,'BA History S2'!B:B,A12)</f>
        <v>270</v>
      </c>
      <c r="G12" s="66">
        <f>AVERAGEIFS('BA History S2'!C:C,'BA History S2'!B:B,A12)</f>
        <v>16.875</v>
      </c>
      <c r="H12" s="35">
        <f t="array" ref="H12">MAX(IF('BA History S2'!B:B=A12, 'BA History S2'!C:C))</f>
        <v>28</v>
      </c>
      <c r="I12" s="34">
        <f>COUNTIFS('BA History S2'!B:B,A12,'BA History S2'!D:D, 1)</f>
        <v>10</v>
      </c>
      <c r="J12" s="2">
        <f>COUNTIFS('BA History S2'!B:B,A12,'BA History S2'!D:D, 0)</f>
        <v>6</v>
      </c>
      <c r="K12" s="75">
        <f>LOOKUP(2, 1/('BA History S2'!$B:$B=A12), 'BA History S2'!$AJ:$AJ)</f>
        <v>0.625</v>
      </c>
      <c r="L12" s="34">
        <f>SUMIFS('BA History S2'!F:F,'BA History S2'!B:B,A12)</f>
        <v>36</v>
      </c>
      <c r="M12" s="2">
        <f>SUMIFS('BA History S2'!E:E,'BA History S2'!B:B,A12)-L12</f>
        <v>30</v>
      </c>
      <c r="N12" s="75">
        <f>LOOKUP(2, 1/('BA History S2'!$B:$B=A12), 'BA History S2'!$AH:$AH)</f>
        <v>0.54999999999999993</v>
      </c>
      <c r="O12" s="34">
        <f>SUMIFS('BA History S2'!H:H,'BA History S2'!B:B,A12)</f>
        <v>146</v>
      </c>
      <c r="P12" s="2">
        <f>SUMIFS('BA History S2'!G:G,'BA History S2'!B:B,A12)-O12</f>
        <v>131</v>
      </c>
      <c r="Q12" s="89">
        <f>LOOKUP(2, 1/('BA History S2'!$B:$B=A12), 'BA History S2'!$AI:$AI)</f>
        <v>0.54374999999999996</v>
      </c>
      <c r="R12" s="2">
        <f>COUNTIFS('BA History S2'!$B:$B,$A$12,'BA History S2'!K:K, 1)</f>
        <v>1</v>
      </c>
      <c r="S12" s="2">
        <f>COUNTIFS('BA History S2'!$B:$B,$A$12,'BA History S2'!L:L, 1)</f>
        <v>1</v>
      </c>
      <c r="T12" s="2">
        <f>COUNTIFS('BA History S2'!$B:$B,$A$12,'BA History S2'!M:M, 1)</f>
        <v>6</v>
      </c>
      <c r="U12" s="2">
        <f>COUNTIFS('BA History S2'!$B:$B,$A$12,'BA History S2'!N:N, 1)</f>
        <v>5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1</v>
      </c>
      <c r="Y12" s="2">
        <f>COUNTIFS('BA History S2'!$B:$B,$A$12,'BA History S2'!R:R, 1)</f>
        <v>1</v>
      </c>
      <c r="Z12" s="2">
        <f>COUNTIFS('BA History S2'!$B:$B,$A$12,'BA History S2'!S:S, 1)</f>
        <v>1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1</v>
      </c>
      <c r="AE12" s="2">
        <f>COUNTIFS('BA History S2'!$B:$B,$A$12,'BA History S2'!X:X, 1)</f>
        <v>0</v>
      </c>
      <c r="AF12" s="2">
        <f>COUNTIFS('BA History S2'!$B:$B,$A$12,'BA History S2'!Y:Y, 1)</f>
        <v>2</v>
      </c>
      <c r="AG12" s="2">
        <f>COUNTIFS('BA History S2'!$B:$B,$A$12,'BA History S2'!Z:Z, 1)</f>
        <v>4</v>
      </c>
      <c r="AH12" s="2">
        <f>COUNTIFS('BA History S2'!$B:$B,$A$12,'BA History S2'!AA:AA, 1)</f>
        <v>0</v>
      </c>
      <c r="AI12" s="2">
        <f>COUNTIFS('BA History S2'!$B:$B,$A$12,'BA History S2'!AB:AB, 1)</f>
        <v>5</v>
      </c>
      <c r="AJ12" s="2">
        <f>COUNTIFS('BA History S2'!$B:$B,$A$12,'BA History S2'!AC:AC, 1)</f>
        <v>1</v>
      </c>
      <c r="AK12" s="2">
        <f>COUNTIFS('BA History S2'!$B:$B,$A$12,'BA History S2'!AD:AD, 1)</f>
        <v>2</v>
      </c>
      <c r="AL12" s="2">
        <f>COUNTIFS('BA History S2'!$B:$B,$A$12,'BA History S2'!AE:AE, 1)</f>
        <v>0</v>
      </c>
      <c r="AM12" s="2">
        <f>COUNTIFS('BA History S2'!$B:$B,$A$12,'BA History S2'!AF:AF, 1)</f>
        <v>4</v>
      </c>
    </row>
    <row r="13" spans="1:39" x14ac:dyDescent="0.25">
      <c r="A13" s="2" t="s">
        <v>168</v>
      </c>
      <c r="B13" s="2" t="s">
        <v>79</v>
      </c>
      <c r="C13" s="2"/>
      <c r="D13" s="2"/>
      <c r="E13" s="2"/>
      <c r="F13" s="34">
        <f>SUMIFS('BA History S2'!C:C,'BA History S2'!B:B,A13)</f>
        <v>20</v>
      </c>
      <c r="G13" s="66">
        <f>AVERAGEIFS('BA History S2'!C:C,'BA History S2'!B:B,A13)</f>
        <v>10</v>
      </c>
      <c r="H13" s="35">
        <f t="array" ref="H13">MAX(IF('BA History S2'!B:B=A13, 'BA History S2'!C:C))</f>
        <v>14</v>
      </c>
      <c r="I13" s="34">
        <f>COUNTIFS('BA History S2'!B:B,A13,'BA History S2'!D:D, 1)</f>
        <v>1</v>
      </c>
      <c r="J13" s="2">
        <f>COUNTIFS('BA History S2'!B:B,A13,'BA History S2'!D:D, 0)</f>
        <v>1</v>
      </c>
      <c r="K13" s="75">
        <f>LOOKUP(2, 1/('BA History S2'!$B:$B=A13), 'BA History S2'!$AJ:$AJ)</f>
        <v>0.5</v>
      </c>
      <c r="L13" s="34">
        <f>SUMIFS('BA History S2'!F:F,'BA History S2'!B:B,A13)</f>
        <v>4</v>
      </c>
      <c r="M13" s="2">
        <f>SUMIFS('BA History S2'!E:E,'BA History S2'!B:B,A13)-L13</f>
        <v>4</v>
      </c>
      <c r="N13" s="75">
        <f>LOOKUP(2, 1/('BA History S2'!$B:$B=A13), 'BA History S2'!$AH:$AH)</f>
        <v>0.5</v>
      </c>
      <c r="O13" s="34">
        <f>SUMIFS('BA History S2'!H:H,'BA History S2'!B:B,A13)</f>
        <v>17</v>
      </c>
      <c r="P13" s="2">
        <f>SUMIFS('BA History S2'!G:G,'BA History S2'!B:B,A13)-O13</f>
        <v>17</v>
      </c>
      <c r="Q13" s="89">
        <f>LOOKUP(2, 1/('BA History S2'!$B:$B=A13), 'BA History S2'!$AI:$AI)</f>
        <v>0.5</v>
      </c>
      <c r="R13" s="2">
        <f>COUNTIFS('BA History S2'!$B:$B,$A$13,'BA History S2'!K:K, 1)</f>
        <v>0</v>
      </c>
      <c r="S13" s="2">
        <f>COUNTIFS('BA History S2'!$B:$B,$A$13,'BA History S2'!L:L, 1)</f>
        <v>0</v>
      </c>
      <c r="T13" s="2">
        <f>COUNTIFS('BA History S2'!$B:$B,$A$13,'BA History S2'!M:M, 1)</f>
        <v>0</v>
      </c>
      <c r="U13" s="2">
        <f>COUNTIFS('BA History S2'!$B:$B,$A$13,'BA History S2'!N:N, 1)</f>
        <v>0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0</v>
      </c>
      <c r="AC13" s="2">
        <f>COUNTIFS('BA History S2'!$B:$B,$A$13,'BA History S2'!V:V, 1)</f>
        <v>0</v>
      </c>
      <c r="AD13" s="2">
        <f>COUNTIFS('BA History S2'!$B:$B,$A$13,'BA History S2'!W:W, 1)</f>
        <v>0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1</v>
      </c>
      <c r="AH13" s="2">
        <f>COUNTIFS('BA History S2'!$B:$B,$A$13,'BA History S2'!AA:AA, 1)</f>
        <v>0</v>
      </c>
      <c r="AI13" s="2">
        <f>COUNTIFS('BA History S2'!$B:$B,$A$13,'BA History S2'!AB:AB, 1)</f>
        <v>2</v>
      </c>
      <c r="AJ13" s="2">
        <f>COUNTIFS('BA History S2'!$B:$B,$A$13,'BA History S2'!AC:AC, 1)</f>
        <v>0</v>
      </c>
      <c r="AK13" s="2">
        <f>COUNTIFS('BA History S2'!$B:$B,$A$13,'BA History S2'!AD:AD, 1)</f>
        <v>0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</row>
    <row r="14" spans="1:39" x14ac:dyDescent="0.25">
      <c r="A14" s="2" t="s">
        <v>1</v>
      </c>
      <c r="B14" s="1" t="s">
        <v>158</v>
      </c>
      <c r="F14" s="34">
        <f>SUMIFS('BA History S2'!C:C,'BA History S2'!B:B,A14)</f>
        <v>340</v>
      </c>
      <c r="G14" s="66">
        <f>AVERAGEIFS('BA History S2'!C:C,'BA History S2'!B:B,A14)</f>
        <v>26.153846153846153</v>
      </c>
      <c r="H14" s="35">
        <f t="array" ref="H14">MAX(IF('BA History S2'!B:B=A14, 'BA History S2'!C:C))</f>
        <v>49</v>
      </c>
      <c r="I14" s="34">
        <f>COUNTIFS('BA History S2'!B:B,A14,'BA History S2'!D:D, 1)</f>
        <v>7</v>
      </c>
      <c r="J14" s="2">
        <f>COUNTIFS('BA History S2'!B:B,A14,'BA History S2'!D:D, 0)</f>
        <v>6</v>
      </c>
      <c r="K14" s="75">
        <f>LOOKUP(2, 1/('BA History S2'!$B:$B=A14), 'BA History S2'!$AJ:$AJ)</f>
        <v>0.53846153846153844</v>
      </c>
      <c r="L14" s="34">
        <f>SUMIFS('BA History S2'!F:F,'BA History S2'!B:B,A14)</f>
        <v>28</v>
      </c>
      <c r="M14" s="2">
        <f>SUMIFS('BA History S2'!E:E,'BA History S2'!B:B,A14)-L14</f>
        <v>24</v>
      </c>
      <c r="N14" s="75">
        <f>LOOKUP(2, 1/('BA History S2'!$B:$B=A14), 'BA History S2'!$AH:$AH)</f>
        <v>0.55000000000000004</v>
      </c>
      <c r="O14" s="34">
        <f>SUMIFS('BA History S2'!H:H,'BA History S2'!B:B,A14)</f>
        <v>113</v>
      </c>
      <c r="P14" s="2">
        <f>SUMIFS('BA History S2'!G:G,'BA History S2'!B:B,A14)-O14</f>
        <v>102</v>
      </c>
      <c r="Q14" s="89">
        <f>LOOKUP(2, 1/('BA History S2'!$B:$B=A14), 'BA History S2'!$AI:$AI)</f>
        <v>0.54999999999999993</v>
      </c>
      <c r="R14" s="2">
        <f>COUNTIFS('BA History S2'!$B:$B,$A$14,'BA History S2'!K:K, 1)</f>
        <v>2</v>
      </c>
      <c r="S14" s="2">
        <f>COUNTIFS('BA History S2'!$B:$B,$A$14,'BA History S2'!L:L, 1)</f>
        <v>2</v>
      </c>
      <c r="T14" s="2">
        <f>COUNTIFS('BA History S2'!$B:$B,$A$14,'BA History S2'!M:M, 1)</f>
        <v>2</v>
      </c>
      <c r="U14" s="2">
        <f>COUNTIFS('BA History S2'!$B:$B,$A$14,'BA History S2'!N:N, 1)</f>
        <v>3</v>
      </c>
      <c r="V14" s="2">
        <f>COUNTIFS('BA History S2'!$B:$B,$A$14,'BA History S2'!O:O, 1)</f>
        <v>1</v>
      </c>
      <c r="W14" s="2">
        <f>COUNTIFS('BA History S2'!$B:$B,$A$14,'BA History S2'!P:P, 1)</f>
        <v>0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1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3</v>
      </c>
      <c r="AH14" s="2">
        <f>COUNTIFS('BA History S2'!$B:$B,$A$14,'BA History S2'!AA:AA, 1)</f>
        <v>0</v>
      </c>
      <c r="AI14" s="2">
        <f>COUNTIFS('BA History S2'!$B:$B,$A$14,'BA History S2'!AB:AB, 1)</f>
        <v>2</v>
      </c>
      <c r="AJ14" s="2">
        <f>COUNTIFS('BA History S2'!$B:$B,$A$14,'BA History S2'!AC:AC, 1)</f>
        <v>1</v>
      </c>
      <c r="AK14" s="2">
        <f>COUNTIFS('BA History S2'!$B:$B,$A$14,'BA History S2'!AD:AD, 1)</f>
        <v>3</v>
      </c>
      <c r="AL14" s="2">
        <f>COUNTIFS('BA History S2'!$B:$B,$A$14,'BA History S2'!AE:AE, 1)</f>
        <v>0</v>
      </c>
      <c r="AM14" s="2">
        <f>COUNTIFS('BA History S2'!$B:$B,$A$14,'BA History S2'!AF:AF, 1)</f>
        <v>3</v>
      </c>
    </row>
    <row r="15" spans="1:39" ht="15.75" x14ac:dyDescent="0.25">
      <c r="A15" s="2" t="s">
        <v>150</v>
      </c>
      <c r="B15" s="95" t="s">
        <v>79</v>
      </c>
      <c r="C15" s="95">
        <v>1</v>
      </c>
      <c r="D15" s="95"/>
      <c r="E15" s="95"/>
      <c r="F15" s="34">
        <f>SUMIFS('BA History S2'!C:C,'BA History S2'!B:B,A15)</f>
        <v>204</v>
      </c>
      <c r="G15" s="66">
        <f>AVERAGEIFS('BA History S2'!C:C,'BA History S2'!B:B,A15)</f>
        <v>18.545454545454547</v>
      </c>
      <c r="H15" s="35">
        <f t="array" ref="H15">MAX(IF('BA History S2'!B:B=A15, 'BA History S2'!C:C))</f>
        <v>28</v>
      </c>
      <c r="I15" s="34">
        <f>COUNTIFS('BA History S2'!B:B,A15,'BA History S2'!D:D, 1)</f>
        <v>9</v>
      </c>
      <c r="J15" s="2">
        <f>COUNTIFS('BA History S2'!B:B,A15,'BA History S2'!D:D, 0)</f>
        <v>2</v>
      </c>
      <c r="K15" s="75">
        <f>LOOKUP(2, 1/('BA History S2'!$B:$B=A15), 'BA History S2'!$AJ:$AJ)</f>
        <v>0.81818181818181823</v>
      </c>
      <c r="L15" s="34">
        <f>SUMIFS('BA History S2'!F:F,'BA History S2'!B:B,A15)</f>
        <v>30</v>
      </c>
      <c r="M15" s="2">
        <f>SUMIFS('BA History S2'!E:E,'BA History S2'!B:B,A15)-L15</f>
        <v>12</v>
      </c>
      <c r="N15" s="75">
        <f>LOOKUP(2, 1/('BA History S2'!$B:$B=A15), 'BA History S2'!$AH:$AH)</f>
        <v>0.74090909090909096</v>
      </c>
      <c r="O15" s="34">
        <f>SUMIFS('BA History S2'!H:H,'BA History S2'!B:B,A15)</f>
        <v>104</v>
      </c>
      <c r="P15" s="2">
        <f>SUMIFS('BA History S2'!G:G,'BA History S2'!B:B,A15)-O15</f>
        <v>65</v>
      </c>
      <c r="Q15" s="89">
        <f>LOOKUP(2, 1/('BA History S2'!$B:$B=A15), 'BA History S2'!$AI:$AI)</f>
        <v>0.64363636363636367</v>
      </c>
      <c r="R15" s="2">
        <f>COUNTIFS('BA History S2'!$B:$B,$A$15,'BA History S2'!K:K, 1)</f>
        <v>0</v>
      </c>
      <c r="S15" s="2">
        <f>COUNTIFS('BA History S2'!$B:$B,$A$15,'BA History S2'!L:L, 1)</f>
        <v>1</v>
      </c>
      <c r="T15" s="2">
        <f>COUNTIFS('BA History S2'!$B:$B,$A$15,'BA History S2'!M:M, 1)</f>
        <v>3</v>
      </c>
      <c r="U15" s="2">
        <f>COUNTIFS('BA History S2'!$B:$B,$A$15,'BA History S2'!N:N, 1)</f>
        <v>5</v>
      </c>
      <c r="V15" s="2">
        <f>COUNTIFS('BA History S2'!$B:$B,$A$15,'BA History S2'!O:O, 1)</f>
        <v>0</v>
      </c>
      <c r="W15" s="2">
        <f>COUNTIFS('BA History S2'!$B:$B,$A$15,'BA History S2'!P:P, 1)</f>
        <v>1</v>
      </c>
      <c r="X15" s="2">
        <f>COUNTIFS('BA History S2'!$B:$B,$A$15,'BA History S2'!Q:Q, 1)</f>
        <v>1</v>
      </c>
      <c r="Y15" s="2">
        <f>COUNTIFS('BA History S2'!$B:$B,$A$15,'BA History S2'!R:R, 1)</f>
        <v>0</v>
      </c>
      <c r="Z15" s="2">
        <f>COUNTIFS('BA History S2'!$B:$B,$A$15,'BA History S2'!S:S, 1)</f>
        <v>1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2</v>
      </c>
      <c r="AG15" s="2">
        <f>COUNTIFS('BA History S2'!$B:$B,$A$15,'BA History S2'!Z:Z, 1)</f>
        <v>6</v>
      </c>
      <c r="AH15" s="2">
        <f>COUNTIFS('BA History S2'!$B:$B,$A$15,'BA History S2'!AA:AA, 1)</f>
        <v>0</v>
      </c>
      <c r="AI15" s="2">
        <f>COUNTIFS('BA History S2'!$B:$B,$A$15,'BA History S2'!AB:AB, 1)</f>
        <v>4</v>
      </c>
      <c r="AJ15" s="2">
        <f>COUNTIFS('BA History S2'!$B:$B,$A$15,'BA History S2'!AC:AC, 1)</f>
        <v>1</v>
      </c>
      <c r="AK15" s="2">
        <f>COUNTIFS('BA History S2'!$B:$B,$A$15,'BA History S2'!AD:AD, 1)</f>
        <v>2</v>
      </c>
      <c r="AL15" s="2">
        <f>COUNTIFS('BA History S2'!$B:$B,$A$15,'BA History S2'!AE:AE, 1)</f>
        <v>0</v>
      </c>
      <c r="AM15" s="2">
        <f>COUNTIFS('BA History S2'!$B:$B,$A$15,'BA History S2'!AF:AF, 1)</f>
        <v>3</v>
      </c>
    </row>
    <row r="16" spans="1:39" x14ac:dyDescent="0.25">
      <c r="A16" s="2" t="s">
        <v>46</v>
      </c>
      <c r="B16" s="1" t="s">
        <v>158</v>
      </c>
      <c r="F16" s="34">
        <f>SUMIFS('BA History S2'!C:C,'BA History S2'!B:B,A16)</f>
        <v>96</v>
      </c>
      <c r="G16" s="66">
        <f>AVERAGEIFS('BA History S2'!C:C,'BA History S2'!B:B,A16)</f>
        <v>16</v>
      </c>
      <c r="H16" s="35">
        <f t="array" ref="H16">MAX(IF('BA History S2'!B:B=A16, 'BA History S2'!C:C))</f>
        <v>34</v>
      </c>
      <c r="I16" s="34">
        <f>COUNTIFS('BA History S2'!B:B,A16,'BA History S2'!D:D, 1)</f>
        <v>1</v>
      </c>
      <c r="J16" s="2">
        <f>COUNTIFS('BA History S2'!B:B,A16,'BA History S2'!D:D, 0)</f>
        <v>5</v>
      </c>
      <c r="K16" s="75">
        <f>LOOKUP(2, 1/('BA History S2'!$B:$B=A16), 'BA History S2'!$AJ:$AJ)</f>
        <v>0.16666666666666666</v>
      </c>
      <c r="L16" s="34">
        <f>SUMIFS('BA History S2'!F:F,'BA History S2'!B:B,A16)</f>
        <v>8</v>
      </c>
      <c r="M16" s="2">
        <f>SUMIFS('BA History S2'!E:E,'BA History S2'!B:B,A16)-L16</f>
        <v>17</v>
      </c>
      <c r="N16" s="75">
        <f>LOOKUP(2, 1/('BA History S2'!$B:$B=A16), 'BA History S2'!$AH:$AH)</f>
        <v>0.27499999999999997</v>
      </c>
      <c r="O16" s="34">
        <f>SUMIFS('BA History S2'!H:H,'BA History S2'!B:B,A16)</f>
        <v>41</v>
      </c>
      <c r="P16" s="2">
        <f>SUMIFS('BA History S2'!G:G,'BA History S2'!B:B,A16)-O16</f>
        <v>62</v>
      </c>
      <c r="Q16" s="89">
        <f>LOOKUP(2, 1/('BA History S2'!$B:$B=A16), 'BA History S2'!$AI:$AI)</f>
        <v>0.35499999999999998</v>
      </c>
      <c r="R16" s="2">
        <f>COUNTIFS('BA History S2'!$B:$B,$A$16,'BA History S2'!K:K, 1)</f>
        <v>1</v>
      </c>
      <c r="S16" s="2">
        <f>COUNTIFS('BA History S2'!$B:$B,$A$16,'BA History S2'!L:L, 1)</f>
        <v>2</v>
      </c>
      <c r="T16" s="2">
        <f>COUNTIFS('BA History S2'!$B:$B,$A$16,'BA History S2'!M:M, 1)</f>
        <v>0</v>
      </c>
      <c r="U16" s="2">
        <f>COUNTIFS('BA History S2'!$B:$B,$A$16,'BA History S2'!N:N, 1)</f>
        <v>1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1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1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1</v>
      </c>
    </row>
    <row r="17" spans="1:39" x14ac:dyDescent="0.25">
      <c r="A17" s="2" t="s">
        <v>28</v>
      </c>
      <c r="B17" s="1" t="s">
        <v>79</v>
      </c>
      <c r="F17" s="34">
        <f>SUMIFS('BA History S2'!C:C,'BA History S2'!B:B,A17)</f>
        <v>9</v>
      </c>
      <c r="G17" s="66">
        <f>AVERAGEIFS('BA History S2'!C:C,'BA History S2'!B:B,A17)</f>
        <v>9</v>
      </c>
      <c r="H17" s="35">
        <f t="array" ref="H17">MAX(IF('BA History S2'!B:B=A17, 'BA History S2'!C:C))</f>
        <v>9</v>
      </c>
      <c r="I17" s="34">
        <f>COUNTIFS('BA History S2'!B:B,A17,'BA History S2'!D:D, 1)</f>
        <v>0</v>
      </c>
      <c r="J17" s="2">
        <f>COUNTIFS('BA History S2'!B:B,A17,'BA History S2'!D:D, 0)</f>
        <v>1</v>
      </c>
      <c r="K17" s="75">
        <f>LOOKUP(2, 1/('BA History S2'!$B:$B=A17), 'BA History S2'!$AJ:$AJ)</f>
        <v>0</v>
      </c>
      <c r="L17" s="34">
        <f>SUMIFS('BA History S2'!F:F,'BA History S2'!B:B,A17)</f>
        <v>0</v>
      </c>
      <c r="M17" s="2">
        <f>SUMIFS('BA History S2'!E:E,'BA History S2'!B:B,A17)-L17</f>
        <v>3</v>
      </c>
      <c r="N17" s="75">
        <f>LOOKUP(2, 1/('BA History S2'!$B:$B=A17), 'BA History S2'!$AH:$AH)</f>
        <v>0</v>
      </c>
      <c r="O17" s="34">
        <f>SUMIFS('BA History S2'!H:H,'BA History S2'!B:B,A17)</f>
        <v>1</v>
      </c>
      <c r="P17" s="2">
        <f>SUMIFS('BA History S2'!G:G,'BA History S2'!B:B,A17)-O17</f>
        <v>9</v>
      </c>
      <c r="Q17" s="89">
        <f>LOOKUP(2, 1/('BA History S2'!$B:$B=A17), 'BA History S2'!$AI:$AI)</f>
        <v>0.1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0</v>
      </c>
      <c r="AG17" s="2">
        <f>COUNTIFS('BA History S2'!$B:$B,$A$17,'BA History S2'!Z:Z, 1)</f>
        <v>0</v>
      </c>
      <c r="AH17" s="2">
        <f>COUNTIFS('BA History S2'!$B:$B,$A$17,'BA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0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</row>
    <row r="18" spans="1:39" x14ac:dyDescent="0.25">
      <c r="A18" s="2" t="s">
        <v>53</v>
      </c>
      <c r="B18" s="2" t="s">
        <v>79</v>
      </c>
      <c r="C18" s="2">
        <v>1</v>
      </c>
      <c r="D18" s="2"/>
      <c r="E18" s="2"/>
      <c r="F18" s="34">
        <f>SUMIFS('BA History S2'!C:C,'BA History S2'!B:B,A18)</f>
        <v>142</v>
      </c>
      <c r="G18" s="66">
        <f>AVERAGEIFS('BA History S2'!C:C,'BA History S2'!B:B,A18)</f>
        <v>12.909090909090908</v>
      </c>
      <c r="H18" s="35">
        <f t="array" ref="H18">MAX(IF('BA History S2'!B:B=A18, 'BA History S2'!C:C))</f>
        <v>27</v>
      </c>
      <c r="I18" s="34">
        <f>COUNTIFS('BA History S2'!B:B,A18,'BA History S2'!D:D, 1)</f>
        <v>2</v>
      </c>
      <c r="J18" s="2">
        <f>COUNTIFS('BA History S2'!B:B,A18,'BA History S2'!D:D, 0)</f>
        <v>9</v>
      </c>
      <c r="K18" s="75">
        <f>LOOKUP(2, 1/('BA History S2'!$B:$B=A18), 'BA History S2'!$AJ:$AJ)</f>
        <v>0.18181818181818182</v>
      </c>
      <c r="L18" s="34">
        <f>SUMIFS('BA History S2'!F:F,'BA History S2'!B:B,A18)</f>
        <v>17</v>
      </c>
      <c r="M18" s="2">
        <f>SUMIFS('BA History S2'!E:E,'BA History S2'!B:B,A18)-L18</f>
        <v>27</v>
      </c>
      <c r="N18" s="75">
        <f>LOOKUP(2, 1/('BA History S2'!$B:$B=A18), 'BA History S2'!$AH:$AH)</f>
        <v>0.40454545454545449</v>
      </c>
      <c r="O18" s="34">
        <f>SUMIFS('BA History S2'!H:H,'BA History S2'!B:B,A18)</f>
        <v>83</v>
      </c>
      <c r="P18" s="2">
        <f>SUMIFS('BA History S2'!G:G,'BA History S2'!B:B,A18)-O18</f>
        <v>100</v>
      </c>
      <c r="Q18" s="89">
        <f>LOOKUP(2, 1/('BA History S2'!$B:$B=A18), 'BA History S2'!$AI:$AI)</f>
        <v>0.45909090909090905</v>
      </c>
      <c r="R18" s="2">
        <f>COUNTIFS('BA History S2'!$B:$B,$A$18,'BA History S2'!K:K, 1)</f>
        <v>1</v>
      </c>
      <c r="S18" s="2">
        <f>COUNTIFS('BA History S2'!$B:$B,$A$18,'BA History S2'!L:L, 1)</f>
        <v>3</v>
      </c>
      <c r="T18" s="2">
        <f>COUNTIFS('BA History S2'!$B:$B,$A$18,'BA History S2'!M:M, 1)</f>
        <v>0</v>
      </c>
      <c r="U18" s="2">
        <f>COUNTIFS('BA History S2'!$B:$B,$A$18,'BA History S2'!N:N, 1)</f>
        <v>3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1</v>
      </c>
      <c r="AG18" s="2">
        <f>COUNTIFS('BA History S2'!$B:$B,$A$18,'BA History S2'!Z:Z, 1)</f>
        <v>3</v>
      </c>
      <c r="AH18" s="2">
        <f>COUNTIFS('BA History S2'!$B:$B,$A$18,'BA History S2'!AA:AA, 1)</f>
        <v>0</v>
      </c>
      <c r="AI18" s="2">
        <f>COUNTIFS('BA History S2'!$B:$B,$A$18,'BA History S2'!AB:AB, 1)</f>
        <v>2</v>
      </c>
      <c r="AJ18" s="2">
        <f>COUNTIFS('BA History S2'!$B:$B,$A$18,'BA History S2'!AC:AC, 1)</f>
        <v>2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2</v>
      </c>
    </row>
    <row r="19" spans="1:39" x14ac:dyDescent="0.25">
      <c r="A19" s="2" t="s">
        <v>148</v>
      </c>
      <c r="B19" s="2" t="s">
        <v>79</v>
      </c>
      <c r="C19" s="2"/>
      <c r="D19" s="2"/>
      <c r="E19" s="2"/>
      <c r="F19" s="34">
        <f>SUMIFS('BA History S2'!C:C,'BA History S2'!B:B,A19)</f>
        <v>2</v>
      </c>
      <c r="G19" s="66">
        <f>AVERAGEIFS('BA History S2'!C:C,'BA History S2'!B:B,A19)</f>
        <v>2</v>
      </c>
      <c r="H19" s="35">
        <f t="array" ref="H19">MAX(IF('BA History S2'!B:B=A19, 'BA History S2'!C:C))</f>
        <v>2</v>
      </c>
      <c r="I19" s="34">
        <f>COUNTIFS('BA History S2'!B:B,A19,'BA History S2'!D:D, 1)</f>
        <v>1</v>
      </c>
      <c r="J19" s="2">
        <f>COUNTIFS('BA History S2'!B:B,A19,'BA History S2'!D:D, 0)</f>
        <v>0</v>
      </c>
      <c r="K19" s="75">
        <f>LOOKUP(2, 1/('BA History S2'!$B:$B=A19), 'BA History S2'!$AJ:$AJ)</f>
        <v>1</v>
      </c>
      <c r="L19" s="34">
        <f>SUMIFS('BA History S2'!F:F,'BA History S2'!B:B,A19)</f>
        <v>3</v>
      </c>
      <c r="M19" s="2">
        <f>SUMIFS('BA History S2'!E:E,'BA History S2'!B:B,A19)-L19</f>
        <v>2</v>
      </c>
      <c r="N19" s="75">
        <f>LOOKUP(2, 1/('BA History S2'!$B:$B=A19), 'BA History S2'!$AH:$AH)</f>
        <v>0.6</v>
      </c>
      <c r="O19" s="34">
        <f>SUMIFS('BA History S2'!H:H,'BA History S2'!B:B,A19)</f>
        <v>10</v>
      </c>
      <c r="P19" s="2">
        <f>SUMIFS('BA History S2'!G:G,'BA History S2'!B:B,A19)-O19</f>
        <v>9</v>
      </c>
      <c r="Q19" s="89">
        <f>LOOKUP(2, 1/('BA History S2'!$B:$B=A19), 'BA History S2'!$AI:$AI)</f>
        <v>0.53</v>
      </c>
      <c r="R19" s="2">
        <f>COUNTIFS('BA History S2'!$B:$B,$A$19,'BA History S2'!K:K, 1)</f>
        <v>0</v>
      </c>
      <c r="S19" s="2">
        <f>COUNTIFS('BA History S2'!$B:$B,$A$19,'BA History S2'!L:L, 1)</f>
        <v>1</v>
      </c>
      <c r="T19" s="2">
        <f>COUNTIFS('BA History S2'!$B:$B,$A$19,'BA History S2'!M:M, 1)</f>
        <v>0</v>
      </c>
      <c r="U19" s="2">
        <f>COUNTIFS('BA History S2'!$B:$B,$A$19,'BA History S2'!N:N, 1)</f>
        <v>1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0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0</v>
      </c>
      <c r="AG19" s="2">
        <f>COUNTIFS('BA History S2'!$B:$B,$A$19,'BA History S2'!Z:Z, 1)</f>
        <v>0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0</v>
      </c>
      <c r="AK19" s="2">
        <f>COUNTIFS('BA History S2'!$B:$B,$A$19,'BA History S2'!AD:AD, 1)</f>
        <v>0</v>
      </c>
      <c r="AL19" s="2">
        <f>COUNTIFS('BA History S2'!$B:$B,$A$19,'BA History S2'!AE:AE, 1)</f>
        <v>0</v>
      </c>
      <c r="AM19" s="2">
        <f>COUNTIFS('BA History S2'!$B:$B,$A$19,'BA History S2'!AF:AF, 1)</f>
        <v>0</v>
      </c>
    </row>
    <row r="20" spans="1:39" x14ac:dyDescent="0.25">
      <c r="A20" s="2" t="s">
        <v>161</v>
      </c>
      <c r="B20" s="2" t="s">
        <v>79</v>
      </c>
      <c r="C20" s="2"/>
      <c r="D20" s="2"/>
      <c r="E20" s="2"/>
      <c r="F20" s="34">
        <f>SUMIFS('BA History S2'!C:C,'BA History S2'!B:B,A20)</f>
        <v>55</v>
      </c>
      <c r="G20" s="66">
        <f>AVERAGEIFS('BA History S2'!C:C,'BA History S2'!B:B,A20)</f>
        <v>7.8571428571428568</v>
      </c>
      <c r="H20" s="35">
        <f t="array" ref="H20">MAX(IF('BA History S2'!B:B=A20, 'BA History S2'!C:C))</f>
        <v>24</v>
      </c>
      <c r="I20" s="34">
        <f>COUNTIFS('BA History S2'!B:B,A20,'BA History S2'!D:D, 1)</f>
        <v>4</v>
      </c>
      <c r="J20" s="2">
        <f>COUNTIFS('BA History S2'!B:B,A20,'BA History S2'!D:D, 0)</f>
        <v>3</v>
      </c>
      <c r="K20" s="75">
        <f>LOOKUP(2, 1/('BA History S2'!$B:$B=A20), 'BA History S2'!$AJ:$AJ)</f>
        <v>0.5714285714285714</v>
      </c>
      <c r="L20" s="34">
        <f>SUMIFS('BA History S2'!F:F,'BA History S2'!B:B,A20)</f>
        <v>17</v>
      </c>
      <c r="M20" s="2">
        <f>SUMIFS('BA History S2'!E:E,'BA History S2'!B:B,A20)-L20</f>
        <v>12</v>
      </c>
      <c r="N20" s="75">
        <f>LOOKUP(2, 1/('BA History S2'!$B:$B=A20), 'BA History S2'!$AH:$AH)</f>
        <v>0.61428571428571421</v>
      </c>
      <c r="O20" s="34">
        <f>SUMIFS('BA History S2'!H:H,'BA History S2'!B:B,A20)</f>
        <v>65</v>
      </c>
      <c r="P20" s="2">
        <f>SUMIFS('BA History S2'!G:G,'BA History S2'!B:B,A20)-O20</f>
        <v>60</v>
      </c>
      <c r="Q20" s="89">
        <f>LOOKUP(2, 1/('BA History S2'!$B:$B=A20), 'BA History S2'!$AI:$AI)</f>
        <v>0.53714285714285714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2</v>
      </c>
      <c r="U20" s="2">
        <f>COUNTIFS('BA History S2'!$B:$B,$A$20,'BA History S2'!N:N, 1)</f>
        <v>1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1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1</v>
      </c>
      <c r="AD20" s="2">
        <f>COUNTIFS('BA History S2'!$B:$B,$A$20,'BA History S2'!W:W, 1)</f>
        <v>0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3</v>
      </c>
      <c r="AH20" s="2">
        <f>COUNTIFS('BA History S2'!$B:$B,$A$20,'BA History S2'!AA:AA, 1)</f>
        <v>0</v>
      </c>
      <c r="AI20" s="2">
        <f>COUNTIFS('BA History S2'!$B:$B,$A$20,'BA History S2'!AB:AB, 1)</f>
        <v>2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13</v>
      </c>
      <c r="B21" s="2" t="s">
        <v>79</v>
      </c>
      <c r="C21" s="2"/>
      <c r="D21" s="2"/>
      <c r="E21" s="2"/>
      <c r="F21" s="34">
        <f>SUMIFS('BA History S2'!C:C,'BA History S2'!B:B,A21)</f>
        <v>79</v>
      </c>
      <c r="G21" s="66">
        <f>AVERAGEIFS('BA History S2'!C:C,'BA History S2'!B:B,A21)</f>
        <v>15.8</v>
      </c>
      <c r="H21" s="35">
        <f t="array" ref="H21">MAX(IF('BA History S2'!B:B=A21, 'BA History S2'!C:C))</f>
        <v>23</v>
      </c>
      <c r="I21" s="34">
        <f>COUNTIFS('BA History S2'!B:B,A21,'BA History S2'!D:D, 1)</f>
        <v>3</v>
      </c>
      <c r="J21" s="2">
        <f>COUNTIFS('BA History S2'!B:B,A21,'BA History S2'!D:D, 0)</f>
        <v>2</v>
      </c>
      <c r="K21" s="75">
        <f>LOOKUP(2, 1/('BA History S2'!$B:$B=A21), 'BA History S2'!$AJ:$AJ)</f>
        <v>0.6</v>
      </c>
      <c r="L21" s="34">
        <f>SUMIFS('BA History S2'!F:F,'BA History S2'!B:B,A21)</f>
        <v>10</v>
      </c>
      <c r="M21" s="2">
        <f>SUMIFS('BA History S2'!E:E,'BA History S2'!B:B,A21)-L21</f>
        <v>8</v>
      </c>
      <c r="N21" s="75">
        <f>LOOKUP(2, 1/('BA History S2'!$B:$B=A21), 'BA History S2'!$AH:$AH)</f>
        <v>0.55000000000000004</v>
      </c>
      <c r="O21" s="34">
        <f>SUMIFS('BA History S2'!H:H,'BA History S2'!B:B,A21)</f>
        <v>39</v>
      </c>
      <c r="P21" s="2">
        <f>SUMIFS('BA History S2'!G:G,'BA History S2'!B:B,A21)-O21</f>
        <v>39</v>
      </c>
      <c r="Q21" s="89">
        <f>LOOKUP(2, 1/('BA History S2'!$B:$B=A21), 'BA History S2'!$AI:$AI)</f>
        <v>0.48599999999999993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0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1</v>
      </c>
      <c r="AE21" s="2">
        <f>COUNTIFS('BA History S2'!$B:$B,$A$21,'BA History S2'!X:X, 1)</f>
        <v>0</v>
      </c>
      <c r="AF21" s="2">
        <f>COUNTIFS('BA History S2'!$B:$B,$A$21,'BA History S2'!Y:Y, 1)</f>
        <v>1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1</v>
      </c>
      <c r="AJ21" s="2">
        <f>COUNTIFS('BA History S2'!$B:$B,$A$21,'BA History S2'!AC:AC, 1)</f>
        <v>2</v>
      </c>
      <c r="AK21" s="2">
        <f>COUNTIFS('BA History S2'!$B:$B,$A$21,'BA History S2'!AD:AD, 1)</f>
        <v>1</v>
      </c>
      <c r="AL21" s="2">
        <f>COUNTIFS('BA History S2'!$B:$B,$A$21,'BA History S2'!AE:AE, 1)</f>
        <v>0</v>
      </c>
      <c r="AM21" s="2">
        <f>COUNTIFS('BA History S2'!$B:$B,$A$21,'BA History S2'!AF:AF, 1)</f>
        <v>1</v>
      </c>
    </row>
    <row r="22" spans="1:39" x14ac:dyDescent="0.25">
      <c r="A22" s="2" t="s">
        <v>2</v>
      </c>
      <c r="B22" s="1" t="s">
        <v>158</v>
      </c>
      <c r="C22" s="1">
        <v>1</v>
      </c>
      <c r="F22" s="34">
        <f>SUMIFS('BA History S2'!C:C,'BA History S2'!B:B,A22)</f>
        <v>151</v>
      </c>
      <c r="G22" s="66">
        <f>AVERAGEIFS('BA History S2'!C:C,'BA History S2'!B:B,A22)</f>
        <v>16.777777777777779</v>
      </c>
      <c r="H22" s="35">
        <f t="array" ref="H22">MAX(IF('BA History S2'!B:B=A22, 'BA History S2'!C:C))</f>
        <v>33</v>
      </c>
      <c r="I22" s="34">
        <f>COUNTIFS('BA History S2'!B:B,A22,'BA History S2'!D:D, 1)</f>
        <v>3</v>
      </c>
      <c r="J22" s="2">
        <f>COUNTIFS('BA History S2'!B:B,A22,'BA History S2'!D:D, 0)</f>
        <v>6</v>
      </c>
      <c r="K22" s="75">
        <f>LOOKUP(2, 1/('BA History S2'!$B:$B=A22), 'BA History S2'!$AJ:$AJ)</f>
        <v>0.33333333333333331</v>
      </c>
      <c r="L22" s="34">
        <f>SUMIFS('BA History S2'!F:F,'BA History S2'!B:B,A22)</f>
        <v>16</v>
      </c>
      <c r="M22" s="2">
        <f>SUMIFS('BA History S2'!E:E,'BA History S2'!B:B,A22)-L22</f>
        <v>20</v>
      </c>
      <c r="N22" s="75">
        <f>LOOKUP(2, 1/('BA History S2'!$B:$B=A22), 'BA History S2'!$AH:$AH)</f>
        <v>0.44999999999999996</v>
      </c>
      <c r="O22" s="34">
        <f>SUMIFS('BA History S2'!H:H,'BA History S2'!B:B,A22)</f>
        <v>76</v>
      </c>
      <c r="P22" s="2">
        <f>SUMIFS('BA History S2'!G:G,'BA History S2'!B:B,A22)-O22</f>
        <v>76</v>
      </c>
      <c r="Q22" s="89">
        <f>LOOKUP(2, 1/('BA History S2'!$B:$B=A22), 'BA History S2'!$AI:$AI)</f>
        <v>0.49444444444444446</v>
      </c>
      <c r="R22" s="2">
        <f>COUNTIFS('BA History S2'!$B:$B,$A$22,'BA History S2'!K:K, 1)</f>
        <v>1</v>
      </c>
      <c r="S22" s="2">
        <f>COUNTIFS('BA History S2'!$B:$B,$A$22,'BA History S2'!L:L, 1)</f>
        <v>1</v>
      </c>
      <c r="T22" s="2">
        <f>COUNTIFS('BA History S2'!$B:$B,$A$22,'BA History S2'!M:M, 1)</f>
        <v>0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0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1</v>
      </c>
      <c r="AH22" s="2">
        <f>COUNTIFS('BA History S2'!$B:$B,$A$22,'BA History S2'!AA:AA, 1)</f>
        <v>0</v>
      </c>
      <c r="AI22" s="2">
        <f>COUNTIFS('BA History S2'!$B:$B,$A$22,'BA History S2'!AB:AB, 1)</f>
        <v>3</v>
      </c>
      <c r="AJ22" s="2">
        <f>COUNTIFS('BA History S2'!$B:$B,$A$22,'BA History S2'!AC:AC, 1)</f>
        <v>2</v>
      </c>
      <c r="AK22" s="2">
        <f>COUNTIFS('BA History S2'!$B:$B,$A$22,'BA History S2'!AD:AD, 1)</f>
        <v>2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54</v>
      </c>
      <c r="B23" s="2" t="s">
        <v>79</v>
      </c>
      <c r="C23" s="2">
        <v>2</v>
      </c>
      <c r="D23" s="2">
        <v>1</v>
      </c>
      <c r="E23" s="2"/>
      <c r="F23" s="34">
        <f>SUMIFS('BA History S2'!C:C,'BA History S2'!B:B,A23)</f>
        <v>211</v>
      </c>
      <c r="G23" s="66">
        <f>AVERAGEIFS('BA History S2'!C:C,'BA History S2'!B:B,A23)</f>
        <v>23.444444444444443</v>
      </c>
      <c r="H23" s="35">
        <f t="array" ref="H23">MAX(IF('BA History S2'!B:B=A23, 'BA History S2'!C:C))</f>
        <v>47</v>
      </c>
      <c r="I23" s="34">
        <f>COUNTIFS('BA History S2'!B:B,A23,'BA History S2'!D:D, 1)</f>
        <v>5</v>
      </c>
      <c r="J23" s="2">
        <f>COUNTIFS('BA History S2'!B:B,A23,'BA History S2'!D:D, 0)</f>
        <v>4</v>
      </c>
      <c r="K23" s="75">
        <f>LOOKUP(2, 1/('BA History S2'!$B:$B=A23), 'BA History S2'!$AJ:$AJ)</f>
        <v>0.55555555555555558</v>
      </c>
      <c r="L23" s="34">
        <f>SUMIFS('BA History S2'!F:F,'BA History S2'!B:B,A23)</f>
        <v>19</v>
      </c>
      <c r="M23" s="2">
        <f>SUMIFS('BA History S2'!E:E,'BA History S2'!B:B,A23)-L23</f>
        <v>15</v>
      </c>
      <c r="N23" s="75">
        <f>LOOKUP(2, 1/('BA History S2'!$B:$B=A23), 'BA History S2'!$AH:$AH)</f>
        <v>0.58333333333333337</v>
      </c>
      <c r="O23" s="34">
        <f>SUMIFS('BA History S2'!H:H,'BA History S2'!B:B,A23)</f>
        <v>72</v>
      </c>
      <c r="P23" s="2">
        <f>SUMIFS('BA History S2'!G:G,'BA History S2'!B:B,A23)-O23</f>
        <v>66</v>
      </c>
      <c r="Q23" s="89">
        <f>LOOKUP(2, 1/('BA History S2'!$B:$B=A23), 'BA History S2'!$AI:$AI)</f>
        <v>0.52666666666666662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2</v>
      </c>
      <c r="U23" s="2">
        <f>COUNTIFS('BA History S2'!$B:$B,$A$23,'BA History S2'!N:N, 1)</f>
        <v>2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1</v>
      </c>
      <c r="AC23" s="2">
        <f>COUNTIFS('BA History S2'!$B:$B,$A$23,'BA History S2'!V:V, 1)</f>
        <v>2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2</v>
      </c>
      <c r="AH23" s="2">
        <f>COUNTIFS('BA History S2'!$B:$B,$A$23,'BA History S2'!AA:AA, 1)</f>
        <v>0</v>
      </c>
      <c r="AI23" s="2">
        <f>COUNTIFS('BA History S2'!$B:$B,$A$23,'BA History S2'!AB:AB, 1)</f>
        <v>1</v>
      </c>
      <c r="AJ23" s="2">
        <f>COUNTIFS('BA History S2'!$B:$B,$A$23,'BA History S2'!AC:AC, 1)</f>
        <v>2</v>
      </c>
      <c r="AK23" s="2">
        <f>COUNTIFS('BA History S2'!$B:$B,$A$23,'BA History S2'!AD:AD, 1)</f>
        <v>1</v>
      </c>
      <c r="AL23" s="2">
        <f>COUNTIFS('BA History S2'!$B:$B,$A$23,'BA History S2'!AE:AE, 1)</f>
        <v>0</v>
      </c>
      <c r="AM23" s="2">
        <f>COUNTIFS('BA History S2'!$B:$B,$A$23,'BA History S2'!AF:AF, 1)</f>
        <v>2</v>
      </c>
    </row>
    <row r="24" spans="1:39" x14ac:dyDescent="0.25">
      <c r="A24" s="2" t="s">
        <v>5</v>
      </c>
      <c r="B24" s="1" t="s">
        <v>158</v>
      </c>
      <c r="C24" s="1">
        <v>1</v>
      </c>
      <c r="D24" s="1">
        <v>1</v>
      </c>
      <c r="F24" s="34">
        <f>SUMIFS('BA History S2'!C:C,'BA History S2'!B:B,A24)</f>
        <v>230</v>
      </c>
      <c r="G24" s="66">
        <f>AVERAGEIFS('BA History S2'!C:C,'BA History S2'!B:B,A24)</f>
        <v>19.166666666666668</v>
      </c>
      <c r="H24" s="35">
        <f t="array" ref="H24">MAX(IF('BA History S2'!B:B=A24, 'BA History S2'!C:C))</f>
        <v>37</v>
      </c>
      <c r="I24" s="34">
        <f>COUNTIFS('BA History S2'!B:B,A24,'BA History S2'!D:D, 1)</f>
        <v>6</v>
      </c>
      <c r="J24" s="2">
        <f>COUNTIFS('BA History S2'!B:B,A24,'BA History S2'!D:D, 0)</f>
        <v>6</v>
      </c>
      <c r="K24" s="75">
        <f>LOOKUP(2, 1/('BA History S2'!$B:$B=A24), 'BA History S2'!$AJ:$AJ)</f>
        <v>0.5</v>
      </c>
      <c r="L24" s="34">
        <f>SUMIFS('BA History S2'!F:F,'BA History S2'!B:B,A24)</f>
        <v>25</v>
      </c>
      <c r="M24" s="2">
        <f>SUMIFS('BA History S2'!E:E,'BA History S2'!B:B,A24)-L24</f>
        <v>26</v>
      </c>
      <c r="N24" s="75">
        <f>LOOKUP(2, 1/('BA History S2'!$B:$B=A24), 'BA History S2'!$AH:$AH)</f>
        <v>0.48750000000000004</v>
      </c>
      <c r="O24" s="34">
        <f>SUMIFS('BA History S2'!H:H,'BA History S2'!B:B,A24)</f>
        <v>105</v>
      </c>
      <c r="P24" s="2">
        <f>SUMIFS('BA History S2'!G:G,'BA History S2'!B:B,A24)-O24</f>
        <v>107</v>
      </c>
      <c r="Q24" s="89">
        <f>LOOKUP(2, 1/('BA History S2'!$B:$B=A24), 'BA History S2'!$AI:$AI)</f>
        <v>0.49750000000000005</v>
      </c>
      <c r="R24" s="2">
        <f>COUNTIFS('BA History S2'!$B:$B,$A$24,'BA History S2'!K:K, 1)</f>
        <v>1</v>
      </c>
      <c r="S24" s="2">
        <f>COUNTIFS('BA History S2'!$B:$B,$A$24,'BA History S2'!L:L, 1)</f>
        <v>3</v>
      </c>
      <c r="T24" s="2">
        <f>COUNTIFS('BA History S2'!$B:$B,$A$24,'BA History S2'!M:M, 1)</f>
        <v>4</v>
      </c>
      <c r="U24" s="2">
        <f>COUNTIFS('BA History S2'!$B:$B,$A$24,'BA History S2'!N:N, 1)</f>
        <v>5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2</v>
      </c>
      <c r="AG24" s="2">
        <f>COUNTIFS('BA History S2'!$B:$B,$A$24,'BA History S2'!Z:Z, 1)</f>
        <v>3</v>
      </c>
      <c r="AH24" s="2">
        <f>COUNTIFS('BA History S2'!$B:$B,$A$24,'BA History S2'!AA:AA, 1)</f>
        <v>0</v>
      </c>
      <c r="AI24" s="2">
        <f>COUNTIFS('BA History S2'!$B:$B,$A$24,'BA History S2'!AB:AB, 1)</f>
        <v>5</v>
      </c>
      <c r="AJ24" s="2">
        <f>COUNTIFS('BA History S2'!$B:$B,$A$24,'BA History S2'!AC:AC, 1)</f>
        <v>1</v>
      </c>
      <c r="AK24" s="2">
        <f>COUNTIFS('BA History S2'!$B:$B,$A$24,'BA History S2'!AD:AD, 1)</f>
        <v>0</v>
      </c>
      <c r="AL24" s="2">
        <f>COUNTIFS('BA History S2'!$B:$B,$A$24,'BA History S2'!AE:AE, 1)</f>
        <v>0</v>
      </c>
      <c r="AM24" s="2">
        <f>COUNTIFS('BA History S2'!$B:$B,$A$24,'BA History S2'!AF:AF, 1)</f>
        <v>0</v>
      </c>
    </row>
    <row r="25" spans="1:39" x14ac:dyDescent="0.25">
      <c r="A25" s="2" t="s">
        <v>141</v>
      </c>
      <c r="B25" s="2" t="s">
        <v>79</v>
      </c>
      <c r="C25" s="2"/>
      <c r="D25" s="2"/>
      <c r="E25" s="2"/>
      <c r="F25" s="34">
        <f>SUMIFS('BA History S2'!C:C,'BA History S2'!B:B,A25)</f>
        <v>65</v>
      </c>
      <c r="G25" s="66">
        <f>AVERAGEIFS('BA History S2'!C:C,'BA History S2'!B:B,A25)</f>
        <v>13</v>
      </c>
      <c r="H25" s="35">
        <f t="array" ref="H25">MAX(IF('BA History S2'!B:B=A25, 'BA History S2'!C:C))</f>
        <v>19</v>
      </c>
      <c r="I25" s="34">
        <f>COUNTIFS('BA History S2'!B:B,A25,'BA History S2'!D:D, 1)</f>
        <v>4</v>
      </c>
      <c r="J25" s="2">
        <f>COUNTIFS('BA History S2'!B:B,A25,'BA History S2'!D:D, 0)</f>
        <v>1</v>
      </c>
      <c r="K25" s="75">
        <f>LOOKUP(2, 1/('BA History S2'!$B:$B=A25), 'BA History S2'!$AJ:$AJ)</f>
        <v>0.8</v>
      </c>
      <c r="L25" s="34">
        <f>SUMIFS('BA History S2'!F:F,'BA History S2'!B:B,A25)</f>
        <v>12</v>
      </c>
      <c r="M25" s="2">
        <f>SUMIFS('BA History S2'!E:E,'BA History S2'!B:B,A25)-L25</f>
        <v>9</v>
      </c>
      <c r="N25" s="75">
        <f>LOOKUP(2, 1/('BA History S2'!$B:$B=A25), 'BA History S2'!$AH:$AH)</f>
        <v>0.54</v>
      </c>
      <c r="O25" s="34">
        <f>SUMIFS('BA History S2'!H:H,'BA History S2'!B:B,A25)</f>
        <v>47</v>
      </c>
      <c r="P25" s="2">
        <f>SUMIFS('BA History S2'!G:G,'BA History S2'!B:B,A25)-O25</f>
        <v>42</v>
      </c>
      <c r="Q25" s="89">
        <f>LOOKUP(2, 1/('BA History S2'!$B:$B=A25), 'BA History S2'!$AI:$AI)</f>
        <v>0.51800000000000002</v>
      </c>
      <c r="R25" s="2">
        <f>COUNTIFS('BA History S2'!$B:$B,$A$25,'BA History S2'!K:K, 1)</f>
        <v>1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1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0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1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1</v>
      </c>
      <c r="AK25" s="2">
        <f>COUNTIFS('BA History S2'!$B:$B,$A$25,'BA History S2'!AD:AD, 1)</f>
        <v>2</v>
      </c>
      <c r="AL25" s="2">
        <f>COUNTIFS('BA History S2'!$B:$B,$A$25,'BA History S2'!AE:AE, 1)</f>
        <v>0</v>
      </c>
      <c r="AM25" s="2">
        <f>COUNTIFS('BA History S2'!$B:$B,$A$25,'BA History S2'!AF:AF, 1)</f>
        <v>2</v>
      </c>
    </row>
    <row r="26" spans="1:39" x14ac:dyDescent="0.25">
      <c r="A26" s="2" t="s">
        <v>40</v>
      </c>
      <c r="B26" s="2" t="s">
        <v>79</v>
      </c>
      <c r="C26" s="2"/>
      <c r="D26" s="2"/>
      <c r="E26" s="2"/>
      <c r="F26" s="34">
        <f>SUMIFS('BA History S2'!C:C,'BA History S2'!B:B,A26)</f>
        <v>309</v>
      </c>
      <c r="G26" s="66">
        <f>AVERAGEIFS('BA History S2'!C:C,'BA History S2'!B:B,A26)</f>
        <v>20.6</v>
      </c>
      <c r="H26" s="35">
        <f t="array" ref="H26">MAX(IF('BA History S2'!B:B=A26, 'BA History S2'!C:C))</f>
        <v>37</v>
      </c>
      <c r="I26" s="34">
        <f>COUNTIFS('BA History S2'!B:B,A26,'BA History S2'!D:D, 1)</f>
        <v>6</v>
      </c>
      <c r="J26" s="2">
        <f>COUNTIFS('BA History S2'!B:B,A26,'BA History S2'!D:D, 0)</f>
        <v>9</v>
      </c>
      <c r="K26" s="75">
        <f>LOOKUP(2, 1/('BA History S2'!$B:$B=A26), 'BA History S2'!$AJ:$AJ)</f>
        <v>0.4</v>
      </c>
      <c r="L26" s="34">
        <f>SUMIFS('BA History S2'!F:F,'BA History S2'!B:B,A26)</f>
        <v>29</v>
      </c>
      <c r="M26" s="2">
        <f>SUMIFS('BA History S2'!E:E,'BA History S2'!B:B,A26)-L26</f>
        <v>34</v>
      </c>
      <c r="N26" s="75">
        <f>LOOKUP(2, 1/('BA History S2'!$B:$B=A26), 'BA History S2'!$AH:$AH)</f>
        <v>0.46</v>
      </c>
      <c r="O26" s="34">
        <f>SUMIFS('BA History S2'!H:H,'BA History S2'!B:B,A26)</f>
        <v>131</v>
      </c>
      <c r="P26" s="2">
        <f>SUMIFS('BA History S2'!G:G,'BA History S2'!B:B,A26)-O26</f>
        <v>135</v>
      </c>
      <c r="Q26" s="89">
        <f>LOOKUP(2, 1/('BA History S2'!$B:$B=A26), 'BA History S2'!$AI:$AI)</f>
        <v>0.48666666666666669</v>
      </c>
      <c r="R26" s="2">
        <f>COUNTIFS('BA History S2'!$B:$B,$A$26,'BA History S2'!K:K, 1)</f>
        <v>0</v>
      </c>
      <c r="S26" s="2">
        <f>COUNTIFS('BA History S2'!$B:$B,$A$26,'BA History S2'!L:L, 1)</f>
        <v>4</v>
      </c>
      <c r="T26" s="2">
        <f>COUNTIFS('BA History S2'!$B:$B,$A$26,'BA History S2'!M:M, 1)</f>
        <v>3</v>
      </c>
      <c r="U26" s="2">
        <f>COUNTIFS('BA History S2'!$B:$B,$A$26,'BA History S2'!N:N, 1)</f>
        <v>4</v>
      </c>
      <c r="V26" s="2">
        <f>COUNTIFS('BA History S2'!$B:$B,$A$26,'BA History S2'!O:O, 1)</f>
        <v>1</v>
      </c>
      <c r="W26" s="2">
        <f>COUNTIFS('BA History S2'!$B:$B,$A$26,'BA History S2'!P:P, 1)</f>
        <v>0</v>
      </c>
      <c r="X26" s="2">
        <f>COUNTIFS('BA History S2'!$B:$B,$A$26,'BA History S2'!Q:Q, 1)</f>
        <v>1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4</v>
      </c>
      <c r="AH26" s="2">
        <f>COUNTIFS('BA History S2'!$B:$B,$A$26,'BA History S2'!AA:AA, 1)</f>
        <v>0</v>
      </c>
      <c r="AI26" s="2">
        <f>COUNTIFS('BA History S2'!$B:$B,$A$26,'BA History S2'!AB:AB, 1)</f>
        <v>2</v>
      </c>
      <c r="AJ26" s="2">
        <f>COUNTIFS('BA History S2'!$B:$B,$A$26,'BA History S2'!AC:AC, 1)</f>
        <v>3</v>
      </c>
      <c r="AK26" s="2">
        <f>COUNTIFS('BA History S2'!$B:$B,$A$26,'BA History S2'!AD:AD, 1)</f>
        <v>2</v>
      </c>
      <c r="AL26" s="2">
        <f>COUNTIFS('BA History S2'!$B:$B,$A$26,'BA History S2'!AE:AE, 1)</f>
        <v>0</v>
      </c>
      <c r="AM26" s="2">
        <f>COUNTIFS('BA History S2'!$B:$B,$A$26,'BA History S2'!AF:AF, 1)</f>
        <v>2</v>
      </c>
    </row>
    <row r="27" spans="1:39" x14ac:dyDescent="0.25">
      <c r="A27" s="2" t="s">
        <v>166</v>
      </c>
      <c r="B27" s="2" t="s">
        <v>79</v>
      </c>
      <c r="C27" s="2">
        <v>1</v>
      </c>
      <c r="D27" s="2"/>
      <c r="E27" s="2"/>
      <c r="F27" s="34">
        <f>SUMIFS('BA History S2'!C:C,'BA History S2'!B:B,A27)</f>
        <v>40</v>
      </c>
      <c r="G27" s="66">
        <f>AVERAGEIFS('BA History S2'!C:C,'BA History S2'!B:B,A27)</f>
        <v>10</v>
      </c>
      <c r="H27" s="35">
        <f t="array" ref="H27">MAX(IF('BA History S2'!B:B=A27, 'BA History S2'!C:C))</f>
        <v>21</v>
      </c>
      <c r="I27" s="34">
        <f>COUNTIFS('BA History S2'!B:B,A27,'BA History S2'!D:D, 1)</f>
        <v>3</v>
      </c>
      <c r="J27" s="2">
        <f>COUNTIFS('BA History S2'!B:B,A27,'BA History S2'!D:D, 0)</f>
        <v>1</v>
      </c>
      <c r="K27" s="75">
        <f>LOOKUP(2, 1/('BA History S2'!$B:$B=A27), 'BA History S2'!$AJ:$AJ)</f>
        <v>0.75</v>
      </c>
      <c r="L27" s="34">
        <f>SUMIFS('BA History S2'!F:F,'BA History S2'!B:B,A27)</f>
        <v>9</v>
      </c>
      <c r="M27" s="2">
        <f>SUMIFS('BA History S2'!E:E,'BA History S2'!B:B,A27)-L27</f>
        <v>8</v>
      </c>
      <c r="N27" s="75">
        <f>LOOKUP(2, 1/('BA History S2'!$B:$B=A27), 'BA History S2'!$AH:$AH)</f>
        <v>0.48750000000000004</v>
      </c>
      <c r="O27" s="34">
        <f>SUMIFS('BA History S2'!H:H,'BA History S2'!B:B,A27)</f>
        <v>38</v>
      </c>
      <c r="P27" s="2">
        <f>SUMIFS('BA History S2'!G:G,'BA History S2'!B:B,A27)-O27</f>
        <v>35</v>
      </c>
      <c r="Q27" s="89">
        <f>LOOKUP(2, 1/('BA History S2'!$B:$B=A27), 'BA History S2'!$AI:$AI)</f>
        <v>0.49249999999999999</v>
      </c>
      <c r="R27" s="2">
        <f>COUNTIFS('BA History S2'!$B:$B,$A$27,'BA History S2'!K:K, 1)</f>
        <v>1</v>
      </c>
      <c r="S27" s="2">
        <f>COUNTIFS('BA History S2'!$B:$B,$A$27,'BA History S2'!L:L, 1)</f>
        <v>0</v>
      </c>
      <c r="T27" s="2">
        <f>COUNTIFS('BA History S2'!$B:$B,$A$27,'BA History S2'!M:M, 1)</f>
        <v>1</v>
      </c>
      <c r="U27" s="2">
        <f>COUNTIFS('BA History S2'!$B:$B,$A$27,'BA History S2'!N:N, 1)</f>
        <v>1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0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1</v>
      </c>
      <c r="AG27" s="2">
        <f>COUNTIFS('BA History S2'!$B:$B,$A$27,'BA History S2'!Z:Z, 1)</f>
        <v>2</v>
      </c>
      <c r="AH27" s="2">
        <f>COUNTIFS('BA History S2'!$B:$B,$A$27,'BA History S2'!AA:AA, 1)</f>
        <v>0</v>
      </c>
      <c r="AI27" s="2">
        <f>COUNTIFS('BA History S2'!$B:$B,$A$27,'BA History S2'!AB:AB, 1)</f>
        <v>1</v>
      </c>
      <c r="AJ27" s="2">
        <f>COUNTIFS('BA History S2'!$B:$B,$A$27,'BA History S2'!AC:AC, 1)</f>
        <v>0</v>
      </c>
      <c r="AK27" s="2">
        <f>COUNTIFS('BA History S2'!$B:$B,$A$27,'BA History S2'!AD:AD, 1)</f>
        <v>1</v>
      </c>
      <c r="AL27" s="2">
        <f>COUNTIFS('BA History S2'!$B:$B,$A$27,'BA History S2'!AE:AE, 1)</f>
        <v>0</v>
      </c>
      <c r="AM27" s="2">
        <f>COUNTIFS('BA History S2'!$B:$B,$A$27,'BA History S2'!AF:AF, 1)</f>
        <v>1</v>
      </c>
    </row>
    <row r="28" spans="1:39" x14ac:dyDescent="0.25">
      <c r="A28" s="2" t="s">
        <v>147</v>
      </c>
      <c r="B28" s="2" t="s">
        <v>79</v>
      </c>
      <c r="C28" s="2"/>
      <c r="D28" s="2"/>
      <c r="E28" s="2"/>
      <c r="F28" s="34">
        <f>SUMIFS('BA History S2'!C:C,'BA History S2'!B:B,A28)</f>
        <v>141</v>
      </c>
      <c r="G28" s="66">
        <f>AVERAGEIFS('BA History S2'!C:C,'BA History S2'!B:B,A28)</f>
        <v>15.666666666666666</v>
      </c>
      <c r="H28" s="35">
        <f t="array" ref="H28">MAX(IF('BA History S2'!B:B=A28, 'BA History S2'!C:C))</f>
        <v>26</v>
      </c>
      <c r="I28" s="34">
        <f>COUNTIFS('BA History S2'!B:B,A28,'BA History S2'!D:D, 1)</f>
        <v>3</v>
      </c>
      <c r="J28" s="2">
        <f>COUNTIFS('BA History S2'!B:B,A28,'BA History S2'!D:D, 0)</f>
        <v>6</v>
      </c>
      <c r="K28" s="75">
        <f>LOOKUP(2, 1/('BA History S2'!$B:$B=A28), 'BA History S2'!$AJ:$AJ)</f>
        <v>0.33333333333333331</v>
      </c>
      <c r="L28" s="34">
        <f>SUMIFS('BA History S2'!F:F,'BA History S2'!B:B,A28)</f>
        <v>18</v>
      </c>
      <c r="M28" s="2">
        <f>SUMIFS('BA History S2'!E:E,'BA History S2'!B:B,A28)-L28</f>
        <v>21</v>
      </c>
      <c r="N28" s="75">
        <f>LOOKUP(2, 1/('BA History S2'!$B:$B=A28), 'BA History S2'!$AH:$AH)</f>
        <v>0.47777777777777775</v>
      </c>
      <c r="O28" s="34">
        <f>SUMIFS('BA History S2'!H:H,'BA History S2'!B:B,A28)</f>
        <v>85</v>
      </c>
      <c r="P28" s="2">
        <f>SUMIFS('BA History S2'!G:G,'BA History S2'!B:B,A28)-O28</f>
        <v>82</v>
      </c>
      <c r="Q28" s="89">
        <f>LOOKUP(2, 1/('BA History S2'!$B:$B=A28), 'BA History S2'!$AI:$AI)</f>
        <v>0.52777777777777779</v>
      </c>
      <c r="R28" s="2">
        <f>COUNTIFS('BA History S2'!$B:$B,$A$28,'BA History S2'!K:K, 1)</f>
        <v>1</v>
      </c>
      <c r="S28" s="2">
        <f>COUNTIFS('BA History S2'!$B:$B,$A$28,'BA History S2'!L:L, 1)</f>
        <v>2</v>
      </c>
      <c r="T28" s="2">
        <f>COUNTIFS('BA History S2'!$B:$B,$A$28,'BA History S2'!M:M, 1)</f>
        <v>1</v>
      </c>
      <c r="U28" s="2">
        <f>COUNTIFS('BA History S2'!$B:$B,$A$28,'BA History S2'!N:N, 1)</f>
        <v>2</v>
      </c>
      <c r="V28" s="2">
        <f>COUNTIFS('BA History S2'!$B:$B,$A$28,'BA History S2'!O:O, 1)</f>
        <v>1</v>
      </c>
      <c r="W28" s="2">
        <f>COUNTIFS('BA History S2'!$B:$B,$A$28,'BA History S2'!P:P, 1)</f>
        <v>1</v>
      </c>
      <c r="X28" s="2">
        <f>COUNTIFS('BA History S2'!$B:$B,$A$28,'BA History S2'!Q:Q, 1)</f>
        <v>1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1</v>
      </c>
      <c r="AG28" s="2">
        <f>COUNTIFS('BA History S2'!$B:$B,$A$28,'BA History S2'!Z:Z, 1)</f>
        <v>3</v>
      </c>
      <c r="AH28" s="2">
        <f>COUNTIFS('BA History S2'!$B:$B,$A$28,'BA History S2'!AA:AA, 1)</f>
        <v>0</v>
      </c>
      <c r="AI28" s="2">
        <f>COUNTIFS('BA History S2'!$B:$B,$A$28,'BA History S2'!AB:AB, 1)</f>
        <v>3</v>
      </c>
      <c r="AJ28" s="2">
        <f>COUNTIFS('BA History S2'!$B:$B,$A$28,'BA History S2'!AC:AC, 1)</f>
        <v>0</v>
      </c>
      <c r="AK28" s="2">
        <f>COUNTIFS('BA History S2'!$B:$B,$A$28,'BA History S2'!AD:AD, 1)</f>
        <v>0</v>
      </c>
      <c r="AL28" s="2">
        <f>COUNTIFS('BA History S2'!$B:$B,$A$28,'BA History S2'!AE:AE, 1)</f>
        <v>0</v>
      </c>
      <c r="AM28" s="2">
        <f>COUNTIFS('BA History S2'!$B:$B,$A$28,'BA History S2'!AF:AF, 1)</f>
        <v>2</v>
      </c>
    </row>
    <row r="29" spans="1:39" x14ac:dyDescent="0.25">
      <c r="A29" s="2" t="s">
        <v>17</v>
      </c>
      <c r="B29" s="2" t="s">
        <v>79</v>
      </c>
      <c r="C29" s="2"/>
      <c r="D29" s="2"/>
      <c r="E29" s="2"/>
      <c r="F29" s="34">
        <f>SUMIFS('BA History S2'!C:C,'BA History S2'!B:B,A29)</f>
        <v>184</v>
      </c>
      <c r="G29" s="66">
        <f>AVERAGEIFS('BA History S2'!C:C,'BA History S2'!B:B,A29)</f>
        <v>18.399999999999999</v>
      </c>
      <c r="H29" s="35">
        <f t="array" ref="H29">MAX(IF('BA History S2'!B:B=A29, 'BA History S2'!C:C))</f>
        <v>28</v>
      </c>
      <c r="I29" s="34">
        <f>COUNTIFS('BA History S2'!B:B,A29,'BA History S2'!D:D, 1)</f>
        <v>8</v>
      </c>
      <c r="J29" s="2">
        <f>COUNTIFS('BA History S2'!B:B,A29,'BA History S2'!D:D, 0)</f>
        <v>2</v>
      </c>
      <c r="K29" s="75">
        <f>LOOKUP(2, 1/('BA History S2'!$B:$B=A29), 'BA History S2'!$AJ:$AJ)</f>
        <v>0.8</v>
      </c>
      <c r="L29" s="34">
        <f>SUMIFS('BA History S2'!F:F,'BA History S2'!B:B,A29)</f>
        <v>25</v>
      </c>
      <c r="M29" s="2">
        <f>SUMIFS('BA History S2'!E:E,'BA History S2'!B:B,A29)-L29</f>
        <v>16</v>
      </c>
      <c r="N29" s="75">
        <f>LOOKUP(2, 1/('BA History S2'!$B:$B=A29), 'BA History S2'!$AH:$AH)</f>
        <v>0.60499999999999987</v>
      </c>
      <c r="O29" s="34">
        <f>SUMIFS('BA History S2'!H:H,'BA History S2'!B:B,A29)</f>
        <v>90</v>
      </c>
      <c r="P29" s="2">
        <f>SUMIFS('BA History S2'!G:G,'BA History S2'!B:B,A29)-O29</f>
        <v>77</v>
      </c>
      <c r="Q29" s="89">
        <f>LOOKUP(2, 1/('BA History S2'!$B:$B=A29), 'BA History S2'!$AI:$AI)</f>
        <v>0.52700000000000002</v>
      </c>
      <c r="R29" s="2">
        <f>COUNTIFS('BA History S2'!$B:$B,$A$29,'BA History S2'!K:K, 1)</f>
        <v>2</v>
      </c>
      <c r="S29" s="2">
        <f>COUNTIFS('BA History S2'!$B:$B,$A$29,'BA History S2'!L:L, 1)</f>
        <v>1</v>
      </c>
      <c r="T29" s="2">
        <f>COUNTIFS('BA History S2'!$B:$B,$A$29,'BA History S2'!M:M, 1)</f>
        <v>4</v>
      </c>
      <c r="U29" s="2">
        <f>COUNTIFS('BA History S2'!$B:$B,$A$29,'BA History S2'!N:N, 1)</f>
        <v>2</v>
      </c>
      <c r="V29" s="2">
        <f>COUNTIFS('BA History S2'!$B:$B,$A$29,'BA History S2'!O:O, 1)</f>
        <v>0</v>
      </c>
      <c r="W29" s="2">
        <f>COUNTIFS('BA History S2'!$B:$B,$A$29,'BA History S2'!P:P, 1)</f>
        <v>1</v>
      </c>
      <c r="X29" s="2">
        <f>COUNTIFS('BA History S2'!$B:$B,$A$29,'BA History S2'!Q:Q, 1)</f>
        <v>2</v>
      </c>
      <c r="Y29" s="2">
        <f>COUNTIFS('BA History S2'!$B:$B,$A$29,'BA History S2'!R:R, 1)</f>
        <v>0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0</v>
      </c>
      <c r="AG29" s="2">
        <f>COUNTIFS('BA History S2'!$B:$B,$A$29,'BA History S2'!Z:Z, 1)</f>
        <v>4</v>
      </c>
      <c r="AH29" s="2">
        <f>COUNTIFS('BA History S2'!$B:$B,$A$29,'BA History S2'!AA:AA, 1)</f>
        <v>0</v>
      </c>
      <c r="AI29" s="2">
        <f>COUNTIFS('BA History S2'!$B:$B,$A$29,'BA History S2'!AB:AB, 1)</f>
        <v>3</v>
      </c>
      <c r="AJ29" s="2">
        <f>COUNTIFS('BA History S2'!$B:$B,$A$29,'BA History S2'!AC:AC, 1)</f>
        <v>2</v>
      </c>
      <c r="AK29" s="2">
        <f>COUNTIFS('BA History S2'!$B:$B,$A$29,'BA History S2'!AD:AD, 1)</f>
        <v>3</v>
      </c>
      <c r="AL29" s="2">
        <f>COUNTIFS('BA History S2'!$B:$B,$A$29,'BA History S2'!AE:AE, 1)</f>
        <v>0</v>
      </c>
      <c r="AM29" s="2">
        <f>COUNTIFS('BA History S2'!$B:$B,$A$29,'BA History S2'!AF:AF, 1)</f>
        <v>1</v>
      </c>
    </row>
    <row r="30" spans="1:39" x14ac:dyDescent="0.25">
      <c r="A30" s="2" t="s">
        <v>6</v>
      </c>
      <c r="B30" s="1" t="s">
        <v>158</v>
      </c>
      <c r="D30" s="1">
        <v>1</v>
      </c>
      <c r="E30" s="1">
        <v>1</v>
      </c>
      <c r="F30" s="34">
        <f>SUMIFS('BA History S2'!C:C,'BA History S2'!B:B,A30)</f>
        <v>352</v>
      </c>
      <c r="G30" s="66">
        <f>AVERAGEIFS('BA History S2'!C:C,'BA History S2'!B:B,A30)</f>
        <v>22</v>
      </c>
      <c r="H30" s="35">
        <f t="array" ref="H30">MAX(IF('BA History S2'!B:B=A30, 'BA History S2'!C:C))</f>
        <v>36</v>
      </c>
      <c r="I30" s="34">
        <f>COUNTIFS('BA History S2'!B:B,A30,'BA History S2'!D:D, 1)</f>
        <v>8</v>
      </c>
      <c r="J30" s="2">
        <f>COUNTIFS('BA History S2'!B:B,A30,'BA History S2'!D:D, 0)</f>
        <v>8</v>
      </c>
      <c r="K30" s="75">
        <f>LOOKUP(2, 1/('BA History S2'!$B:$B=A30), 'BA History S2'!$AJ:$AJ)</f>
        <v>0.5</v>
      </c>
      <c r="L30" s="34">
        <f>SUMIFS('BA History S2'!F:F,'BA History S2'!B:B,A30)</f>
        <v>31</v>
      </c>
      <c r="M30" s="2">
        <f>SUMIFS('BA History S2'!E:E,'BA History S2'!B:B,A30)-L30</f>
        <v>33</v>
      </c>
      <c r="N30" s="75">
        <f>LOOKUP(2, 1/('BA History S2'!$B:$B=A30), 'BA History S2'!$AH:$AH)</f>
        <v>0.46875</v>
      </c>
      <c r="O30" s="34">
        <f>SUMIFS('BA History S2'!H:H,'BA History S2'!B:B,A30)</f>
        <v>131</v>
      </c>
      <c r="P30" s="2">
        <f>SUMIFS('BA History S2'!G:G,'BA History S2'!B:B,A30)-O30</f>
        <v>134</v>
      </c>
      <c r="Q30" s="89">
        <f>LOOKUP(2, 1/('BA History S2'!$B:$B=A30), 'BA History S2'!$AI:$AI)</f>
        <v>0.484375</v>
      </c>
      <c r="R30" s="2">
        <f>COUNTIFS('BA History S2'!$B:$B,$A$30,'BA History S2'!K:K, 1)</f>
        <v>2</v>
      </c>
      <c r="S30" s="2">
        <f>COUNTIFS('BA History S2'!$B:$B,$A$30,'BA History S2'!L:L, 1)</f>
        <v>2</v>
      </c>
      <c r="T30" s="2">
        <f>COUNTIFS('BA History S2'!$B:$B,$A$30,'BA History S2'!M:M, 1)</f>
        <v>4</v>
      </c>
      <c r="U30" s="2">
        <f>COUNTIFS('BA History S2'!$B:$B,$A$30,'BA History S2'!N:N, 1)</f>
        <v>3</v>
      </c>
      <c r="V30" s="2">
        <f>COUNTIFS('BA History S2'!$B:$B,$A$30,'BA History S2'!O:O, 1)</f>
        <v>0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0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1</v>
      </c>
      <c r="AG30" s="2">
        <f>COUNTIFS('BA History S2'!$B:$B,$A$30,'BA History S2'!Z:Z, 1)</f>
        <v>4</v>
      </c>
      <c r="AH30" s="2">
        <f>COUNTIFS('BA History S2'!$B:$B,$A$30,'BA History S2'!AA:AA, 1)</f>
        <v>0</v>
      </c>
      <c r="AI30" s="2">
        <f>COUNTIFS('BA History S2'!$B:$B,$A$30,'BA History S2'!AB:AB, 1)</f>
        <v>5</v>
      </c>
      <c r="AJ30" s="2">
        <f>COUNTIFS('BA History S2'!$B:$B,$A$30,'BA History S2'!AC:AC, 1)</f>
        <v>3</v>
      </c>
      <c r="AK30" s="2">
        <f>COUNTIFS('BA History S2'!$B:$B,$A$30,'BA History S2'!AD:AD, 1)</f>
        <v>1</v>
      </c>
      <c r="AL30" s="2">
        <f>COUNTIFS('BA History S2'!$B:$B,$A$30,'BA History S2'!AE:AE, 1)</f>
        <v>0</v>
      </c>
      <c r="AM30" s="2">
        <f>COUNTIFS('BA History S2'!$B:$B,$A$30,'BA History S2'!AF:AF, 1)</f>
        <v>3</v>
      </c>
    </row>
    <row r="31" spans="1:39" x14ac:dyDescent="0.25">
      <c r="A31" s="2" t="s">
        <v>179</v>
      </c>
      <c r="B31" s="1" t="s">
        <v>79</v>
      </c>
      <c r="C31" s="1">
        <v>1</v>
      </c>
      <c r="F31" s="34">
        <f>SUMIFS('BA History S2'!C:C,'BA History S2'!B:B,A31)</f>
        <v>26</v>
      </c>
      <c r="G31" s="66">
        <f>AVERAGEIFS('BA History S2'!C:C,'BA History S2'!B:B,A31)</f>
        <v>13</v>
      </c>
      <c r="H31" s="35">
        <f t="array" ref="H31">MAX(IF('BA History S2'!B:B=A31, 'BA History S2'!C:C))</f>
        <v>16</v>
      </c>
      <c r="I31" s="34">
        <f>COUNTIFS('BA History S2'!B:B,A31,'BA History S2'!D:D, 1)</f>
        <v>0</v>
      </c>
      <c r="J31" s="2">
        <f>COUNTIFS('BA History S2'!B:B,A31,'BA History S2'!D:D, 0)</f>
        <v>2</v>
      </c>
      <c r="K31" s="75">
        <f>LOOKUP(2, 1/('BA History S2'!$B:$B=A31), 'BA History S2'!$AJ:$AJ)</f>
        <v>0</v>
      </c>
      <c r="L31" s="34">
        <f>SUMIFS('BA History S2'!F:F,'BA History S2'!B:B,A31)</f>
        <v>3</v>
      </c>
      <c r="M31" s="2">
        <f>SUMIFS('BA History S2'!E:E,'BA History S2'!B:B,A31)-L31</f>
        <v>6</v>
      </c>
      <c r="N31" s="75">
        <f>LOOKUP(2, 1/('BA History S2'!$B:$B=A31), 'BA History S2'!$AH:$AH)</f>
        <v>0.32500000000000001</v>
      </c>
      <c r="O31" s="34">
        <f>SUMIFS('BA History S2'!H:H,'BA History S2'!B:B,A31)</f>
        <v>19</v>
      </c>
      <c r="P31" s="2">
        <f>SUMIFS('BA History S2'!G:G,'BA History S2'!B:B,A31)-O31</f>
        <v>22</v>
      </c>
      <c r="Q31" s="89">
        <f>LOOKUP(2, 1/('BA History S2'!$B:$B=A31), 'BA History S2'!$AI:$AI)</f>
        <v>0.46499999999999997</v>
      </c>
      <c r="R31" s="2">
        <f>COUNTIFS('BA History S2'!$B:$B,$A$31,'BA History S2'!K:K, 1)</f>
        <v>0</v>
      </c>
      <c r="S31" s="2">
        <f>COUNTIFS('BA History S2'!$B:$B,$A$31,'BA History S2'!L:L, 1)</f>
        <v>0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0</v>
      </c>
      <c r="AJ31" s="2">
        <f>COUNTIFS('BA History S2'!$B:$B,$A$31,'BA History S2'!AC:AC, 1)</f>
        <v>1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113</v>
      </c>
      <c r="B32" s="2" t="s">
        <v>79</v>
      </c>
      <c r="C32" s="2">
        <v>1</v>
      </c>
      <c r="D32" s="2">
        <v>1</v>
      </c>
      <c r="E32" s="2"/>
      <c r="F32" s="34">
        <f>SUMIFS('BA History S2'!C:C,'BA History S2'!B:B,A32)</f>
        <v>320</v>
      </c>
      <c r="G32" s="66">
        <f>AVERAGEIFS('BA History S2'!C:C,'BA History S2'!B:B,A32)</f>
        <v>20</v>
      </c>
      <c r="H32" s="35">
        <f t="array" ref="H32">MAX(IF('BA History S2'!B:B=A32, 'BA History S2'!C:C))</f>
        <v>36</v>
      </c>
      <c r="I32" s="34">
        <f>COUNTIFS('BA History S2'!B:B,A32,'BA History S2'!D:D, 1)</f>
        <v>9</v>
      </c>
      <c r="J32" s="2">
        <f>COUNTIFS('BA History S2'!B:B,A32,'BA History S2'!D:D, 0)</f>
        <v>7</v>
      </c>
      <c r="K32" s="75">
        <f>LOOKUP(2, 1/('BA History S2'!$B:$B=A32), 'BA History S2'!$AJ:$AJ)</f>
        <v>0.5625</v>
      </c>
      <c r="L32" s="34">
        <f>SUMIFS('BA History S2'!F:F,'BA History S2'!B:B,A32)</f>
        <v>38</v>
      </c>
      <c r="M32" s="2">
        <f>SUMIFS('BA History S2'!E:E,'BA History S2'!B:B,A32)-L32</f>
        <v>28</v>
      </c>
      <c r="N32" s="75">
        <f>LOOKUP(2, 1/('BA History S2'!$B:$B=A32), 'BA History S2'!$AH:$AH)</f>
        <v>0.61250000000000004</v>
      </c>
      <c r="O32" s="34">
        <f>SUMIFS('BA History S2'!H:H,'BA History S2'!B:B,A32)</f>
        <v>147</v>
      </c>
      <c r="P32" s="2">
        <f>SUMIFS('BA History S2'!G:G,'BA History S2'!B:B,A32)-O32</f>
        <v>127</v>
      </c>
      <c r="Q32" s="89">
        <f>LOOKUP(2, 1/('BA History S2'!$B:$B=A32), 'BA History S2'!$AI:$AI)</f>
        <v>0.57125000000000004</v>
      </c>
      <c r="R32" s="2">
        <f>COUNTIFS('BA History S2'!$B:$B,$A$32,'BA History S2'!K:K, 1)</f>
        <v>0</v>
      </c>
      <c r="S32" s="2">
        <f>COUNTIFS('BA History S2'!$B:$B,$A$32,'BA History S2'!L:L, 1)</f>
        <v>4</v>
      </c>
      <c r="T32" s="2">
        <f>COUNTIFS('BA History S2'!$B:$B,$A$32,'BA History S2'!M:M, 1)</f>
        <v>2</v>
      </c>
      <c r="U32" s="2">
        <f>COUNTIFS('BA History S2'!$B:$B,$A$32,'BA History S2'!N:N, 1)</f>
        <v>3</v>
      </c>
      <c r="V32" s="2">
        <f>COUNTIFS('BA History S2'!$B:$B,$A$32,'BA History S2'!O:O, 1)</f>
        <v>1</v>
      </c>
      <c r="W32" s="2">
        <f>COUNTIFS('BA History S2'!$B:$B,$A$32,'BA History S2'!P:P, 1)</f>
        <v>1</v>
      </c>
      <c r="X32" s="2">
        <f>COUNTIFS('BA History S2'!$B:$B,$A$32,'BA History S2'!Q:Q, 1)</f>
        <v>1</v>
      </c>
      <c r="Y32" s="2">
        <f>COUNTIFS('BA History S2'!$B:$B,$A$32,'BA History S2'!R:R, 1)</f>
        <v>1</v>
      </c>
      <c r="Z32" s="2">
        <f>COUNTIFS('BA History S2'!$B:$B,$A$32,'BA History S2'!S:S, 1)</f>
        <v>1</v>
      </c>
      <c r="AA32" s="2">
        <f>COUNTIFS('BA History S2'!$B:$B,$A$32,'BA History S2'!T:T, 1)</f>
        <v>0</v>
      </c>
      <c r="AB32" s="2">
        <f>COUNTIFS('BA History S2'!$B:$B,$A$32,'BA History S2'!U:U, 1)</f>
        <v>1</v>
      </c>
      <c r="AC32" s="2">
        <f>COUNTIFS('BA History S2'!$B:$B,$A$32,'BA History S2'!V:V, 1)</f>
        <v>2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2</v>
      </c>
      <c r="AG32" s="2">
        <f>COUNTIFS('BA History S2'!$B:$B,$A$32,'BA History S2'!Z:Z, 1)</f>
        <v>5</v>
      </c>
      <c r="AH32" s="2">
        <f>COUNTIFS('BA History S2'!$B:$B,$A$32,'BA History S2'!AA:AA, 1)</f>
        <v>0</v>
      </c>
      <c r="AI32" s="2">
        <f>COUNTIFS('BA History S2'!$B:$B,$A$32,'BA History S2'!AB:AB, 1)</f>
        <v>6</v>
      </c>
      <c r="AJ32" s="2">
        <f>COUNTIFS('BA History S2'!$B:$B,$A$32,'BA History S2'!AC:AC, 1)</f>
        <v>4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4</v>
      </c>
    </row>
    <row r="33" spans="1:39" x14ac:dyDescent="0.25">
      <c r="A33" s="2" t="s">
        <v>14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52</v>
      </c>
      <c r="G33" s="66">
        <f>AVERAGEIFS('BA History S2'!C:C,'BA History S2'!B:B,A33)</f>
        <v>13</v>
      </c>
      <c r="H33" s="35">
        <f t="array" ref="H33">MAX(IF('BA History S2'!B:B=A33, 'BA History S2'!C:C))</f>
        <v>21</v>
      </c>
      <c r="I33" s="34">
        <f>COUNTIFS('BA History S2'!B:B,A33,'BA History S2'!D:D, 1)</f>
        <v>1</v>
      </c>
      <c r="J33" s="2">
        <f>COUNTIFS('BA History S2'!B:B,A33,'BA History S2'!D:D, 0)</f>
        <v>3</v>
      </c>
      <c r="K33" s="75">
        <f>LOOKUP(2, 1/('BA History S2'!$B:$B=A33), 'BA History S2'!$AJ:$AJ)</f>
        <v>0.25</v>
      </c>
      <c r="L33" s="34">
        <f>SUMIFS('BA History S2'!F:F,'BA History S2'!B:B,A33)</f>
        <v>5</v>
      </c>
      <c r="M33" s="2">
        <f>SUMIFS('BA History S2'!E:E,'BA History S2'!B:B,A33)-L33</f>
        <v>11</v>
      </c>
      <c r="N33" s="75">
        <f>LOOKUP(2, 1/('BA History S2'!$B:$B=A33), 'BA History S2'!$AH:$AH)</f>
        <v>0.27500000000000002</v>
      </c>
      <c r="O33" s="34">
        <f>SUMIFS('BA History S2'!H:H,'BA History S2'!B:B,A33)</f>
        <v>25</v>
      </c>
      <c r="P33" s="2">
        <f>SUMIFS('BA History S2'!G:G,'BA History S2'!B:B,A33)-O33</f>
        <v>39</v>
      </c>
      <c r="Q33" s="89">
        <f>LOOKUP(2, 1/('BA History S2'!$B:$B=A33), 'BA History S2'!$AI:$AI)</f>
        <v>0.34</v>
      </c>
      <c r="R33" s="2">
        <f>COUNTIFS('BA History S2'!$B:$B,$A$33,'BA History S2'!K:K, 1)</f>
        <v>0</v>
      </c>
      <c r="S33" s="2">
        <f>COUNTIFS('BA History S2'!$B:$B,$A$33,'BA History S2'!L:L, 1)</f>
        <v>1</v>
      </c>
      <c r="T33" s="2">
        <f>COUNTIFS('BA History S2'!$B:$B,$A$33,'BA History S2'!M:M, 1)</f>
        <v>0</v>
      </c>
      <c r="U33" s="2">
        <f>COUNTIFS('BA History S2'!$B:$B,$A$33,'BA History S2'!N:N, 1)</f>
        <v>1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0</v>
      </c>
      <c r="AG33" s="2">
        <f>COUNTIFS('BA History S2'!$B:$B,$A$33,'BA History S2'!Z:Z, 1)</f>
        <v>0</v>
      </c>
      <c r="AH33" s="2">
        <f>COUNTIFS('BA History S2'!$B:$B,$A$33,'BA History S2'!AA:AA, 1)</f>
        <v>0</v>
      </c>
      <c r="AI33" s="2">
        <f>COUNTIFS('BA History S2'!$B:$B,$A$33,'BA History S2'!AB:AB, 1)</f>
        <v>3</v>
      </c>
      <c r="AJ33" s="2">
        <f>COUNTIFS('BA History S2'!$B:$B,$A$33,'BA History S2'!AC:AC, 1)</f>
        <v>0</v>
      </c>
      <c r="AK33" s="2">
        <f>COUNTIFS('BA History S2'!$B:$B,$A$33,'BA History S2'!AD:AD, 1)</f>
        <v>0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</row>
    <row r="34" spans="1:39" x14ac:dyDescent="0.25">
      <c r="A34" s="2" t="s">
        <v>70</v>
      </c>
      <c r="B34" s="2" t="s">
        <v>79</v>
      </c>
      <c r="C34" s="2"/>
      <c r="D34" s="2"/>
      <c r="E34" s="2"/>
      <c r="F34" s="34">
        <f>SUMIFS('BA History S2'!C:C,'BA History S2'!B:B,A34)</f>
        <v>7</v>
      </c>
      <c r="G34" s="66">
        <f>AVERAGEIFS('BA History S2'!C:C,'BA History S2'!B:B,A34)</f>
        <v>7</v>
      </c>
      <c r="H34" s="35">
        <f t="array" ref="H34">MAX(IF('BA History S2'!B:B=A34, 'BA History S2'!C:C))</f>
        <v>7</v>
      </c>
      <c r="I34" s="34">
        <f>COUNTIFS('BA History S2'!B:B,A34,'BA History S2'!D:D, 1)</f>
        <v>0</v>
      </c>
      <c r="J34" s="2">
        <f>COUNTIFS('BA History S2'!B:B,A34,'BA History S2'!D:D, 0)</f>
        <v>1</v>
      </c>
      <c r="K34" s="75">
        <f>LOOKUP(2, 1/('BA History S2'!$B:$B=A34), 'BA History S2'!$AJ:$AJ)</f>
        <v>0</v>
      </c>
      <c r="L34" s="34">
        <f>SUMIFS('BA History S2'!F:F,'BA History S2'!B:B,A34)</f>
        <v>1</v>
      </c>
      <c r="M34" s="2">
        <f>SUMIFS('BA History S2'!E:E,'BA History S2'!B:B,A34)-L34</f>
        <v>3</v>
      </c>
      <c r="N34" s="75">
        <f>LOOKUP(2, 1/('BA History S2'!$B:$B=A34), 'BA History S2'!$AH:$AH)</f>
        <v>0.25</v>
      </c>
      <c r="O34" s="34">
        <f>SUMIFS('BA History S2'!H:H,'BA History S2'!B:B,A34)</f>
        <v>8</v>
      </c>
      <c r="P34" s="2">
        <f>SUMIFS('BA History S2'!G:G,'BA History S2'!B:B,A34)-O34</f>
        <v>10</v>
      </c>
      <c r="Q34" s="89">
        <f>LOOKUP(2, 1/('BA History S2'!$B:$B=A34), 'BA History S2'!$AI:$AI)</f>
        <v>0.44</v>
      </c>
      <c r="R34" s="2">
        <f>COUNTIFS('BA History S2'!$B:$B,$A$34,'BA History S2'!K:K, 1)</f>
        <v>0</v>
      </c>
      <c r="S34" s="2">
        <f>COUNTIFS('BA History S2'!$B:$B,$A$34,'BA History S2'!L:L, 1)</f>
        <v>0</v>
      </c>
      <c r="T34" s="2">
        <f>COUNTIFS('BA History S2'!$B:$B,$A$34,'BA History S2'!M:M, 1)</f>
        <v>0</v>
      </c>
      <c r="U34" s="2">
        <f>COUNTIFS('BA History S2'!$B:$B,$A$34,'BA History S2'!N:N, 1)</f>
        <v>1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0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0</v>
      </c>
      <c r="AC34" s="2">
        <f>COUNTIFS('BA History S2'!$B:$B,$A$34,'BA History S2'!V:V, 1)</f>
        <v>0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0</v>
      </c>
      <c r="AG34" s="2">
        <f>COUNTIFS('BA History S2'!$B:$B,$A$34,'BA History S2'!Z:Z, 1)</f>
        <v>0</v>
      </c>
      <c r="AH34" s="2">
        <f>COUNTIFS('BA History S2'!$B:$B,$A$34,'BA History S2'!AA:AA, 1)</f>
        <v>0</v>
      </c>
      <c r="AI34" s="2">
        <f>COUNTIFS('BA History S2'!$B:$B,$A$34,'BA History S2'!AB:AB, 1)</f>
        <v>0</v>
      </c>
      <c r="AJ34" s="2">
        <f>COUNTIFS('BA History S2'!$B:$B,$A$34,'BA History S2'!AC:AC, 1)</f>
        <v>0</v>
      </c>
      <c r="AK34" s="2">
        <f>COUNTIFS('BA History S2'!$B:$B,$A$34,'BA History S2'!AD:AD, 1)</f>
        <v>0</v>
      </c>
      <c r="AL34" s="2">
        <f>COUNTIFS('BA History S2'!$B:$B,$A$34,'BA History S2'!AE:AE, 1)</f>
        <v>0</v>
      </c>
      <c r="AM34" s="2">
        <f>COUNTIFS('BA History S2'!$B:$B,$A$34,'BA History S2'!AF:AF, 1)</f>
        <v>0</v>
      </c>
    </row>
    <row r="35" spans="1:39" x14ac:dyDescent="0.25">
      <c r="A35" s="2" t="s">
        <v>4</v>
      </c>
      <c r="B35" s="1" t="s">
        <v>158</v>
      </c>
      <c r="C35" s="1">
        <v>1</v>
      </c>
      <c r="F35" s="34">
        <f>SUMIFS('BA History S2'!C:C,'BA History S2'!B:B,A35)</f>
        <v>276</v>
      </c>
      <c r="G35" s="66">
        <f>AVERAGEIFS('BA History S2'!C:C,'BA History S2'!B:B,A35)</f>
        <v>27.6</v>
      </c>
      <c r="H35" s="35">
        <f t="array" ref="H35">MAX(IF('BA History S2'!B:B=A35, 'BA History S2'!C:C))</f>
        <v>38</v>
      </c>
      <c r="I35" s="34">
        <f>COUNTIFS('BA History S2'!B:B,A35,'BA History S2'!D:D, 1)</f>
        <v>7</v>
      </c>
      <c r="J35" s="2">
        <f>COUNTIFS('BA History S2'!B:B,A35,'BA History S2'!D:D, 0)</f>
        <v>3</v>
      </c>
      <c r="K35" s="75">
        <f>LOOKUP(2, 1/('BA History S2'!$B:$B=A35), 'BA History S2'!$AJ:$AJ)</f>
        <v>0.7</v>
      </c>
      <c r="L35" s="34">
        <f>SUMIFS('BA History S2'!F:F,'BA History S2'!B:B,A35)</f>
        <v>25</v>
      </c>
      <c r="M35" s="2">
        <f>SUMIFS('BA History S2'!E:E,'BA History S2'!B:B,A35)-L35</f>
        <v>18</v>
      </c>
      <c r="N35" s="75">
        <f>LOOKUP(2, 1/('BA History S2'!$B:$B=A35), 'BA History S2'!$AH:$AH)</f>
        <v>0.59499999999999997</v>
      </c>
      <c r="O35" s="34">
        <f>SUMIFS('BA History S2'!H:H,'BA History S2'!B:B,A35)</f>
        <v>100</v>
      </c>
      <c r="P35" s="2">
        <f>SUMIFS('BA History S2'!G:G,'BA History S2'!B:B,A35)-O35</f>
        <v>87</v>
      </c>
      <c r="Q35" s="89">
        <f>LOOKUP(2, 1/('BA History S2'!$B:$B=A35), 'BA History S2'!$AI:$AI)</f>
        <v>0.54100000000000004</v>
      </c>
      <c r="R35" s="2">
        <f>COUNTIFS('BA History S2'!$B:$B,$A$35,'BA History S2'!K:K, 1)</f>
        <v>2</v>
      </c>
      <c r="S35" s="2">
        <f>COUNTIFS('BA History S2'!$B:$B,$A$35,'BA History S2'!L:L, 1)</f>
        <v>3</v>
      </c>
      <c r="T35" s="2">
        <f>COUNTIFS('BA History S2'!$B:$B,$A$35,'BA History S2'!M:M, 1)</f>
        <v>3</v>
      </c>
      <c r="U35" s="2">
        <f>COUNTIFS('BA History S2'!$B:$B,$A$35,'BA History S2'!N:N, 1)</f>
        <v>3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1</v>
      </c>
      <c r="AH35" s="2">
        <f>COUNTIFS('BA History S2'!$B:$B,$A$35,'BA History S2'!AA:AA, 1)</f>
        <v>0</v>
      </c>
      <c r="AI35" s="2">
        <f>COUNTIFS('BA History S2'!$B:$B,$A$35,'BA History S2'!AB:AB, 1)</f>
        <v>6</v>
      </c>
      <c r="AJ35" s="2">
        <f>COUNTIFS('BA History S2'!$B:$B,$A$35,'BA History S2'!AC:AC, 1)</f>
        <v>3</v>
      </c>
      <c r="AK35" s="2">
        <f>COUNTIFS('BA History S2'!$B:$B,$A$35,'BA History S2'!AD:AD, 1)</f>
        <v>2</v>
      </c>
      <c r="AL35" s="2">
        <f>COUNTIFS('BA History S2'!$B:$B,$A$35,'BA History S2'!AE:AE, 1)</f>
        <v>0</v>
      </c>
      <c r="AM35" s="2">
        <f>COUNTIFS('BA History S2'!$B:$B,$A$35,'BA History S2'!AF:AF, 1)</f>
        <v>1</v>
      </c>
    </row>
    <row r="36" spans="1:39" x14ac:dyDescent="0.25">
      <c r="A36" s="1" t="s">
        <v>107</v>
      </c>
      <c r="B36" s="2" t="s">
        <v>79</v>
      </c>
      <c r="C36" s="2"/>
      <c r="D36" s="2"/>
      <c r="E36" s="2"/>
      <c r="F36" s="34">
        <f>SUMIFS('BA History S2'!C:C,'BA History S2'!B:B,A36)</f>
        <v>241</v>
      </c>
      <c r="G36" s="66">
        <f>AVERAGEIFS('BA History S2'!C:C,'BA History S2'!B:B,A36)</f>
        <v>15.0625</v>
      </c>
      <c r="H36" s="35">
        <f t="array" ref="H36">MAX(IF('BA History S2'!B:B=A36, 'BA History S2'!C:C))</f>
        <v>27</v>
      </c>
      <c r="I36" s="34">
        <f>COUNTIFS('BA History S2'!B:B,A36,'BA History S2'!D:D, 1)</f>
        <v>9</v>
      </c>
      <c r="J36" s="2">
        <f>COUNTIFS('BA History S2'!B:B,A36,'BA History S2'!D:D, 0)</f>
        <v>7</v>
      </c>
      <c r="K36" s="75">
        <f>LOOKUP(2, 1/('BA History S2'!$B:$B=A36), 'BA History S2'!$AJ:$AJ)</f>
        <v>0.5625</v>
      </c>
      <c r="L36" s="34">
        <f>SUMIFS('BA History S2'!F:F,'BA History S2'!B:B,A36)</f>
        <v>31</v>
      </c>
      <c r="M36" s="2">
        <f>SUMIFS('BA History S2'!E:E,'BA History S2'!B:B,A36)-L36</f>
        <v>32</v>
      </c>
      <c r="N36" s="75">
        <f>LOOKUP(2, 1/('BA History S2'!$B:$B=A36), 'BA History S2'!$AH:$AH)</f>
        <v>0.46562499999999996</v>
      </c>
      <c r="O36" s="34">
        <f>SUMIFS('BA History S2'!H:H,'BA History S2'!B:B,A36)</f>
        <v>128</v>
      </c>
      <c r="P36" s="2">
        <f>SUMIFS('BA History S2'!G:G,'BA History S2'!B:B,A36)-O36</f>
        <v>130</v>
      </c>
      <c r="Q36" s="89">
        <f>LOOKUP(2, 1/('BA History S2'!$B:$B=A36), 'BA History S2'!$AI:$AI)</f>
        <v>0.48250000000000004</v>
      </c>
      <c r="R36" s="2">
        <f>COUNTIFS('BA History S2'!$B:$B,$A$36,'BA History S2'!K:K, 1)</f>
        <v>3</v>
      </c>
      <c r="S36" s="2">
        <f>COUNTIFS('BA History S2'!$B:$B,$A$36,'BA History S2'!L:L, 1)</f>
        <v>1</v>
      </c>
      <c r="T36" s="2">
        <f>COUNTIFS('BA History S2'!$B:$B,$A$36,'BA History S2'!M:M, 1)</f>
        <v>5</v>
      </c>
      <c r="U36" s="2">
        <f>COUNTIFS('BA History S2'!$B:$B,$A$36,'BA History S2'!N:N, 1)</f>
        <v>2</v>
      </c>
      <c r="V36" s="2">
        <f>COUNTIFS('BA History S2'!$B:$B,$A$36,'BA History S2'!O:O, 1)</f>
        <v>0</v>
      </c>
      <c r="W36" s="2">
        <f>COUNTIFS('BA History S2'!$B:$B,$A$36,'BA History S2'!P:P, 1)</f>
        <v>0</v>
      </c>
      <c r="X36" s="2">
        <f>COUNTIFS('BA History S2'!$B:$B,$A$36,'BA History S2'!Q:Q, 1)</f>
        <v>0</v>
      </c>
      <c r="Y36" s="2">
        <f>COUNTIFS('BA History S2'!$B:$B,$A$36,'BA History S2'!R:R, 1)</f>
        <v>1</v>
      </c>
      <c r="Z36" s="2">
        <f>COUNTIFS('BA History S2'!$B:$B,$A$36,'BA History S2'!S:S, 1)</f>
        <v>0</v>
      </c>
      <c r="AA36" s="2">
        <f>COUNTIFS('BA History S2'!$B:$B,$A$36,'BA History S2'!T:T, 1)</f>
        <v>0</v>
      </c>
      <c r="AB36" s="2">
        <f>COUNTIFS('BA History S2'!$B:$B,$A$36,'BA History S2'!U:U, 1)</f>
        <v>1</v>
      </c>
      <c r="AC36" s="2">
        <f>COUNTIFS('BA History S2'!$B:$B,$A$36,'BA History S2'!V:V, 1)</f>
        <v>1</v>
      </c>
      <c r="AD36" s="2">
        <f>COUNTIFS('BA History S2'!$B:$B,$A$36,'BA History S2'!W:W, 1)</f>
        <v>0</v>
      </c>
      <c r="AE36" s="2">
        <f>COUNTIFS('BA History S2'!$B:$B,$A$36,'BA History S2'!X:X, 1)</f>
        <v>0</v>
      </c>
      <c r="AF36" s="2">
        <f>COUNTIFS('BA History S2'!$B:$B,$A$36,'BA History S2'!Y:Y, 1)</f>
        <v>2</v>
      </c>
      <c r="AG36" s="2">
        <f>COUNTIFS('BA History S2'!$B:$B,$A$36,'BA History S2'!Z:Z, 1)</f>
        <v>3</v>
      </c>
      <c r="AH36" s="2">
        <f>COUNTIFS('BA History S2'!$B:$B,$A$36,'BA History S2'!AA:AA, 1)</f>
        <v>0</v>
      </c>
      <c r="AI36" s="2">
        <f>COUNTIFS('BA History S2'!$B:$B,$A$36,'BA History S2'!AB:AB, 1)</f>
        <v>4</v>
      </c>
      <c r="AJ36" s="2">
        <f>COUNTIFS('BA History S2'!$B:$B,$A$36,'BA History S2'!AC:AC, 1)</f>
        <v>2</v>
      </c>
      <c r="AK36" s="2">
        <f>COUNTIFS('BA History S2'!$B:$B,$A$36,'BA History S2'!AD:AD, 1)</f>
        <v>4</v>
      </c>
      <c r="AL36" s="2">
        <f>COUNTIFS('BA History S2'!$B:$B,$A$36,'BA History S2'!AE:AE, 1)</f>
        <v>0</v>
      </c>
      <c r="AM36" s="2">
        <f>COUNTIFS('BA History S2'!$B:$B,$A$36,'BA History S2'!AF:AF, 1)</f>
        <v>2</v>
      </c>
    </row>
  </sheetData>
  <autoFilter ref="A1:AM36" xr:uid="{DA548192-1F03-46EA-8AB8-115EB9A7CE5D}">
    <sortState xmlns:xlrd2="http://schemas.microsoft.com/office/spreadsheetml/2017/richdata2" ref="A2:AM36">
      <sortCondition ref="A1:A36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261"/>
  <sheetViews>
    <sheetView tabSelected="1" workbookViewId="0">
      <pane xSplit="2" ySplit="1" topLeftCell="C226" activePane="bottomRight" state="frozen"/>
      <selection pane="topRight" activeCell="C1" sqref="C1"/>
      <selection pane="bottomLeft" activeCell="A2" sqref="A2"/>
      <selection pane="bottomRight" activeCell="D269" sqref="D269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168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6</v>
      </c>
      <c r="AH149" s="86">
        <f>AVERAGEIFS($I$2:I149, $B$2:B149, B149)</f>
        <v>0.125</v>
      </c>
      <c r="AI149" s="86">
        <f>AVERAGEIFS($J$2:J149, $B$2:B149, B149)</f>
        <v>0.28500000000000003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5.666666666666667</v>
      </c>
      <c r="AH154" s="86">
        <f>AVERAGEIFS($I$2:I154, $B$2:B154, B154)</f>
        <v>0.16666666666666666</v>
      </c>
      <c r="AI154" s="86">
        <f>AVERAGEIFS($J$2:J154, $B$2:B154, B154)</f>
        <v>0.28000000000000003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  <row r="162" spans="1:36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1</v>
      </c>
      <c r="AC162">
        <v>0</v>
      </c>
      <c r="AD162">
        <v>0</v>
      </c>
      <c r="AE162">
        <v>0</v>
      </c>
      <c r="AF162">
        <v>1</v>
      </c>
      <c r="AG162" s="86">
        <f>AVERAGEIFS($C$2:C162, $B$2:B162, B162)</f>
        <v>20.25</v>
      </c>
      <c r="AH162" s="86">
        <f>AVERAGEIFS($I$2:I162, $B$2:B162, B162)</f>
        <v>0.4291666666666667</v>
      </c>
      <c r="AI162" s="86">
        <f>AVERAGEIFS($J$2:J162, $B$2:B162, B162)</f>
        <v>0.47833333333333333</v>
      </c>
      <c r="AJ162" s="86">
        <f>AVERAGEIFS($D$2:D162, $B$2:B162, B162)</f>
        <v>0.41666666666666669</v>
      </c>
    </row>
    <row r="163" spans="1:36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1</v>
      </c>
      <c r="AC163">
        <v>0</v>
      </c>
      <c r="AD163">
        <v>0</v>
      </c>
      <c r="AE163">
        <v>0</v>
      </c>
      <c r="AF163">
        <v>1</v>
      </c>
      <c r="AG163" s="86">
        <f>AVERAGEIFS($C$2:C163, $B$2:B163, B163)</f>
        <v>21.142857142857142</v>
      </c>
      <c r="AH163" s="86">
        <f>AVERAGEIFS($I$2:I163, $B$2:B163, B163)</f>
        <v>0.59285714285714286</v>
      </c>
      <c r="AI163" s="86">
        <f>AVERAGEIFS($J$2:J163, $B$2:B163, B163)</f>
        <v>0.58714285714285708</v>
      </c>
      <c r="AJ163" s="86">
        <f>AVERAGEIFS($D$2:D163, $B$2:B163, B163)</f>
        <v>0.5714285714285714</v>
      </c>
    </row>
    <row r="164" spans="1:36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1</v>
      </c>
      <c r="AC164">
        <v>0</v>
      </c>
      <c r="AD164">
        <v>0</v>
      </c>
      <c r="AE164">
        <v>0</v>
      </c>
      <c r="AF164">
        <v>1</v>
      </c>
      <c r="AG164" s="86">
        <f>AVERAGEIFS($C$2:C164, $B$2:B164, B164)</f>
        <v>13.9</v>
      </c>
      <c r="AH164" s="86">
        <f>AVERAGEIFS($I$2:I164, $B$2:B164, B164)</f>
        <v>0.44000000000000006</v>
      </c>
      <c r="AI164" s="86">
        <f>AVERAGEIFS($J$2:J164, $B$2:B164, B164)</f>
        <v>0.47000000000000003</v>
      </c>
      <c r="AJ164" s="86">
        <f>AVERAGEIFS($D$2:D164, $B$2:B164, B164)</f>
        <v>0.5</v>
      </c>
    </row>
    <row r="165" spans="1:36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1</v>
      </c>
      <c r="AC165">
        <v>0</v>
      </c>
      <c r="AD165">
        <v>0</v>
      </c>
      <c r="AE165">
        <v>0</v>
      </c>
      <c r="AF165">
        <v>1</v>
      </c>
      <c r="AG165" s="86">
        <f>AVERAGEIFS($C$2:C165, $B$2:B165, B165)</f>
        <v>19.09090909090909</v>
      </c>
      <c r="AH165" s="86">
        <f>AVERAGEIFS($I$2:I165, $B$2:B165, B165)</f>
        <v>0.69090909090909092</v>
      </c>
      <c r="AI165" s="86">
        <f>AVERAGEIFS($J$2:J165, $B$2:B165, B165)</f>
        <v>0.61636363636363634</v>
      </c>
      <c r="AJ165" s="86">
        <f>AVERAGEIFS($D$2:D165, $B$2:B165, B165)</f>
        <v>0.72727272727272729</v>
      </c>
    </row>
    <row r="166" spans="1:36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1</v>
      </c>
      <c r="AG166" s="86">
        <f>AVERAGEIFS($C$2:C166, $B$2:B166, B166)</f>
        <v>15.8</v>
      </c>
      <c r="AH166" s="86">
        <f>AVERAGEIFS($I$2:I166, $B$2:B166, B166)</f>
        <v>0.54500000000000004</v>
      </c>
      <c r="AI166" s="86">
        <f>AVERAGEIFS($J$2:J166, $B$2:B166, B166)</f>
        <v>0.55899999999999994</v>
      </c>
      <c r="AJ166" s="86">
        <f>AVERAGEIFS($D$2:D166, $B$2:B166, B166)</f>
        <v>0.6</v>
      </c>
    </row>
    <row r="167" spans="1:36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1</v>
      </c>
      <c r="AG167" s="86">
        <f>AVERAGEIFS($C$2:C167, $B$2:B167, B167)</f>
        <v>5.75</v>
      </c>
      <c r="AH167" s="86">
        <f>AVERAGEIFS($I$2:I167, $B$2:B167, B167)</f>
        <v>0.375</v>
      </c>
      <c r="AI167" s="86">
        <f>AVERAGEIFS($J$2:J167, $B$2:B167, B167)</f>
        <v>0.46</v>
      </c>
      <c r="AJ167" s="86">
        <f>AVERAGEIFS($D$2:D167, $B$2:B167, B167)</f>
        <v>0.25</v>
      </c>
    </row>
    <row r="168" spans="1:36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17.899999999999999</v>
      </c>
      <c r="AH168" s="86">
        <f>AVERAGEIFS($I$2:I168, $B$2:B168, B168)</f>
        <v>0.375</v>
      </c>
      <c r="AI168" s="86">
        <f>AVERAGEIFS($J$2:J168, $B$2:B168, B168)</f>
        <v>0.39799999999999996</v>
      </c>
      <c r="AJ168" s="86">
        <f>AVERAGEIFS($D$2:D168, $B$2:B168, B168)</f>
        <v>0.3</v>
      </c>
    </row>
    <row r="169" spans="1:36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19.285714285714285</v>
      </c>
      <c r="AH169" s="86">
        <f>AVERAGEIFS($I$2:I169, $B$2:B169, B169)</f>
        <v>0.6071428571428571</v>
      </c>
      <c r="AI169" s="86">
        <f>AVERAGEIFS($J$2:J169, $B$2:B169, B169)</f>
        <v>0.52857142857142858</v>
      </c>
      <c r="AJ169" s="86">
        <f>AVERAGEIFS($D$2:D169, $B$2:B169, B169)</f>
        <v>0.5714285714285714</v>
      </c>
    </row>
    <row r="170" spans="1:36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16</v>
      </c>
      <c r="AH170" s="86">
        <f>AVERAGEIFS($I$2:I170, $B$2:B170, B170)</f>
        <v>0.27499999999999997</v>
      </c>
      <c r="AI170" s="86">
        <f>AVERAGEIFS($J$2:J170, $B$2:B170, B170)</f>
        <v>0.35499999999999998</v>
      </c>
      <c r="AJ170" s="86">
        <f>AVERAGEIFS($D$2:D170, $B$2:B170, B170)</f>
        <v>0.16666666666666666</v>
      </c>
    </row>
    <row r="171" spans="1:36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13</v>
      </c>
      <c r="AH171" s="86">
        <f>AVERAGEIFS($I$2:I171, $B$2:B171, B171)</f>
        <v>0.27500000000000002</v>
      </c>
      <c r="AI171" s="86">
        <f>AVERAGEIFS($J$2:J171, $B$2:B171, B171)</f>
        <v>0.34</v>
      </c>
      <c r="AJ171" s="86">
        <f>AVERAGEIFS($D$2:D171, $B$2:B171, B171)</f>
        <v>0.25</v>
      </c>
    </row>
    <row r="172" spans="1:36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18.2</v>
      </c>
      <c r="AH172" s="86">
        <f>AVERAGEIFS($I$2:I172, $B$2:B172, B172)</f>
        <v>0.48</v>
      </c>
      <c r="AI172" s="86">
        <f>AVERAGEIFS($J$2:J172, $B$2:B172, B172)</f>
        <v>0.49000000000000005</v>
      </c>
      <c r="AJ172" s="86">
        <f>AVERAGEIFS($D$2:D172, $B$2:B172, B172)</f>
        <v>0.4</v>
      </c>
    </row>
    <row r="173" spans="1:36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 s="86">
        <f>AVERAGEIFS($C$2:C173, $B$2:B173, B173)</f>
        <v>16.166666666666668</v>
      </c>
      <c r="AH173" s="86">
        <f>AVERAGEIFS($I$2:I173, $B$2:B173, B173)</f>
        <v>0.64166666666666672</v>
      </c>
      <c r="AI173" s="86">
        <f>AVERAGEIFS($J$2:J173, $B$2:B173, B173)</f>
        <v>0.53500000000000003</v>
      </c>
      <c r="AJ173" s="86">
        <f>AVERAGEIFS($D$2:D173, $B$2:B173, B173)</f>
        <v>0.83333333333333337</v>
      </c>
    </row>
    <row r="174" spans="1:36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1</v>
      </c>
      <c r="AC174">
        <v>0</v>
      </c>
      <c r="AD174">
        <v>1</v>
      </c>
      <c r="AE174">
        <v>0</v>
      </c>
      <c r="AF174">
        <v>1</v>
      </c>
      <c r="AG174" s="86">
        <f>AVERAGEIFS($C$2:C174, $B$2:B174, B174)</f>
        <v>21.625</v>
      </c>
      <c r="AH174" s="86">
        <f>AVERAGEIFS($I$2:I174, $B$2:B174, B174)</f>
        <v>0.61250000000000004</v>
      </c>
      <c r="AI174" s="86">
        <f>AVERAGEIFS($J$2:J174, $B$2:B174, B174)</f>
        <v>0.59249999999999992</v>
      </c>
      <c r="AJ174" s="86">
        <f>AVERAGEIFS($D$2:D174, $B$2:B174, B174)</f>
        <v>0.625</v>
      </c>
    </row>
    <row r="175" spans="1:36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1</v>
      </c>
      <c r="AC175">
        <v>0</v>
      </c>
      <c r="AD175">
        <v>1</v>
      </c>
      <c r="AE175">
        <v>0</v>
      </c>
      <c r="AF175">
        <v>1</v>
      </c>
      <c r="AG175" s="86">
        <f>AVERAGEIFS($C$2:C175, $B$2:B175, B175)</f>
        <v>18.5</v>
      </c>
      <c r="AH175" s="86">
        <f>AVERAGEIFS($I$2:I175, $B$2:B175, B175)</f>
        <v>0.52500000000000002</v>
      </c>
      <c r="AI175" s="86">
        <f>AVERAGEIFS($J$2:J175, $B$2:B175, B175)</f>
        <v>0.51333333333333331</v>
      </c>
      <c r="AJ175" s="86">
        <f>AVERAGEIFS($D$2:D175, $B$2:B175, B175)</f>
        <v>0.5</v>
      </c>
    </row>
    <row r="176" spans="1:36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0</v>
      </c>
      <c r="AD176">
        <v>1</v>
      </c>
      <c r="AE176">
        <v>0</v>
      </c>
      <c r="AF176">
        <v>1</v>
      </c>
      <c r="AG176" s="86">
        <f>AVERAGEIFS($C$2:C176, $B$2:B176, B176)</f>
        <v>18</v>
      </c>
      <c r="AH176" s="86">
        <f>AVERAGEIFS($I$2:I176, $B$2:B176, B176)</f>
        <v>0.73888888888888893</v>
      </c>
      <c r="AI176" s="86">
        <f>AVERAGEIFS($J$2:J176, $B$2:B176, B176)</f>
        <v>0.66222222222222227</v>
      </c>
      <c r="AJ176" s="86">
        <f>AVERAGEIFS($D$2:D176, $B$2:B176, B176)</f>
        <v>0.77777777777777779</v>
      </c>
    </row>
    <row r="177" spans="1:36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1</v>
      </c>
      <c r="AC177">
        <v>0</v>
      </c>
      <c r="AD177">
        <v>1</v>
      </c>
      <c r="AE177">
        <v>0</v>
      </c>
      <c r="AF177">
        <v>1</v>
      </c>
      <c r="AG177" s="86">
        <f>AVERAGEIFS($C$2:C177, $B$2:B177, B177)</f>
        <v>15.636363636363637</v>
      </c>
      <c r="AH177" s="86">
        <f>AVERAGEIFS($I$2:I177, $B$2:B177, B177)</f>
        <v>0.5636363636363636</v>
      </c>
      <c r="AI177" s="86">
        <f>AVERAGEIFS($J$2:J177, $B$2:B177, B177)</f>
        <v>0.56545454545454543</v>
      </c>
      <c r="AJ177" s="86">
        <f>AVERAGEIFS($D$2:D177, $B$2:B177, B177)</f>
        <v>0.63636363636363635</v>
      </c>
    </row>
    <row r="178" spans="1:36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1</v>
      </c>
      <c r="AC178">
        <v>0</v>
      </c>
      <c r="AD178">
        <v>1</v>
      </c>
      <c r="AE178">
        <v>0</v>
      </c>
      <c r="AF178">
        <v>1</v>
      </c>
      <c r="AG178" s="86">
        <f>AVERAGEIFS($C$2:C178, $B$2:B178, B178)</f>
        <v>9</v>
      </c>
      <c r="AH178" s="86">
        <f>AVERAGEIFS($I$2:I178, $B$2:B178, B178)</f>
        <v>0.45</v>
      </c>
      <c r="AI178" s="86">
        <f>AVERAGEIFS($J$2:J178, $B$2:B178, B178)</f>
        <v>0.51333333333333331</v>
      </c>
      <c r="AJ178" s="86">
        <f>AVERAGEIFS($D$2:D178, $B$2:B178, B178)</f>
        <v>0.66666666666666663</v>
      </c>
    </row>
    <row r="179" spans="1:36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0</v>
      </c>
      <c r="AD179">
        <v>1</v>
      </c>
      <c r="AE179">
        <v>0</v>
      </c>
      <c r="AF179">
        <v>1</v>
      </c>
      <c r="AG179" s="86">
        <f>AVERAGEIFS($C$2:C179, $B$2:B179, B179)</f>
        <v>17.181818181818183</v>
      </c>
      <c r="AH179" s="86">
        <f>AVERAGEIFS($I$2:I179, $B$2:B179, B179)</f>
        <v>0.40909090909090912</v>
      </c>
      <c r="AI179" s="86">
        <f>AVERAGEIFS($J$2:J179, $B$2:B179, B179)</f>
        <v>0.41909090909090901</v>
      </c>
      <c r="AJ179" s="86">
        <f>AVERAGEIFS($D$2:D179, $B$2:B179, B179)</f>
        <v>0.36363636363636365</v>
      </c>
    </row>
    <row r="180" spans="1:36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20.46153846153846</v>
      </c>
      <c r="AH180" s="86">
        <f>AVERAGEIFS($I$2:I180, $B$2:B180, B180)</f>
        <v>0.41538461538461541</v>
      </c>
      <c r="AI180" s="86">
        <f>AVERAGEIFS($J$2:J180, $B$2:B180, B180)</f>
        <v>0.47076923076923077</v>
      </c>
      <c r="AJ180" s="86">
        <f>AVERAGEIFS($D$2:D180, $B$2:B180, B180)</f>
        <v>0.38461538461538464</v>
      </c>
    </row>
    <row r="181" spans="1:36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15.571428571428571</v>
      </c>
      <c r="AH181" s="86">
        <f>AVERAGEIFS($I$2:I181, $B$2:B181, B181)</f>
        <v>0.49285714285714288</v>
      </c>
      <c r="AI181" s="86">
        <f>AVERAGEIFS($J$2:J181, $B$2:B181, B181)</f>
        <v>0.50428571428571434</v>
      </c>
      <c r="AJ181" s="86">
        <f>AVERAGEIFS($D$2:D181, $B$2:B181, B181)</f>
        <v>0.5714285714285714</v>
      </c>
    </row>
    <row r="182" spans="1:36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16.142857142857142</v>
      </c>
      <c r="AH182" s="86">
        <f>AVERAGEIFS($I$2:I182, $B$2:B182, B182)</f>
        <v>0.58571428571428563</v>
      </c>
      <c r="AI182" s="86">
        <f>AVERAGEIFS($J$2:J182, $B$2:B182, B182)</f>
        <v>0.51285714285714279</v>
      </c>
      <c r="AJ182" s="86">
        <f>AVERAGEIFS($D$2:D182, $B$2:B182, B182)</f>
        <v>0.7142857142857143</v>
      </c>
    </row>
    <row r="183" spans="1:36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19</v>
      </c>
      <c r="AH183" s="86">
        <f>AVERAGEIFS($I$2:I183, $B$2:B183, B183)</f>
        <v>0.49090909090909096</v>
      </c>
      <c r="AI183" s="86">
        <f>AVERAGEIFS($J$2:J183, $B$2:B183, B183)</f>
        <v>0.49545454545454548</v>
      </c>
      <c r="AJ183" s="86">
        <f>AVERAGEIFS($D$2:D183, $B$2:B183, B183)</f>
        <v>0.45454545454545453</v>
      </c>
    </row>
    <row r="184" spans="1:36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13.636363636363637</v>
      </c>
      <c r="AH184" s="86">
        <f>AVERAGEIFS($I$2:I184, $B$2:B184, B184)</f>
        <v>0.42272727272727278</v>
      </c>
      <c r="AI184" s="86">
        <f>AVERAGEIFS($J$2:J184, $B$2:B184, B184)</f>
        <v>0.46181818181818185</v>
      </c>
      <c r="AJ184" s="86">
        <f>AVERAGEIFS($D$2:D184, $B$2:B184, B184)</f>
        <v>0.45454545454545453</v>
      </c>
    </row>
    <row r="185" spans="1:36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 s="86">
        <f>AVERAGEIFS($C$2:C185, $B$2:B185, B185)</f>
        <v>6.2</v>
      </c>
      <c r="AH185" s="86">
        <f>AVERAGEIFS($I$2:I185, $B$2:B185, B185)</f>
        <v>0.35</v>
      </c>
      <c r="AI185" s="86">
        <f>AVERAGEIFS($J$2:J185, $B$2:B185, B185)</f>
        <v>0.44400000000000006</v>
      </c>
      <c r="AJ185" s="86">
        <f>AVERAGEIFS($D$2:D185, $B$2:B185, B185)</f>
        <v>0.2</v>
      </c>
    </row>
    <row r="186" spans="1:36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15.333333333333334</v>
      </c>
      <c r="AH186" s="86">
        <f>AVERAGEIFS($I$2:I186, $B$2:B186, B186)</f>
        <v>0.57916666666666672</v>
      </c>
      <c r="AI186" s="86">
        <f>AVERAGEIFS($J$2:J186, $B$2:B186, B186)</f>
        <v>0.56499999999999995</v>
      </c>
      <c r="AJ186" s="86">
        <f>AVERAGEIFS($D$2:D186, $B$2:B186, B186)</f>
        <v>0.66666666666666663</v>
      </c>
    </row>
    <row r="187" spans="1:36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22.111111111111111</v>
      </c>
      <c r="AH187" s="86">
        <f>AVERAGEIFS($I$2:I187, $B$2:B187, B187)</f>
        <v>0.62777777777777777</v>
      </c>
      <c r="AI187" s="86">
        <f>AVERAGEIFS($J$2:J187, $B$2:B187, B187)</f>
        <v>0.5888888888888888</v>
      </c>
      <c r="AJ187" s="86">
        <f>AVERAGEIFS($D$2:D187, $B$2:B187, B187)</f>
        <v>0.66666666666666663</v>
      </c>
    </row>
    <row r="188" spans="1:36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15.75</v>
      </c>
      <c r="AH188" s="86">
        <f>AVERAGEIFS($I$2:I188, $B$2:B188, B188)</f>
        <v>0.52500000000000002</v>
      </c>
      <c r="AI188" s="86">
        <f>AVERAGEIFS($J$2:J188, $B$2:B188, B188)</f>
        <v>0.51124999999999998</v>
      </c>
      <c r="AJ188" s="86">
        <f>AVERAGEIFS($D$2:D188, $B$2:B188, B188)</f>
        <v>0.625</v>
      </c>
    </row>
    <row r="189" spans="1:36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18.600000000000001</v>
      </c>
      <c r="AH189" s="86">
        <f>AVERAGEIFS($I$2:I189, $B$2:B189, B189)</f>
        <v>0.74</v>
      </c>
      <c r="AI189" s="86">
        <f>AVERAGEIFS($J$2:J189, $B$2:B189, B189)</f>
        <v>0.65199999999999991</v>
      </c>
      <c r="AJ189" s="86">
        <f>AVERAGEIFS($D$2:D189, $B$2:B189, B189)</f>
        <v>0.8</v>
      </c>
    </row>
    <row r="190" spans="1:36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13.583333333333334</v>
      </c>
      <c r="AH190" s="86">
        <f>AVERAGEIFS($I$2:I190, $B$2:B190, B190)</f>
        <v>0.45</v>
      </c>
      <c r="AI190" s="86">
        <f>AVERAGEIFS($J$2:J190, $B$2:B190, B190)</f>
        <v>0.47000000000000003</v>
      </c>
      <c r="AJ190" s="86">
        <f>AVERAGEIFS($D$2:D190, $B$2:B190, B190)</f>
        <v>0.5</v>
      </c>
    </row>
    <row r="191" spans="1:36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s="86">
        <f>AVERAGEIFS($C$2:C191, $B$2:B191, B191)</f>
        <v>5</v>
      </c>
      <c r="AH191" s="86">
        <f>AVERAGEIFS($I$2:I191, $B$2:B191, B191)</f>
        <v>0.7</v>
      </c>
      <c r="AI191" s="86">
        <f>AVERAGEIFS($J$2:J191, $B$2:B191, B191)</f>
        <v>0.56399999999999995</v>
      </c>
      <c r="AJ191" s="86">
        <f>AVERAGEIFS($D$2:D191, $B$2:B191, B191)</f>
        <v>0.8</v>
      </c>
    </row>
    <row r="192" spans="1:36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1</v>
      </c>
      <c r="AC192">
        <v>0</v>
      </c>
      <c r="AD192">
        <v>0</v>
      </c>
      <c r="AE192">
        <v>0</v>
      </c>
      <c r="AF192">
        <v>0</v>
      </c>
      <c r="AG192" s="86">
        <f>AVERAGEIFS($C$2:C192, $B$2:B192, B192)</f>
        <v>27.571428571428573</v>
      </c>
      <c r="AH192" s="86">
        <f>AVERAGEIFS($I$2:I192, $B$2:B192, B192)</f>
        <v>0.6</v>
      </c>
      <c r="AI192" s="86">
        <f>AVERAGEIFS($J$2:J192, $B$2:B192, B192)</f>
        <v>0.54571428571428571</v>
      </c>
      <c r="AJ192" s="86">
        <f>AVERAGEIFS($D$2:D192, $B$2:B192, B192)</f>
        <v>0.7142857142857143</v>
      </c>
    </row>
    <row r="193" spans="1:36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1</v>
      </c>
      <c r="AC193">
        <v>0</v>
      </c>
      <c r="AD193">
        <v>0</v>
      </c>
      <c r="AE193">
        <v>0</v>
      </c>
      <c r="AF193">
        <v>0</v>
      </c>
      <c r="AG193" s="86">
        <f>AVERAGEIFS($C$2:C193, $B$2:B193, B193)</f>
        <v>17.285714285714285</v>
      </c>
      <c r="AH193" s="86">
        <f>AVERAGEIFS($I$2:I193, $B$2:B193, B193)</f>
        <v>0.48571428571428571</v>
      </c>
      <c r="AI193" s="86">
        <f>AVERAGEIFS($J$2:J193, $B$2:B193, B193)</f>
        <v>0.50285714285714289</v>
      </c>
      <c r="AJ193" s="86">
        <f>AVERAGEIFS($D$2:D193, $B$2:B193, B193)</f>
        <v>0.42857142857142855</v>
      </c>
    </row>
    <row r="194" spans="1:36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 s="86">
        <f>AVERAGEIFS($C$2:C194, $B$2:B194, B194)</f>
        <v>19.75</v>
      </c>
      <c r="AH194" s="86">
        <f>AVERAGEIFS($I$2:I194, $B$2:B194, B194)</f>
        <v>0.65416666666666667</v>
      </c>
      <c r="AI194" s="86">
        <f>AVERAGEIFS($J$2:J194, $B$2:B194, B194)</f>
        <v>0.60166666666666668</v>
      </c>
      <c r="AJ194" s="86">
        <f>AVERAGEIFS($D$2:D194, $B$2:B194, B194)</f>
        <v>0.66666666666666663</v>
      </c>
    </row>
    <row r="195" spans="1:36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  <c r="AC195">
        <v>0</v>
      </c>
      <c r="AD195">
        <v>0</v>
      </c>
      <c r="AE195">
        <v>0</v>
      </c>
      <c r="AF195">
        <v>0</v>
      </c>
      <c r="AG195" s="86">
        <f>AVERAGEIFS($C$2:C195, $B$2:B195, B195)</f>
        <v>11.75</v>
      </c>
      <c r="AH195" s="86">
        <f>AVERAGEIFS($I$2:I195, $B$2:B195, B195)</f>
        <v>0.47499999999999998</v>
      </c>
      <c r="AI195" s="86">
        <f>AVERAGEIFS($J$2:J195, $B$2:B195, B195)</f>
        <v>0.57000000000000006</v>
      </c>
      <c r="AJ195" s="86">
        <f>AVERAGEIFS($D$2:D195, $B$2:B195, B195)</f>
        <v>0.25</v>
      </c>
    </row>
    <row r="196" spans="1:36" x14ac:dyDescent="0.25">
      <c r="A196" s="85">
        <v>46130</v>
      </c>
      <c r="B196" t="s">
        <v>168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  <c r="AC196">
        <v>0</v>
      </c>
      <c r="AD196">
        <v>0</v>
      </c>
      <c r="AE196">
        <v>0</v>
      </c>
      <c r="AF196">
        <v>0</v>
      </c>
      <c r="AG196" s="86">
        <f>AVERAGEIFS($C$2:C196, $B$2:B196, B196)</f>
        <v>10</v>
      </c>
      <c r="AH196" s="86">
        <f>AVERAGEIFS($I$2:I196, $B$2:B196, B196)</f>
        <v>0.5</v>
      </c>
      <c r="AI196" s="86">
        <f>AVERAGEIFS($J$2:J196, $B$2:B196, B196)</f>
        <v>0.5</v>
      </c>
      <c r="AJ196" s="86">
        <f>AVERAGEIFS($D$2:D196, $B$2:B196, B196)</f>
        <v>0.5</v>
      </c>
    </row>
    <row r="197" spans="1:36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  <c r="AC197">
        <v>0</v>
      </c>
      <c r="AD197">
        <v>0</v>
      </c>
      <c r="AE197">
        <v>0</v>
      </c>
      <c r="AF197">
        <v>0</v>
      </c>
      <c r="AG197" s="86">
        <f>AVERAGEIFS($C$2:C197, $B$2:B197, B197)</f>
        <v>12.7</v>
      </c>
      <c r="AH197" s="86">
        <f>AVERAGEIFS($I$2:I197, $B$2:B197, B197)</f>
        <v>0.41999999999999993</v>
      </c>
      <c r="AI197" s="86">
        <f>AVERAGEIFS($J$2:J197, $B$2:B197, B197)</f>
        <v>0.45800000000000002</v>
      </c>
      <c r="AJ197" s="86">
        <f>AVERAGEIFS($D$2:D197, $B$2:B197, B197)</f>
        <v>0.2</v>
      </c>
    </row>
    <row r="198" spans="1:36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1</v>
      </c>
      <c r="AE198">
        <v>0</v>
      </c>
      <c r="AF198">
        <v>1</v>
      </c>
      <c r="AG198" s="86">
        <f>AVERAGEIFS($C$2:C198, $B$2:B198, B198)</f>
        <v>24.8</v>
      </c>
      <c r="AH198" s="86">
        <f>AVERAGEIFS($I$2:I198, $B$2:B198, B198)</f>
        <v>0.625</v>
      </c>
      <c r="AI198" s="86">
        <f>AVERAGEIFS($J$2:J198, $B$2:B198, B198)</f>
        <v>0.58199999999999985</v>
      </c>
      <c r="AJ198" s="86">
        <f>AVERAGEIFS($D$2:D198, $B$2:B198, B198)</f>
        <v>0.7</v>
      </c>
    </row>
    <row r="199" spans="1:36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1</v>
      </c>
      <c r="AE199">
        <v>0</v>
      </c>
      <c r="AF199">
        <v>1</v>
      </c>
      <c r="AG199" s="86">
        <f>AVERAGEIFS($C$2:C199, $B$2:B199, B199)</f>
        <v>20.083333333333332</v>
      </c>
      <c r="AH199" s="86">
        <f>AVERAGEIFS($I$2:I199, $B$2:B199, B199)</f>
        <v>0.5</v>
      </c>
      <c r="AI199" s="86">
        <f>AVERAGEIFS($J$2:J199, $B$2:B199, B199)</f>
        <v>0.49750000000000005</v>
      </c>
      <c r="AJ199" s="86">
        <f>AVERAGEIFS($D$2:D199, $B$2:B199, B199)</f>
        <v>0.5</v>
      </c>
    </row>
    <row r="200" spans="1:36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1</v>
      </c>
      <c r="AG200" s="86">
        <f>AVERAGEIFS($C$2:C200, $B$2:B200, B200)</f>
        <v>16</v>
      </c>
      <c r="AH200" s="86">
        <f>AVERAGEIFS($I$2:I200, $B$2:B200, B200)</f>
        <v>0.5807692307692307</v>
      </c>
      <c r="AI200" s="86">
        <f>AVERAGEIFS($J$2:J200, $B$2:B200, B200)</f>
        <v>0.56153846153846143</v>
      </c>
      <c r="AJ200" s="86">
        <f>AVERAGEIFS($D$2:D200, $B$2:B200, B200)</f>
        <v>0.69230769230769229</v>
      </c>
    </row>
    <row r="201" spans="1:36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1</v>
      </c>
      <c r="AE201">
        <v>0</v>
      </c>
      <c r="AF201">
        <v>1</v>
      </c>
      <c r="AG201" s="86">
        <f>AVERAGEIFS($C$2:C201, $B$2:B201, B201)</f>
        <v>14.23076923076923</v>
      </c>
      <c r="AH201" s="86">
        <f>AVERAGEIFS($I$2:I201, $B$2:B201, B201)</f>
        <v>0.46153846153846156</v>
      </c>
      <c r="AI201" s="86">
        <f>AVERAGEIFS($J$2:J201, $B$2:B201, B201)</f>
        <v>0.47384615384615386</v>
      </c>
      <c r="AJ201" s="86">
        <f>AVERAGEIFS($D$2:D201, $B$2:B201, B201)</f>
        <v>0.53846153846153844</v>
      </c>
    </row>
    <row r="202" spans="1:36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1</v>
      </c>
      <c r="AE202">
        <v>0</v>
      </c>
      <c r="AF202">
        <v>1</v>
      </c>
      <c r="AG202" s="86">
        <f>AVERAGEIFS($C$2:C202, $B$2:B202, B202)</f>
        <v>11.5</v>
      </c>
      <c r="AH202" s="86">
        <f>AVERAGEIFS($I$2:I202, $B$2:B202, B202)</f>
        <v>0.48750000000000004</v>
      </c>
      <c r="AI202" s="86">
        <f>AVERAGEIFS($J$2:J202, $B$2:B202, B202)</f>
        <v>0.51500000000000001</v>
      </c>
      <c r="AJ202" s="86">
        <f>AVERAGEIFS($D$2:D202, $B$2:B202, B202)</f>
        <v>0.75</v>
      </c>
    </row>
    <row r="203" spans="1:36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1</v>
      </c>
      <c r="AE203">
        <v>0</v>
      </c>
      <c r="AF203">
        <v>1</v>
      </c>
      <c r="AG203" s="86">
        <f>AVERAGEIFS($C$2:C203, $B$2:B203, B203)</f>
        <v>6.333333333333333</v>
      </c>
      <c r="AH203" s="86">
        <f>AVERAGEIFS($I$2:I203, $B$2:B203, B203)</f>
        <v>0.45</v>
      </c>
      <c r="AI203" s="86">
        <f>AVERAGEIFS($J$2:J203, $B$2:B203, B203)</f>
        <v>0.47666666666666663</v>
      </c>
      <c r="AJ203" s="86">
        <f>AVERAGEIFS($D$2:D203, $B$2:B203, B203)</f>
        <v>0.66666666666666663</v>
      </c>
    </row>
    <row r="204" spans="1:36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18.111111111111111</v>
      </c>
      <c r="AH204" s="86">
        <f>AVERAGEIFS($I$2:I204, $B$2:B204, B204)</f>
        <v>0.51111111111111118</v>
      </c>
      <c r="AI204" s="86">
        <f>AVERAGEIFS($J$2:J204, $B$2:B204, B204)</f>
        <v>0.50777777777777777</v>
      </c>
      <c r="AJ204" s="86">
        <f>AVERAGEIFS($D$2:D204, $B$2:B204, B204)</f>
        <v>0.55555555555555558</v>
      </c>
    </row>
    <row r="205" spans="1:36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  <c r="AC205">
        <v>0</v>
      </c>
      <c r="AD205">
        <v>0</v>
      </c>
      <c r="AE205">
        <v>0</v>
      </c>
      <c r="AF205">
        <v>0</v>
      </c>
      <c r="AG205" s="86">
        <f>AVERAGEIFS($C$2:C205, $B$2:B205, B205)</f>
        <v>28.375</v>
      </c>
      <c r="AH205" s="86">
        <f>AVERAGEIFS($I$2:I205, $B$2:B205, B205)</f>
        <v>0.57500000000000007</v>
      </c>
      <c r="AI205" s="86">
        <f>AVERAGEIFS($J$2:J205, $B$2:B205, B205)</f>
        <v>0.53749999999999998</v>
      </c>
      <c r="AJ205" s="86">
        <f>AVERAGEIFS($D$2:D205, $B$2:B205, B205)</f>
        <v>0.625</v>
      </c>
    </row>
    <row r="206" spans="1:36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  <c r="AC206">
        <v>0</v>
      </c>
      <c r="AD206">
        <v>0</v>
      </c>
      <c r="AE206">
        <v>0</v>
      </c>
      <c r="AF206">
        <v>0</v>
      </c>
      <c r="AG206" s="86">
        <f>AVERAGEIFS($C$2:C206, $B$2:B206, B206)</f>
        <v>20.53846153846154</v>
      </c>
      <c r="AH206" s="86">
        <f>AVERAGEIFS($I$2:I206, $B$2:B206, B206)</f>
        <v>0.63461538461538458</v>
      </c>
      <c r="AI206" s="86">
        <f>AVERAGEIFS($J$2:J206, $B$2:B206, B206)</f>
        <v>0.5923076923076922</v>
      </c>
      <c r="AJ206" s="86">
        <f>AVERAGEIFS($D$2:D206, $B$2:B206, B206)</f>
        <v>0.61538461538461542</v>
      </c>
    </row>
    <row r="207" spans="1:36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  <c r="AC207">
        <v>0</v>
      </c>
      <c r="AD207">
        <v>0</v>
      </c>
      <c r="AE207">
        <v>0</v>
      </c>
      <c r="AF207">
        <v>0</v>
      </c>
      <c r="AG207" s="86">
        <f>AVERAGEIFS($C$2:C207, $B$2:B207, B207)</f>
        <v>14.2</v>
      </c>
      <c r="AH207" s="86">
        <f>AVERAGEIFS($I$2:I207, $B$2:B207, B207)</f>
        <v>0.45999999999999996</v>
      </c>
      <c r="AI207" s="86">
        <f>AVERAGEIFS($J$2:J207, $B$2:B207, B207)</f>
        <v>0.55200000000000005</v>
      </c>
      <c r="AJ207" s="86">
        <f>AVERAGEIFS($D$2:D207, $B$2:B207, B207)</f>
        <v>0.2</v>
      </c>
    </row>
    <row r="208" spans="1:36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  <c r="AC208">
        <v>0</v>
      </c>
      <c r="AD208">
        <v>0</v>
      </c>
      <c r="AE208">
        <v>0</v>
      </c>
      <c r="AF208">
        <v>0</v>
      </c>
      <c r="AG208" s="86">
        <f>AVERAGEIFS($C$2:C208, $B$2:B208, B208)</f>
        <v>12.3</v>
      </c>
      <c r="AH208" s="86">
        <f>AVERAGEIFS($I$2:I208, $B$2:B208, B208)</f>
        <v>0.40499999999999997</v>
      </c>
      <c r="AI208" s="86">
        <f>AVERAGEIFS($J$2:J208, $B$2:B208, B208)</f>
        <v>0.4549999999999999</v>
      </c>
      <c r="AJ208" s="86">
        <f>AVERAGEIFS($D$2:D208, $B$2:B208, B208)</f>
        <v>0.3</v>
      </c>
    </row>
    <row r="209" spans="1:36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  <c r="AC209">
        <v>0</v>
      </c>
      <c r="AD209">
        <v>0</v>
      </c>
      <c r="AE209">
        <v>0</v>
      </c>
      <c r="AF209">
        <v>0</v>
      </c>
      <c r="AG209" s="86">
        <f>AVERAGEIFS($C$2:C209, $B$2:B209, B209)</f>
        <v>5.166666666666667</v>
      </c>
      <c r="AH209" s="86">
        <f>AVERAGEIFS($I$2:I209, $B$2:B209, B209)</f>
        <v>0.65</v>
      </c>
      <c r="AI209" s="86">
        <f>AVERAGEIFS($J$2:J209, $B$2:B209, B209)</f>
        <v>0.54999999999999993</v>
      </c>
      <c r="AJ209" s="86">
        <f>AVERAGEIFS($D$2:D209, $B$2:B209, B209)</f>
        <v>0.66666666666666663</v>
      </c>
    </row>
    <row r="210" spans="1:36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1</v>
      </c>
      <c r="AC210">
        <v>0</v>
      </c>
      <c r="AD210">
        <v>1</v>
      </c>
      <c r="AE210">
        <v>0</v>
      </c>
      <c r="AF210">
        <v>0</v>
      </c>
      <c r="AG210" s="86">
        <f>AVERAGEIFS($C$2:C210, $B$2:B210, B210)</f>
        <v>20.5</v>
      </c>
      <c r="AH210" s="86">
        <f>AVERAGEIFS($I$2:I210, $B$2:B210, B210)</f>
        <v>0.60624999999999996</v>
      </c>
      <c r="AI210" s="86">
        <f>AVERAGEIFS($J$2:J210, $B$2:B210, B210)</f>
        <v>0.53499999999999992</v>
      </c>
      <c r="AJ210" s="86">
        <f>AVERAGEIFS($D$2:D210, $B$2:B210, B210)</f>
        <v>0.625</v>
      </c>
    </row>
    <row r="211" spans="1:36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1</v>
      </c>
      <c r="AC211">
        <v>0</v>
      </c>
      <c r="AD211">
        <v>1</v>
      </c>
      <c r="AE211">
        <v>0</v>
      </c>
      <c r="AF211">
        <v>0</v>
      </c>
      <c r="AG211" s="86">
        <f>AVERAGEIFS($C$2:C211, $B$2:B211, B211)</f>
        <v>28.222222222222221</v>
      </c>
      <c r="AH211" s="86">
        <f>AVERAGEIFS($I$2:I211, $B$2:B211, B211)</f>
        <v>0.57777777777777783</v>
      </c>
      <c r="AI211" s="86">
        <f>AVERAGEIFS($J$2:J211, $B$2:B211, B211)</f>
        <v>0.54222222222222216</v>
      </c>
      <c r="AJ211" s="86">
        <f>AVERAGEIFS($D$2:D211, $B$2:B211, B211)</f>
        <v>0.66666666666666663</v>
      </c>
    </row>
    <row r="212" spans="1:36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1</v>
      </c>
      <c r="AC212">
        <v>0</v>
      </c>
      <c r="AD212">
        <v>1</v>
      </c>
      <c r="AE212">
        <v>0</v>
      </c>
      <c r="AF212">
        <v>0</v>
      </c>
      <c r="AG212" s="86">
        <f>AVERAGEIFS($C$2:C212, $B$2:B212, B212)</f>
        <v>17.5</v>
      </c>
      <c r="AH212" s="86">
        <f>AVERAGEIFS($I$2:I212, $B$2:B212, B212)</f>
        <v>0.42499999999999999</v>
      </c>
      <c r="AI212" s="86">
        <f>AVERAGEIFS($J$2:J212, $B$2:B212, B212)</f>
        <v>0.43249999999999994</v>
      </c>
      <c r="AJ212" s="86">
        <f>AVERAGEIFS($D$2:D212, $B$2:B212, B212)</f>
        <v>0.41666666666666669</v>
      </c>
    </row>
    <row r="213" spans="1:36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  <c r="AC213">
        <v>0</v>
      </c>
      <c r="AD213">
        <v>1</v>
      </c>
      <c r="AE213">
        <v>0</v>
      </c>
      <c r="AF213">
        <v>0</v>
      </c>
      <c r="AG213" s="86">
        <f>AVERAGEIFS($C$2:C213, $B$2:B213, B213)</f>
        <v>16.75</v>
      </c>
      <c r="AH213" s="86">
        <f>AVERAGEIFS($I$2:I213, $B$2:B213, B213)</f>
        <v>0.58749999999999991</v>
      </c>
      <c r="AI213" s="86">
        <f>AVERAGEIFS($J$2:J213, $B$2:B213, B213)</f>
        <v>0.52124999999999999</v>
      </c>
      <c r="AJ213" s="86">
        <f>AVERAGEIFS($D$2:D213, $B$2:B213, B213)</f>
        <v>0.75</v>
      </c>
    </row>
    <row r="214" spans="1:36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  <c r="AC214">
        <v>0</v>
      </c>
      <c r="AD214">
        <v>1</v>
      </c>
      <c r="AE214">
        <v>0</v>
      </c>
      <c r="AF214">
        <v>0</v>
      </c>
      <c r="AG214" s="86">
        <f>AVERAGEIFS($C$2:C214, $B$2:B214, B214)</f>
        <v>14.75</v>
      </c>
      <c r="AH214" s="86">
        <f>AVERAGEIFS($I$2:I214, $B$2:B214, B214)</f>
        <v>0.36249999999999999</v>
      </c>
      <c r="AI214" s="86">
        <f>AVERAGEIFS($J$2:J214, $B$2:B214, B214)</f>
        <v>0.39249999999999996</v>
      </c>
      <c r="AJ214" s="86">
        <f>AVERAGEIFS($D$2:D214, $B$2:B214, B214)</f>
        <v>0.5</v>
      </c>
    </row>
    <row r="215" spans="1:36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14.214285714285714</v>
      </c>
      <c r="AH215" s="86">
        <f>AVERAGEIFS($I$2:I215, $B$2:B215, B215)</f>
        <v>0.47142857142857142</v>
      </c>
      <c r="AI215" s="86">
        <f>AVERAGEIFS($J$2:J215, $B$2:B215, B215)</f>
        <v>0.48142857142857143</v>
      </c>
      <c r="AJ215" s="86">
        <f>AVERAGEIFS($D$2:D215, $B$2:B215, B215)</f>
        <v>0.5714285714285714</v>
      </c>
    </row>
    <row r="216" spans="1:36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 s="86">
        <f>AVERAGEIFS($C$2:C216, $B$2:B216, B216)</f>
        <v>25.272727272727273</v>
      </c>
      <c r="AH216" s="86">
        <f>AVERAGEIFS($I$2:I216, $B$2:B216, B216)</f>
        <v>0.60454545454545461</v>
      </c>
      <c r="AI216" s="86">
        <f>AVERAGEIFS($J$2:J216, $B$2:B216, B216)</f>
        <v>0.56727272727272715</v>
      </c>
      <c r="AJ216" s="86">
        <f>AVERAGEIFS($D$2:D216, $B$2:B216, B216)</f>
        <v>0.63636363636363635</v>
      </c>
    </row>
    <row r="217" spans="1:36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 s="86">
        <f>AVERAGEIFS($C$2:C217, $B$2:B217, B217)</f>
        <v>18.3</v>
      </c>
      <c r="AH217" s="86">
        <f>AVERAGEIFS($I$2:I217, $B$2:B217, B217)</f>
        <v>0.50000000000000011</v>
      </c>
      <c r="AI217" s="86">
        <f>AVERAGEIFS($J$2:J217, $B$2:B217, B217)</f>
        <v>0.499</v>
      </c>
      <c r="AJ217" s="86">
        <f>AVERAGEIFS($D$2:D217, $B$2:B217, B217)</f>
        <v>0.5</v>
      </c>
    </row>
    <row r="218" spans="1:36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 s="86">
        <f>AVERAGEIFS($C$2:C218, $B$2:B218, B218)</f>
        <v>20</v>
      </c>
      <c r="AH218" s="86">
        <f>AVERAGEIFS($I$2:I218, $B$2:B218, B218)</f>
        <v>0.49230769230769234</v>
      </c>
      <c r="AI218" s="86">
        <f>AVERAGEIFS($J$2:J218, $B$2:B218, B218)</f>
        <v>0.49153846153846159</v>
      </c>
      <c r="AJ218" s="86">
        <f>AVERAGEIFS($D$2:D218, $B$2:B218, B218)</f>
        <v>0.46153846153846156</v>
      </c>
    </row>
    <row r="219" spans="1:36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 s="86">
        <f>AVERAGEIFS($C$2:C219, $B$2:B219, B219)</f>
        <v>16.142857142857142</v>
      </c>
      <c r="AH219" s="86">
        <f>AVERAGEIFS($I$2:I219, $B$2:B219, B219)</f>
        <v>0.56785714285714284</v>
      </c>
      <c r="AI219" s="86">
        <f>AVERAGEIFS($J$2:J219, $B$2:B219, B219)</f>
        <v>0.55142857142857138</v>
      </c>
      <c r="AJ219" s="86">
        <f>AVERAGEIFS($D$2:D219, $B$2:B219, B219)</f>
        <v>0.6428571428571429</v>
      </c>
    </row>
    <row r="220" spans="1:36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 s="86">
        <f>AVERAGEIFS($C$2:C220, $B$2:B220, B220)</f>
        <v>20.285714285714285</v>
      </c>
      <c r="AH220" s="86">
        <f>AVERAGEIFS($I$2:I220, $B$2:B220, B220)</f>
        <v>0.61785714285714288</v>
      </c>
      <c r="AI220" s="86">
        <f>AVERAGEIFS($J$2:J220, $B$2:B220, B220)</f>
        <v>0.57999999999999996</v>
      </c>
      <c r="AJ220" s="86">
        <f>AVERAGEIFS($D$2:D220, $B$2:B220, B220)</f>
        <v>0.5714285714285714</v>
      </c>
    </row>
    <row r="221" spans="1:36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s="86">
        <f>AVERAGEIFS($C$2:C221, $B$2:B221, B221)</f>
        <v>13.166666666666666</v>
      </c>
      <c r="AH221" s="86">
        <f>AVERAGEIFS($I$2:I221, $B$2:B221, B221)</f>
        <v>0.44999999999999996</v>
      </c>
      <c r="AI221" s="86">
        <f>AVERAGEIFS($J$2:J221, $B$2:B221, B221)</f>
        <v>0.53</v>
      </c>
      <c r="AJ221" s="86">
        <f>AVERAGEIFS($D$2:D221, $B$2:B221, B221)</f>
        <v>0.16666666666666666</v>
      </c>
    </row>
    <row r="222" spans="1:36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 s="86">
        <f>AVERAGEIFS($C$2:C222, $B$2:B222, B222)</f>
        <v>20.714285714285715</v>
      </c>
      <c r="AH222" s="86">
        <f>AVERAGEIFS($I$2:I222, $B$2:B222, B222)</f>
        <v>0.43928571428571433</v>
      </c>
      <c r="AI222" s="86">
        <f>AVERAGEIFS($J$2:J222, $B$2:B222, B222)</f>
        <v>0.47714285714285715</v>
      </c>
      <c r="AJ222" s="86">
        <f>AVERAGEIFS($D$2:D222, $B$2:B222, B222)</f>
        <v>0.42857142857142855</v>
      </c>
    </row>
    <row r="223" spans="1:36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1</v>
      </c>
      <c r="AG223" s="86">
        <f>AVERAGEIFS($C$2:C223, $B$2:B223, B223)</f>
        <v>17.333333333333332</v>
      </c>
      <c r="AH223" s="86">
        <f>AVERAGEIFS($I$2:I223, $B$2:B223, B223)</f>
        <v>0.60555555555555551</v>
      </c>
      <c r="AI223" s="86">
        <f>AVERAGEIFS($J$2:J223, $B$2:B223, B223)</f>
        <v>0.52555555555555555</v>
      </c>
      <c r="AJ223" s="86">
        <f>AVERAGEIFS($D$2:D223, $B$2:B223, B223)</f>
        <v>0.77777777777777779</v>
      </c>
    </row>
    <row r="224" spans="1:36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1</v>
      </c>
      <c r="AG224" s="86">
        <f>AVERAGEIFS($C$2:C224, $B$2:B224, B224)</f>
        <v>14.428571428571429</v>
      </c>
      <c r="AH224" s="86">
        <f>AVERAGEIFS($I$2:I224, $B$2:B224, B224)</f>
        <v>0.49285714285714283</v>
      </c>
      <c r="AI224" s="86">
        <f>AVERAGEIFS($J$2:J224, $B$2:B224, B224)</f>
        <v>0.53428571428571436</v>
      </c>
      <c r="AJ224" s="86">
        <f>AVERAGEIFS($D$2:D224, $B$2:B224, B224)</f>
        <v>0.2857142857142857</v>
      </c>
    </row>
    <row r="225" spans="1:36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 s="86">
        <f>AVERAGEIFS($C$2:C225, $B$2:B225, B225)</f>
        <v>17.76923076923077</v>
      </c>
      <c r="AH225" s="86">
        <f>AVERAGEIFS($I$2:I225, $B$2:B225, B225)</f>
        <v>0.44999999999999996</v>
      </c>
      <c r="AI225" s="86">
        <f>AVERAGEIFS($J$2:J225, $B$2:B225, B225)</f>
        <v>0.44230769230769229</v>
      </c>
      <c r="AJ225" s="86">
        <f>AVERAGEIFS($D$2:D225, $B$2:B225, B225)</f>
        <v>0.46153846153846156</v>
      </c>
    </row>
    <row r="226" spans="1:36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1</v>
      </c>
      <c r="AG226" s="86">
        <f>AVERAGEIFS($C$2:C226, $B$2:B226, B226)</f>
        <v>18.545454545454547</v>
      </c>
      <c r="AH226" s="86">
        <f>AVERAGEIFS($I$2:I226, $B$2:B226, B226)</f>
        <v>0.74090909090909096</v>
      </c>
      <c r="AI226" s="86">
        <f>AVERAGEIFS($J$2:J226, $B$2:B226, B226)</f>
        <v>0.64363636363636367</v>
      </c>
      <c r="AJ226" s="86">
        <f>AVERAGEIFS($D$2:D226, $B$2:B226, B226)</f>
        <v>0.81818181818181823</v>
      </c>
    </row>
    <row r="227" spans="1:36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1</v>
      </c>
      <c r="AG227" s="86">
        <f>AVERAGEIFS($C$2:C227, $B$2:B227, B227)</f>
        <v>20</v>
      </c>
      <c r="AH227" s="86">
        <f>AVERAGEIFS($I$2:I227, $B$2:B227, B227)</f>
        <v>0.62666666666666671</v>
      </c>
      <c r="AI227" s="86">
        <f>AVERAGEIFS($J$2:J227, $B$2:B227, B227)</f>
        <v>0.57866666666666666</v>
      </c>
      <c r="AJ227" s="86">
        <f>AVERAGEIFS($D$2:D227, $B$2:B227, B227)</f>
        <v>0.6</v>
      </c>
    </row>
    <row r="228" spans="1:36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 s="86">
        <f>AVERAGEIFS($C$2:C228, $B$2:B228, B228)</f>
        <v>25.833333333333332</v>
      </c>
      <c r="AH228" s="86">
        <f>AVERAGEIFS($I$2:I228, $B$2:B228, B228)</f>
        <v>0.57500000000000007</v>
      </c>
      <c r="AI228" s="86">
        <f>AVERAGEIFS($J$2:J228, $B$2:B228, B228)</f>
        <v>0.55666666666666653</v>
      </c>
      <c r="AJ228" s="86">
        <f>AVERAGEIFS($D$2:D228, $B$2:B228, B228)</f>
        <v>0.58333333333333337</v>
      </c>
    </row>
    <row r="229" spans="1:36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 s="86">
        <f>AVERAGEIFS($C$2:C229, $B$2:B229, B229)</f>
        <v>20.142857142857142</v>
      </c>
      <c r="AH229" s="86">
        <f>AVERAGEIFS($I$2:I229, $B$2:B229, B229)</f>
        <v>0.47500000000000003</v>
      </c>
      <c r="AI229" s="86">
        <f>AVERAGEIFS($J$2:J229, $B$2:B229, B229)</f>
        <v>0.48785714285714293</v>
      </c>
      <c r="AJ229" s="86">
        <f>AVERAGEIFS($D$2:D229, $B$2:B229, B229)</f>
        <v>0.42857142857142855</v>
      </c>
    </row>
    <row r="230" spans="1:36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 s="86">
        <f>AVERAGEIFS($C$2:C230, $B$2:B230, B230)</f>
        <v>16</v>
      </c>
      <c r="AH230" s="86">
        <f>AVERAGEIFS($I$2:I230, $B$2:B230, B230)</f>
        <v>0.33999999999999997</v>
      </c>
      <c r="AI230" s="86">
        <f>AVERAGEIFS($J$2:J230, $B$2:B230, B230)</f>
        <v>0.40199999999999997</v>
      </c>
      <c r="AJ230" s="86">
        <f>AVERAGEIFS($D$2:D230, $B$2:B230, B230)</f>
        <v>0.4</v>
      </c>
    </row>
    <row r="231" spans="1:36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16.133333333333333</v>
      </c>
      <c r="AH231" s="86">
        <f>AVERAGEIFS($I$2:I231, $B$2:B231, B231)</f>
        <v>0.54666666666666663</v>
      </c>
      <c r="AI231" s="86">
        <f>AVERAGEIFS($J$2:J231, $B$2:B231, B231)</f>
        <v>0.54399999999999993</v>
      </c>
      <c r="AJ231" s="86">
        <f>AVERAGEIFS($D$2:D231, $B$2:B231, B231)</f>
        <v>0.6</v>
      </c>
    </row>
    <row r="232" spans="1:36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14.266666666666667</v>
      </c>
      <c r="AH232" s="86">
        <f>AVERAGEIFS($I$2:I232, $B$2:B232, B232)</f>
        <v>0.45666666666666667</v>
      </c>
      <c r="AI232" s="86">
        <f>AVERAGEIFS($J$2:J232, $B$2:B232, B232)</f>
        <v>0.47866666666666668</v>
      </c>
      <c r="AJ232" s="86">
        <f>AVERAGEIFS($D$2:D232, $B$2:B232, B232)</f>
        <v>0.53333333333333333</v>
      </c>
    </row>
    <row r="233" spans="1:36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17.818181818181817</v>
      </c>
      <c r="AH233" s="86">
        <f>AVERAGEIFS($I$2:I233, $B$2:B233, B233)</f>
        <v>0.47727272727272735</v>
      </c>
      <c r="AI233" s="86">
        <f>AVERAGEIFS($J$2:J233, $B$2:B233, B233)</f>
        <v>0.49363636363636371</v>
      </c>
      <c r="AJ233" s="86">
        <f>AVERAGEIFS($D$2:D233, $B$2:B233, B233)</f>
        <v>0.45454545454545453</v>
      </c>
    </row>
    <row r="234" spans="1:36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21.733333333333334</v>
      </c>
      <c r="AH234" s="86">
        <f>AVERAGEIFS($I$2:I234, $B$2:B234, B234)</f>
        <v>0.45</v>
      </c>
      <c r="AI234" s="86">
        <f>AVERAGEIFS($J$2:J234, $B$2:B234, B234)</f>
        <v>0.48133333333333334</v>
      </c>
      <c r="AJ234" s="86">
        <f>AVERAGEIFS($D$2:D234, $B$2:B234, B234)</f>
        <v>0.46666666666666667</v>
      </c>
    </row>
    <row r="235" spans="1:36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19.166666666666668</v>
      </c>
      <c r="AH235" s="86">
        <f>AVERAGEIFS($I$2:I235, $B$2:B235, B235)</f>
        <v>0.48750000000000004</v>
      </c>
      <c r="AI235" s="86">
        <f>AVERAGEIFS($J$2:J235, $B$2:B235, B235)</f>
        <v>0.49750000000000005</v>
      </c>
      <c r="AJ235" s="86">
        <f>AVERAGEIFS($D$2:D235, $B$2:B235, B235)</f>
        <v>0.5</v>
      </c>
    </row>
    <row r="236" spans="1:36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s="86">
        <f>AVERAGEIFS($C$2:C236, $B$2:B236, B236)</f>
        <v>15.0625</v>
      </c>
      <c r="AH236" s="86">
        <f>AVERAGEIFS($I$2:I236, $B$2:B236, B236)</f>
        <v>0.46562499999999996</v>
      </c>
      <c r="AI236" s="86">
        <f>AVERAGEIFS($J$2:J236, $B$2:B236, B236)</f>
        <v>0.48250000000000004</v>
      </c>
      <c r="AJ236" s="86">
        <f>AVERAGEIFS($D$2:D236, $B$2:B236, B236)</f>
        <v>0.5625</v>
      </c>
    </row>
    <row r="237" spans="1:36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s="86">
        <f>AVERAGEIFS($C$2:C237, $B$2:B237, B237)</f>
        <v>18.399999999999999</v>
      </c>
      <c r="AH237" s="86">
        <f>AVERAGEIFS($I$2:I237, $B$2:B237, B237)</f>
        <v>0.60499999999999987</v>
      </c>
      <c r="AI237" s="86">
        <f>AVERAGEIFS($J$2:J237, $B$2:B237, B237)</f>
        <v>0.52700000000000002</v>
      </c>
      <c r="AJ237" s="86">
        <f>AVERAGEIFS($D$2:D237, $B$2:B237, B237)</f>
        <v>0.8</v>
      </c>
    </row>
    <row r="238" spans="1:36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s="86">
        <f>AVERAGEIFS($C$2:C238, $B$2:B238, B238)</f>
        <v>16.875</v>
      </c>
      <c r="AH238" s="86">
        <f>AVERAGEIFS($I$2:I238, $B$2:B238, B238)</f>
        <v>0.54999999999999993</v>
      </c>
      <c r="AI238" s="86">
        <f>AVERAGEIFS($J$2:J238, $B$2:B238, B238)</f>
        <v>0.54374999999999996</v>
      </c>
      <c r="AJ238" s="86">
        <f>AVERAGEIFS($D$2:D238, $B$2:B238, B238)</f>
        <v>0.625</v>
      </c>
    </row>
    <row r="239" spans="1:36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 s="86">
        <f>AVERAGEIFS($C$2:C239, $B$2:B239, B239)</f>
        <v>15.875</v>
      </c>
      <c r="AH239" s="86">
        <f>AVERAGEIFS($I$2:I239, $B$2:B239, B239)</f>
        <v>0.50624999999999998</v>
      </c>
      <c r="AI239" s="86">
        <f>AVERAGEIFS($J$2:J239, $B$2:B239, B239)</f>
        <v>0.53500000000000003</v>
      </c>
      <c r="AJ239" s="86">
        <f>AVERAGEIFS($D$2:D239, $B$2:B239, B239)</f>
        <v>0.375</v>
      </c>
    </row>
    <row r="240" spans="1:36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 s="86">
        <f>AVERAGEIFS($C$2:C240, $B$2:B240, B240)</f>
        <v>6.833333333333333</v>
      </c>
      <c r="AH240" s="86">
        <f>AVERAGEIFS($I$2:I240, $B$2:B240, B240)</f>
        <v>0.39166666666666666</v>
      </c>
      <c r="AI240" s="86">
        <f>AVERAGEIFS($J$2:J240, $B$2:B240, B240)</f>
        <v>0.46</v>
      </c>
      <c r="AJ240" s="86">
        <f>AVERAGEIFS($D$2:D240, $B$2:B240, B240)</f>
        <v>0.33333333333333331</v>
      </c>
    </row>
    <row r="241" spans="1:36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10</v>
      </c>
      <c r="AH241" s="86">
        <f>AVERAGEIFS($I$2:I241, $B$2:B241, B241)</f>
        <v>0.48750000000000004</v>
      </c>
      <c r="AI241" s="86">
        <f>AVERAGEIFS($J$2:J241, $B$2:B241, B241)</f>
        <v>0.49249999999999999</v>
      </c>
      <c r="AJ241" s="86">
        <f>AVERAGEIFS($D$2:D241, $B$2:B241, B241)</f>
        <v>0.75</v>
      </c>
    </row>
    <row r="242" spans="1:36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1</v>
      </c>
      <c r="AD242">
        <v>0</v>
      </c>
      <c r="AE242">
        <v>0</v>
      </c>
      <c r="AF242">
        <v>0</v>
      </c>
      <c r="AG242" s="86">
        <f>AVERAGEIFS($C$2:C242, $B$2:B242, B242)</f>
        <v>23.444444444444443</v>
      </c>
      <c r="AH242" s="86">
        <f>AVERAGEIFS($I$2:I242, $B$2:B242, B242)</f>
        <v>0.58333333333333337</v>
      </c>
      <c r="AI242" s="86">
        <f>AVERAGEIFS($J$2:J242, $B$2:B242, B242)</f>
        <v>0.52666666666666662</v>
      </c>
      <c r="AJ242" s="86">
        <f>AVERAGEIFS($D$2:D242, $B$2:B242, B242)</f>
        <v>0.55555555555555558</v>
      </c>
    </row>
    <row r="243" spans="1:36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 s="86">
        <f>AVERAGEIFS($C$2:C243, $B$2:B243, B243)</f>
        <v>16.875</v>
      </c>
      <c r="AH243" s="86">
        <f>AVERAGEIFS($I$2:I243, $B$2:B243, B243)</f>
        <v>0.47499999999999998</v>
      </c>
      <c r="AI243" s="86">
        <f>AVERAGEIFS($J$2:J243, $B$2:B243, B243)</f>
        <v>0.4975</v>
      </c>
      <c r="AJ243" s="86">
        <f>AVERAGEIFS($D$2:D243, $B$2:B243, B243)</f>
        <v>0.375</v>
      </c>
    </row>
    <row r="244" spans="1:36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1</v>
      </c>
      <c r="AD244">
        <v>0</v>
      </c>
      <c r="AE244">
        <v>0</v>
      </c>
      <c r="AF244">
        <v>0</v>
      </c>
      <c r="AG244" s="86">
        <f>AVERAGEIFS($C$2:C244, $B$2:B244, B244)</f>
        <v>20</v>
      </c>
      <c r="AH244" s="86">
        <f>AVERAGEIFS($I$2:I244, $B$2:B244, B244)</f>
        <v>0.61250000000000004</v>
      </c>
      <c r="AI244" s="86">
        <f>AVERAGEIFS($J$2:J244, $B$2:B244, B244)</f>
        <v>0.57125000000000004</v>
      </c>
      <c r="AJ244" s="86">
        <f>AVERAGEIFS($D$2:D244, $B$2:B244, B244)</f>
        <v>0.5625</v>
      </c>
    </row>
    <row r="245" spans="1:36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1</v>
      </c>
      <c r="AD245">
        <v>0</v>
      </c>
      <c r="AE245">
        <v>0</v>
      </c>
      <c r="AF245">
        <v>0</v>
      </c>
      <c r="AG245" s="86">
        <f>AVERAGEIFS($C$2:C245, $B$2:B245, B245)</f>
        <v>17</v>
      </c>
      <c r="AH245" s="86">
        <f>AVERAGEIFS($I$2:I245, $B$2:B245, B245)</f>
        <v>0.35000000000000003</v>
      </c>
      <c r="AI245" s="86">
        <f>AVERAGEIFS($J$2:J245, $B$2:B245, B245)</f>
        <v>0.41166666666666663</v>
      </c>
      <c r="AJ245" s="86">
        <f>AVERAGEIFS($D$2:D245, $B$2:B245, B245)</f>
        <v>0.33333333333333331</v>
      </c>
    </row>
    <row r="246" spans="1:36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0</v>
      </c>
      <c r="AG246" s="86">
        <f>AVERAGEIFS($C$2:C246, $B$2:B246, B246)</f>
        <v>15.5</v>
      </c>
      <c r="AH246" s="86">
        <f>AVERAGEIFS($I$2:I246, $B$2:B246, B246)</f>
        <v>0.32500000000000001</v>
      </c>
      <c r="AI246" s="86">
        <f>AVERAGEIFS($J$2:J246, $B$2:B246, B246)</f>
        <v>0.45</v>
      </c>
      <c r="AJ246" s="86">
        <f>AVERAGEIFS($D$2:D246, $B$2:B246, B246)</f>
        <v>0</v>
      </c>
    </row>
    <row r="247" spans="1:36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 s="86">
        <f>AVERAGEIFS($C$2:C247, $B$2:B247, B247)</f>
        <v>15</v>
      </c>
      <c r="AH247" s="86">
        <f>AVERAGEIFS($I$2:I247, $B$2:B247, B247)</f>
        <v>0.4</v>
      </c>
      <c r="AI247" s="86">
        <f>AVERAGEIFS($J$2:J247, $B$2:B247, B247)</f>
        <v>0.46</v>
      </c>
      <c r="AJ247" s="86">
        <f>AVERAGEIFS($D$2:D247, $B$2:B247, B247)</f>
        <v>0</v>
      </c>
    </row>
    <row r="248" spans="1:36" x14ac:dyDescent="0.25">
      <c r="A248" s="85">
        <v>46139</v>
      </c>
      <c r="B248" t="s">
        <v>179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1</v>
      </c>
      <c r="AD248">
        <v>0</v>
      </c>
      <c r="AE248">
        <v>0</v>
      </c>
      <c r="AF248">
        <v>0</v>
      </c>
      <c r="AG248" s="86">
        <f>AVERAGEIFS($C$2:C248, $B$2:B248, B248)</f>
        <v>16</v>
      </c>
      <c r="AH248" s="86">
        <f>AVERAGEIFS($I$2:I248, $B$2:B248, B248)</f>
        <v>0.4</v>
      </c>
      <c r="AI248" s="86">
        <f>AVERAGEIFS($J$2:J248, $B$2:B248, B248)</f>
        <v>0.46</v>
      </c>
      <c r="AJ248" s="86">
        <f>AVERAGEIFS($D$2:D248, $B$2:B248, B248)</f>
        <v>0</v>
      </c>
    </row>
    <row r="249" spans="1:36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1</v>
      </c>
      <c r="AD249">
        <v>0</v>
      </c>
      <c r="AE249">
        <v>0</v>
      </c>
      <c r="AF249">
        <v>0</v>
      </c>
      <c r="AG249" s="86">
        <f>AVERAGEIFS($C$2:C249, $B$2:B249, B249)</f>
        <v>7.8571428571428568</v>
      </c>
      <c r="AH249" s="86">
        <f>AVERAGEIFS($I$2:I249, $B$2:B249, B249)</f>
        <v>0.61428571428571421</v>
      </c>
      <c r="AI249" s="86">
        <f>AVERAGEIFS($J$2:J249, $B$2:B249, B249)</f>
        <v>0.53714285714285714</v>
      </c>
      <c r="AJ249" s="86">
        <f>AVERAGEIFS($D$2:D249, $B$2:B249, B249)</f>
        <v>0.5714285714285714</v>
      </c>
    </row>
    <row r="250" spans="1:36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26.153846153846153</v>
      </c>
      <c r="AH250" s="86">
        <f>AVERAGEIFS($I$2:I250, $B$2:B250, B250)</f>
        <v>0.55000000000000004</v>
      </c>
      <c r="AI250" s="86">
        <f>AVERAGEIFS($J$2:J250, $B$2:B250, B250)</f>
        <v>0.54999999999999993</v>
      </c>
      <c r="AJ250" s="86">
        <f>AVERAGEIFS($D$2:D250, $B$2:B250, B250)</f>
        <v>0.53846153846153844</v>
      </c>
    </row>
    <row r="251" spans="1:36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16.777777777777779</v>
      </c>
      <c r="AH251" s="86">
        <f>AVERAGEIFS($I$2:I251, $B$2:B251, B251)</f>
        <v>0.44999999999999996</v>
      </c>
      <c r="AI251" s="86">
        <f>AVERAGEIFS($J$2:J251, $B$2:B251, B251)</f>
        <v>0.49444444444444446</v>
      </c>
      <c r="AJ251" s="86">
        <f>AVERAGEIFS($D$2:D251, $B$2:B251, B251)</f>
        <v>0.33333333333333331</v>
      </c>
    </row>
    <row r="252" spans="1:36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20.6</v>
      </c>
      <c r="AH252" s="86">
        <f>AVERAGEIFS($I$2:I252, $B$2:B252, B252)</f>
        <v>0.46</v>
      </c>
      <c r="AI252" s="86">
        <f>AVERAGEIFS($J$2:J252, $B$2:B252, B252)</f>
        <v>0.48666666666666669</v>
      </c>
      <c r="AJ252" s="86">
        <f>AVERAGEIFS($D$2:D252, $B$2:B252, B252)</f>
        <v>0.4</v>
      </c>
    </row>
    <row r="253" spans="1:36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12.909090909090908</v>
      </c>
      <c r="AH253" s="86">
        <f>AVERAGEIFS($I$2:I253, $B$2:B253, B253)</f>
        <v>0.40454545454545449</v>
      </c>
      <c r="AI253" s="86">
        <f>AVERAGEIFS($J$2:J253, $B$2:B253, B253)</f>
        <v>0.45909090909090905</v>
      </c>
      <c r="AJ253" s="86">
        <f>AVERAGEIFS($D$2:D253, $B$2:B253, B253)</f>
        <v>0.18181818181818182</v>
      </c>
    </row>
    <row r="254" spans="1:36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15.666666666666666</v>
      </c>
      <c r="AH254" s="86">
        <f>AVERAGEIFS($I$2:I254, $B$2:B254, B254)</f>
        <v>0.47777777777777775</v>
      </c>
      <c r="AI254" s="86">
        <f>AVERAGEIFS($J$2:J254, $B$2:B254, B254)</f>
        <v>0.52777777777777779</v>
      </c>
      <c r="AJ254" s="86">
        <f>AVERAGEIFS($D$2:D254, $B$2:B254, B254)</f>
        <v>0.33333333333333331</v>
      </c>
    </row>
    <row r="255" spans="1:36" x14ac:dyDescent="0.25">
      <c r="A255" s="85">
        <v>46140</v>
      </c>
      <c r="B255" t="s">
        <v>179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13</v>
      </c>
      <c r="AH255" s="86">
        <f>AVERAGEIFS($I$2:I255, $B$2:B255, B255)</f>
        <v>0.32500000000000001</v>
      </c>
      <c r="AI255" s="86">
        <f>AVERAGEIFS($J$2:J255, $B$2:B255, B255)</f>
        <v>0.46499999999999997</v>
      </c>
      <c r="AJ255" s="86">
        <f>AVERAGEIFS($D$2:D255, $B$2:B255, B255)</f>
        <v>0</v>
      </c>
    </row>
    <row r="256" spans="1:36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1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27.6</v>
      </c>
      <c r="AH256" s="86">
        <f>AVERAGEIFS($I$2:I256, $B$2:B256, B256)</f>
        <v>0.59499999999999997</v>
      </c>
      <c r="AI256" s="86">
        <f>AVERAGEIFS($J$2:J256, $B$2:B256, B256)</f>
        <v>0.54100000000000004</v>
      </c>
      <c r="AJ256" s="86">
        <f>AVERAGEIFS($D$2:D256, $B$2:B256, B256)</f>
        <v>0.7</v>
      </c>
    </row>
    <row r="257" spans="1:36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v>0</v>
      </c>
      <c r="AG257" s="86">
        <f>AVERAGEIFS($C$2:C257, $B$2:B257, B257)</f>
        <v>22</v>
      </c>
      <c r="AH257" s="86">
        <f>AVERAGEIFS($I$2:I257, $B$2:B257, B257)</f>
        <v>0.46875</v>
      </c>
      <c r="AI257" s="86">
        <f>AVERAGEIFS($J$2:J257, $B$2:B257, B257)</f>
        <v>0.484375</v>
      </c>
      <c r="AJ257" s="86">
        <f>AVERAGEIFS($D$2:D257, $B$2:B257, B257)</f>
        <v>0.5</v>
      </c>
    </row>
    <row r="258" spans="1:36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v>0</v>
      </c>
      <c r="AG258" s="86">
        <f>AVERAGEIFS($C$2:C258, $B$2:B258, B258)</f>
        <v>17.714285714285715</v>
      </c>
      <c r="AH258" s="86">
        <f>AVERAGEIFS($I$2:I258, $B$2:B258, B258)</f>
        <v>0.47142857142857142</v>
      </c>
      <c r="AI258" s="86">
        <f>AVERAGEIFS($J$2:J258, $B$2:B258, B258)</f>
        <v>0.44857142857142857</v>
      </c>
      <c r="AJ258" s="86">
        <f>AVERAGEIFS($D$2:D258, $B$2:B258, B258)</f>
        <v>0.5</v>
      </c>
    </row>
    <row r="259" spans="1:36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v>0</v>
      </c>
      <c r="AG259" s="86">
        <f>AVERAGEIFS($C$2:C259, $B$2:B259, B259)</f>
        <v>13</v>
      </c>
      <c r="AH259" s="86">
        <f>AVERAGEIFS($I$2:I259, $B$2:B259, B259)</f>
        <v>0.54</v>
      </c>
      <c r="AI259" s="86">
        <f>AVERAGEIFS($J$2:J259, $B$2:B259, B259)</f>
        <v>0.51800000000000002</v>
      </c>
      <c r="AJ259" s="86">
        <f>AVERAGEIFS($D$2:D259, $B$2:B259, B259)</f>
        <v>0.8</v>
      </c>
    </row>
    <row r="260" spans="1:36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v>0</v>
      </c>
      <c r="AG260" s="86">
        <f>AVERAGEIFS($C$2:C260, $B$2:B260, B260)</f>
        <v>16</v>
      </c>
      <c r="AH260" s="86">
        <f>AVERAGEIFS($I$2:I260, $B$2:B260, B260)</f>
        <v>0.46666666666666662</v>
      </c>
      <c r="AI260" s="86">
        <f>AVERAGEIFS($J$2:J260, $B$2:B260, B260)</f>
        <v>0.47666666666666674</v>
      </c>
      <c r="AJ260" s="86">
        <f>AVERAGEIFS($D$2:D260, $B$2:B260, B260)</f>
        <v>0.33333333333333331</v>
      </c>
    </row>
    <row r="261" spans="1:36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v>0</v>
      </c>
      <c r="AG261" s="86">
        <f>AVERAGEIFS($C$2:C261, $B$2:B261, B261)</f>
        <v>12.090909090909092</v>
      </c>
      <c r="AH261" s="86">
        <f>AVERAGEIFS($I$2:I261, $B$2:B261, B261)</f>
        <v>0.43636363636363634</v>
      </c>
      <c r="AI261" s="86">
        <f>AVERAGEIFS($J$2:J261, $B$2:B261, B261)</f>
        <v>0.46181818181818174</v>
      </c>
      <c r="AJ261" s="86">
        <f>AVERAGEIFS($D$2:D261, $B$2:B261, B261)</f>
        <v>0.36363636363636365</v>
      </c>
    </row>
  </sheetData>
  <autoFilter ref="A1:AJ185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95"/>
  <sheetViews>
    <sheetView topLeftCell="A151" workbookViewId="0">
      <selection activeCell="AA183" sqref="AA183:AD19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47" sqref="E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22</v>
      </c>
      <c r="E2" s="4">
        <f>AVERAGEIFS('Tourney History'!C:C,'Tourney History'!B:B,A2)</f>
        <v>22</v>
      </c>
      <c r="F2" s="35">
        <f t="array" ref="F2">MAX(IF('Tourney History'!B:B=A2, 'Tourney History'!C:C))</f>
        <v>22</v>
      </c>
      <c r="G2" s="34">
        <f>COUNTIFS('Tourney History'!B:B,A2,'Tourney History'!D:D, 1)</f>
        <v>0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2</v>
      </c>
      <c r="K2" s="2">
        <f>SUMIFS('Tourney History'!E:E,'Tourney History'!B:B,A2)-J2</f>
        <v>3</v>
      </c>
      <c r="L2" s="88">
        <f>LOOKUP(2, 1/('Tourney History'!$B:$B=A2), 'Tourney History'!$AB:$AB)</f>
        <v>0.4</v>
      </c>
      <c r="M2" s="34">
        <f>SUMIFS('Tourney History'!H:H,'Tourney History'!B:B,A2)</f>
        <v>10</v>
      </c>
      <c r="N2" s="2">
        <f>SUMIFS('Tourney History'!G:G,'Tourney History'!B:B,A2)-M2</f>
        <v>13</v>
      </c>
      <c r="O2" s="88">
        <f>LOOKUP(2, 1/('Tourney History'!$B:$B=A2), 'Tourney History'!$AC:$AC)</f>
        <v>0.43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0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34">
        <f>SUMIFS('Tourney History'!C:C,'Tourney History'!B:B,A3)</f>
        <v>126</v>
      </c>
      <c r="E3" s="4">
        <f>AVERAGEIFS('Tourney History'!C:C,'Tourney History'!B:B,A3)</f>
        <v>21</v>
      </c>
      <c r="F3" s="35">
        <f t="array" ref="F3">MAX(IF('Tourney History'!B:B=A3, 'Tourney History'!C:C))</f>
        <v>33</v>
      </c>
      <c r="G3" s="34">
        <f>COUNTIFS('Tourney History'!B:B,A3,'Tourney History'!D:D, 1)</f>
        <v>2</v>
      </c>
      <c r="H3" s="2">
        <f>COUNTIFS('Tourney History'!B:B,A3,'Tourney History'!D:D, 0)</f>
        <v>4</v>
      </c>
      <c r="I3" s="88">
        <f>LOOKUP(2, 1/('Tourney History'!$B:$B=A3), 'Tourney History'!$AD:$AD)</f>
        <v>0.33333333333333331</v>
      </c>
      <c r="J3" s="34">
        <f>SUMIFS('Tourney History'!F:F,'Tourney History'!B:B,A3)</f>
        <v>10</v>
      </c>
      <c r="K3" s="2">
        <f>SUMIFS('Tourney History'!E:E,'Tourney History'!B:B,A3)-J3</f>
        <v>15</v>
      </c>
      <c r="L3" s="88">
        <f>LOOKUP(2, 1/('Tourney History'!$B:$B=A3), 'Tourney History'!$AB:$AB)</f>
        <v>0.375</v>
      </c>
      <c r="M3" s="34">
        <f>SUMIFS('Tourney History'!H:H,'Tourney History'!B:B,A3)</f>
        <v>45</v>
      </c>
      <c r="N3" s="2">
        <f>SUMIFS('Tourney History'!G:G,'Tourney History'!B:B,A3)-M3</f>
        <v>55</v>
      </c>
      <c r="O3" s="88">
        <f>LOOKUP(2, 1/('Tourney History'!$B:$B=A3), 'Tourney History'!$AC:$AC)</f>
        <v>0.43333333333333335</v>
      </c>
      <c r="P3" s="2">
        <f>COUNTIFS('Tourney History'!$B:$B,$A$3,'Tourney History'!K:K, 1)</f>
        <v>1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1</v>
      </c>
      <c r="U3" s="2">
        <f>COUNTIFS('Tourney History'!$B:$B,$A$3,'Tourney History'!P:P, 1)</f>
        <v>2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3</v>
      </c>
      <c r="AD3" s="2">
        <f>COUNTIFS('Tourney History'!$B:$B,$A$3,'Tourney History'!Y:Y, 1)</f>
        <v>0</v>
      </c>
      <c r="AE3" s="2">
        <f>COUNTIFS('Tourney History'!$B:$B,$A$3,'Tourney History'!Z:Z, 1)</f>
        <v>2</v>
      </c>
    </row>
    <row r="4" spans="1:31" ht="15.75" x14ac:dyDescent="0.25">
      <c r="A4" s="2" t="s">
        <v>35</v>
      </c>
      <c r="B4" s="80" t="s">
        <v>175</v>
      </c>
      <c r="C4" s="2" t="s">
        <v>79</v>
      </c>
      <c r="D4" s="34">
        <f>SUMIFS('Tourney History'!C:C,'Tourney History'!B:B,A4)</f>
        <v>97</v>
      </c>
      <c r="E4" s="4">
        <f>AVERAGEIFS('Tourney History'!C:C,'Tourney History'!B:B,A4)</f>
        <v>16.166666666666668</v>
      </c>
      <c r="F4" s="35">
        <f t="array" ref="F4">MAX(IF('Tourney History'!B:B=A4, 'Tourney History'!C:C))</f>
        <v>32</v>
      </c>
      <c r="G4" s="34">
        <f>COUNTIFS('Tourney History'!B:B,A4,'Tourney History'!D:D, 1)</f>
        <v>4</v>
      </c>
      <c r="H4" s="2">
        <f>COUNTIFS('Tourney History'!B:B,A4,'Tourney History'!D:D, 0)</f>
        <v>2</v>
      </c>
      <c r="I4" s="88">
        <f>LOOKUP(2, 1/('Tourney History'!$B:$B=A4), 'Tourney History'!$AD:$AD)</f>
        <v>0.66666666666666663</v>
      </c>
      <c r="J4" s="34">
        <f>SUMIFS('Tourney History'!F:F,'Tourney History'!B:B,A4)</f>
        <v>13</v>
      </c>
      <c r="K4" s="2">
        <f>SUMIFS('Tourney History'!E:E,'Tourney History'!B:B,A4)-J4</f>
        <v>12</v>
      </c>
      <c r="L4" s="88">
        <f>LOOKUP(2, 1/('Tourney History'!$B:$B=A4), 'Tourney History'!$AB:$AB)</f>
        <v>0.4916666666666667</v>
      </c>
      <c r="M4" s="34">
        <f>SUMIFS('Tourney History'!H:H,'Tourney History'!B:B,A4)</f>
        <v>54</v>
      </c>
      <c r="N4" s="2">
        <f>SUMIFS('Tourney History'!G:G,'Tourney History'!B:B,A4)-M4</f>
        <v>46</v>
      </c>
      <c r="O4" s="88">
        <f>LOOKUP(2, 1/('Tourney History'!$B:$B=A4), 'Tourney History'!$AC:$AC)</f>
        <v>0.52999999999999992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3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2</v>
      </c>
      <c r="AC4" s="2">
        <f>COUNTIFS('Tourney History'!$B:$B,$A$4,'Tourney History'!X:X, 1)</f>
        <v>0</v>
      </c>
      <c r="AD4" s="2">
        <f>COUNTIFS('Tourney History'!$B:$B,$A$4,'Tourney History'!Y:Y, 1)</f>
        <v>0</v>
      </c>
      <c r="AE4" s="2">
        <f>COUNTIFS('Tourney History'!$B:$B,$A$4,'Tourney History'!Z:Z, 1)</f>
        <v>1</v>
      </c>
    </row>
    <row r="5" spans="1:31" ht="15.75" x14ac:dyDescent="0.25">
      <c r="A5" s="2" t="s">
        <v>19</v>
      </c>
      <c r="B5" s="95" t="s">
        <v>79</v>
      </c>
      <c r="C5" s="2" t="s">
        <v>79</v>
      </c>
      <c r="D5" s="34">
        <f>SUMIFS('Tourney History'!C:C,'Tourney History'!B:B,A5)</f>
        <v>135</v>
      </c>
      <c r="E5" s="4">
        <f>AVERAGEIFS('Tourney History'!C:C,'Tourney History'!B:B,A5)</f>
        <v>15</v>
      </c>
      <c r="F5" s="35">
        <f t="array" ref="F5">MAX(IF('Tourney History'!B:B=A5, 'Tourney History'!C:C))</f>
        <v>26</v>
      </c>
      <c r="G5" s="34">
        <f>COUNTIFS('Tourney History'!B:B,A5,'Tourney History'!D:D, 1)</f>
        <v>3</v>
      </c>
      <c r="H5" s="2">
        <f>COUNTIFS('Tourney History'!B:B,A5,'Tourney History'!D:D, 0)</f>
        <v>6</v>
      </c>
      <c r="I5" s="88">
        <f>LOOKUP(2, 1/('Tourney History'!$B:$B=A5), 'Tourney History'!$AD:$AD)</f>
        <v>0.33333333333333331</v>
      </c>
      <c r="J5" s="34">
        <f>SUMIFS('Tourney History'!F:F,'Tourney History'!B:B,A5)</f>
        <v>17</v>
      </c>
      <c r="K5" s="2">
        <f>SUMIFS('Tourney History'!E:E,'Tourney History'!B:B,A5)-J5</f>
        <v>21</v>
      </c>
      <c r="L5" s="88">
        <f>LOOKUP(2, 1/('Tourney History'!$B:$B=A5), 'Tourney History'!$AB:$AB)</f>
        <v>0.44999999999999996</v>
      </c>
      <c r="M5" s="34">
        <f>SUMIFS('Tourney History'!H:H,'Tourney History'!B:B,A5)</f>
        <v>73</v>
      </c>
      <c r="N5" s="2">
        <f>SUMIFS('Tourney History'!G:G,'Tourney History'!B:B,A5)-M5</f>
        <v>82</v>
      </c>
      <c r="O5" s="88">
        <f>LOOKUP(2, 1/('Tourney History'!$B:$B=A5), 'Tourney History'!$AC:$AC)</f>
        <v>0.46555555555555561</v>
      </c>
      <c r="P5" s="2">
        <f>COUNTIFS('Tourney History'!$B:$B,$A$5,'Tourney History'!K:K, 1)</f>
        <v>1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1</v>
      </c>
      <c r="U5" s="2">
        <f>COUNTIFS('Tourney History'!$B:$B,$A$5,'Tourney History'!P:P, 1)</f>
        <v>3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4</v>
      </c>
      <c r="AD5" s="2">
        <f>COUNTIFS('Tourney History'!$B:$B,$A$5,'Tourney History'!Y:Y, 1)</f>
        <v>1</v>
      </c>
      <c r="AE5" s="2">
        <f>COUNTIFS('Tourney History'!$B:$B,$A$5,'Tourney History'!Z:Z, 1)</f>
        <v>3</v>
      </c>
    </row>
    <row r="6" spans="1:31" x14ac:dyDescent="0.25">
      <c r="A6" s="1" t="s">
        <v>42</v>
      </c>
      <c r="B6" s="6" t="s">
        <v>60</v>
      </c>
      <c r="C6" s="2" t="s">
        <v>79</v>
      </c>
      <c r="D6" s="34">
        <f>SUMIFS('Tourney History'!C:C,'Tourney History'!B:B,A6)</f>
        <v>18</v>
      </c>
      <c r="E6" s="4">
        <f>AVERAGEIFS('Tourney History'!C:C,'Tourney History'!B:B,A6)</f>
        <v>9</v>
      </c>
      <c r="F6" s="35">
        <f t="array" ref="F6">MAX(IF('Tourney History'!B:B=A6, 'Tourney History'!C:C))</f>
        <v>12</v>
      </c>
      <c r="G6" s="34">
        <f>COUNTIFS('Tourney History'!B:B,A6,'Tourney History'!D:D, 1)</f>
        <v>2</v>
      </c>
      <c r="H6" s="2">
        <f>COUNTIFS('Tourney History'!B:B,A6,'Tourney History'!D:D, 0)</f>
        <v>0</v>
      </c>
      <c r="I6" s="88">
        <f>LOOKUP(2, 1/('Tourney History'!$B:$B=A6), 'Tourney History'!$AD:$AD)</f>
        <v>1</v>
      </c>
      <c r="J6" s="34">
        <f>SUMIFS('Tourney History'!F:F,'Tourney History'!B:B,A6)</f>
        <v>6</v>
      </c>
      <c r="K6" s="2">
        <f>SUMIFS('Tourney History'!E:E,'Tourney History'!B:B,A6)-J6</f>
        <v>2</v>
      </c>
      <c r="L6" s="88">
        <f>LOOKUP(2, 1/('Tourney History'!$B:$B=A6), 'Tourney History'!$AB:$AB)</f>
        <v>0.8</v>
      </c>
      <c r="M6" s="34">
        <f>SUMIFS('Tourney History'!H:H,'Tourney History'!B:B,A6)</f>
        <v>20</v>
      </c>
      <c r="N6" s="2">
        <f>SUMIFS('Tourney History'!G:G,'Tourney History'!B:B,A6)-M6</f>
        <v>12</v>
      </c>
      <c r="O6" s="88">
        <f>LOOKUP(2, 1/('Tourney History'!$B:$B=A6), 'Tourney History'!$AC:$AC)</f>
        <v>0.66999999999999993</v>
      </c>
      <c r="P6" s="2">
        <f>COUNTIFS('Tourney History'!$B:$B,$A$6,'Tourney History'!K:K, 1)</f>
        <v>0</v>
      </c>
      <c r="Q6" s="2">
        <f>COUNTIFS('Tourney History'!$B:$B,$A$6,'Tourney History'!L:L, 1)</f>
        <v>2</v>
      </c>
      <c r="R6" s="2">
        <f>COUNTIFS('Tourney History'!$B:$B,$A$6,'Tourney History'!M:M, 1)</f>
        <v>1</v>
      </c>
      <c r="S6" s="2">
        <f>COUNTIFS('Tourney History'!$B:$B,$A$6,'Tourney History'!N:N, 1)</f>
        <v>0</v>
      </c>
      <c r="T6" s="2">
        <f>COUNTIFS('Tourney History'!$B:$B,$A$6,'Tourney History'!O:O, 1)</f>
        <v>1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1</v>
      </c>
      <c r="AC6" s="2">
        <f>COUNTIFS('Tourney History'!$B:$B,$A$6,'Tourney History'!X:X, 1)</f>
        <v>0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x14ac:dyDescent="0.25">
      <c r="A7" s="1" t="s">
        <v>25</v>
      </c>
      <c r="B7" s="6" t="s">
        <v>79</v>
      </c>
      <c r="C7" s="2" t="s">
        <v>79</v>
      </c>
      <c r="D7" s="34">
        <f>SUMIFS('Tourney History'!C:C,'Tourney History'!B:B,A7)</f>
        <v>126</v>
      </c>
      <c r="E7" s="4">
        <f>AVERAGEIFS('Tourney History'!C:C,'Tourney History'!B:B,A7)</f>
        <v>25.2</v>
      </c>
      <c r="F7" s="35">
        <f t="array" ref="F7">MAX(IF('Tourney History'!B:B=A7, 'Tourney History'!C:C))</f>
        <v>35</v>
      </c>
      <c r="G7" s="34">
        <f>COUNTIFS('Tourney History'!B:B,A7,'Tourney History'!D:D, 1)</f>
        <v>1</v>
      </c>
      <c r="H7" s="2">
        <f>COUNTIFS('Tourney History'!B:B,A7,'Tourney History'!D:D, 0)</f>
        <v>4</v>
      </c>
      <c r="I7" s="88">
        <f>LOOKUP(2, 1/('Tourney History'!$B:$B=A7), 'Tourney History'!$AD:$AD)</f>
        <v>0.2</v>
      </c>
      <c r="J7" s="34">
        <f>SUMIFS('Tourney History'!F:F,'Tourney History'!B:B,A7)</f>
        <v>10</v>
      </c>
      <c r="K7" s="2">
        <f>SUMIFS('Tourney History'!E:E,'Tourney History'!B:B,A7)-J7</f>
        <v>14</v>
      </c>
      <c r="L7" s="88">
        <f>LOOKUP(2, 1/('Tourney History'!$B:$B=A7), 'Tourney History'!$AB:$AB)</f>
        <v>0.41</v>
      </c>
      <c r="M7" s="34">
        <f>SUMIFS('Tourney History'!H:H,'Tourney History'!B:B,A7)</f>
        <v>49</v>
      </c>
      <c r="N7" s="2">
        <f>SUMIFS('Tourney History'!G:G,'Tourney History'!B:B,A7)-M7</f>
        <v>55</v>
      </c>
      <c r="O7" s="88">
        <f>LOOKUP(2, 1/('Tourney History'!$B:$B=A7), 'Tourney History'!$AC:$AC)</f>
        <v>0.47000000000000003</v>
      </c>
      <c r="P7" s="2">
        <f>COUNTIFS('Tourney History'!$B:$B,$A$7,'Tourney History'!K:K, 1)</f>
        <v>1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1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2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146</v>
      </c>
      <c r="B8" s="6" t="s">
        <v>79</v>
      </c>
      <c r="C8" s="2" t="s">
        <v>79</v>
      </c>
      <c r="D8" s="34">
        <f>SUMIFS('Tourney History'!C:C,'Tourney History'!B:B,A8)</f>
        <v>48</v>
      </c>
      <c r="E8" s="4">
        <f>AVERAGEIFS('Tourney History'!C:C,'Tourney History'!B:B,A8)</f>
        <v>24</v>
      </c>
      <c r="F8" s="35">
        <f t="array" ref="F8">MAX(IF('Tourney History'!B:B=A8, 'Tourney History'!C:C))</f>
        <v>27</v>
      </c>
      <c r="G8" s="34">
        <f>COUNTIFS('Tourney History'!B:B,A8,'Tourney History'!D:D, 1)</f>
        <v>0</v>
      </c>
      <c r="H8" s="2">
        <f>COUNTIFS('Tourney History'!B:B,A8,'Tourney History'!D:D, 0)</f>
        <v>2</v>
      </c>
      <c r="I8" s="88">
        <f>LOOKUP(2, 1/('Tourney History'!$B:$B=A8), 'Tourney History'!$AD:$AD)</f>
        <v>0</v>
      </c>
      <c r="J8" s="34">
        <f>SUMIFS('Tourney History'!F:F,'Tourney History'!B:B,A8)</f>
        <v>4</v>
      </c>
      <c r="K8" s="2">
        <f>SUMIFS('Tourney History'!E:E,'Tourney History'!B:B,A8)-J8</f>
        <v>6</v>
      </c>
      <c r="L8" s="88">
        <f>LOOKUP(2, 1/('Tourney History'!$B:$B=A8), 'Tourney History'!$AB:$AB)</f>
        <v>0.4</v>
      </c>
      <c r="M8" s="34">
        <f>SUMIFS('Tourney History'!H:H,'Tourney History'!B:B,A8)</f>
        <v>18</v>
      </c>
      <c r="N8" s="2">
        <f>SUMIFS('Tourney History'!G:G,'Tourney History'!B:B,A8)-M8</f>
        <v>25</v>
      </c>
      <c r="O8" s="88">
        <f>LOOKUP(2, 1/('Tourney History'!$B:$B=A8), 'Tourney History'!$AC:$AC)</f>
        <v>0.41500000000000004</v>
      </c>
      <c r="P8" s="2">
        <f>COUNTIFS('Tourney History'!$B:$B,$A$8,'Tourney History'!K:K, 1)</f>
        <v>0</v>
      </c>
      <c r="Q8" s="2">
        <f>COUNTIFS('Tourney History'!$B:$B,$A$8,'Tourney History'!L:L, 1)</f>
        <v>1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0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1</v>
      </c>
      <c r="AD8" s="2">
        <f>COUNTIFS('Tourney History'!$B:$B,$A$8,'Tourney History'!Y:Y, 1)</f>
        <v>1</v>
      </c>
      <c r="AE8" s="2">
        <f>COUNTIFS('Tourney History'!$B:$B,$A$8,'Tourney History'!Z:Z, 1)</f>
        <v>0</v>
      </c>
    </row>
    <row r="9" spans="1:31" x14ac:dyDescent="0.25">
      <c r="A9" s="1" t="s">
        <v>27</v>
      </c>
      <c r="B9" s="6" t="s">
        <v>76</v>
      </c>
      <c r="C9" s="6" t="s">
        <v>79</v>
      </c>
      <c r="D9" s="34">
        <f>SUMIFS('Tourney History'!C:C,'Tourney History'!B:B,A9)</f>
        <v>156</v>
      </c>
      <c r="E9" s="4">
        <f>AVERAGEIFS('Tourney History'!C:C,'Tourney History'!B:B,A9)</f>
        <v>19.5</v>
      </c>
      <c r="F9" s="35">
        <f t="array" ref="F9">MAX(IF('Tourney History'!B:B=A9, 'Tourney History'!C:C))</f>
        <v>44</v>
      </c>
      <c r="G9" s="34">
        <f>COUNTIFS('Tourney History'!B:B,A9,'Tourney History'!D:D, 1)</f>
        <v>4</v>
      </c>
      <c r="H9" s="2">
        <f>COUNTIFS('Tourney History'!B:B,A9,'Tourney History'!D:D, 0)</f>
        <v>4</v>
      </c>
      <c r="I9" s="88">
        <f>LOOKUP(2, 1/('Tourney History'!$B:$B=A9), 'Tourney History'!$AD:$AD)</f>
        <v>0.5</v>
      </c>
      <c r="J9" s="34">
        <f>SUMIFS('Tourney History'!F:F,'Tourney History'!B:B,A9)</f>
        <v>17</v>
      </c>
      <c r="K9" s="2">
        <f>SUMIFS('Tourney History'!E:E,'Tourney History'!B:B,A9)-J9</f>
        <v>19</v>
      </c>
      <c r="L9" s="88">
        <f>LOOKUP(2, 1/('Tourney History'!$B:$B=A9), 'Tourney History'!$AB:$AB)</f>
        <v>0.45</v>
      </c>
      <c r="M9" s="34">
        <f>SUMIFS('Tourney History'!H:H,'Tourney History'!B:B,A9)</f>
        <v>72</v>
      </c>
      <c r="N9" s="2">
        <f>SUMIFS('Tourney History'!G:G,'Tourney History'!B:B,A9)-M9</f>
        <v>77</v>
      </c>
      <c r="O9" s="88">
        <f>LOOKUP(2, 1/('Tourney History'!$B:$B=A9), 'Tourney History'!$AC:$AC)</f>
        <v>0.46375</v>
      </c>
      <c r="P9" s="2">
        <f>COUNTIFS('Tourney History'!$B:$B,$A$9,'Tourney History'!K:K, 1)</f>
        <v>0</v>
      </c>
      <c r="Q9" s="2">
        <f>COUNTIFS('Tourney History'!$B:$B,$A$9,'Tourney History'!L:L, 1)</f>
        <v>0</v>
      </c>
      <c r="R9" s="2">
        <f>COUNTIFS('Tourney History'!$B:$B,$A$9,'Tourney History'!M:M, 1)</f>
        <v>1</v>
      </c>
      <c r="S9" s="2">
        <f>COUNTIFS('Tourney History'!$B:$B,$A$9,'Tourney History'!N:N, 1)</f>
        <v>0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1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1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26</v>
      </c>
      <c r="B10" s="6" t="s">
        <v>124</v>
      </c>
      <c r="C10" s="6" t="s">
        <v>79</v>
      </c>
      <c r="D10" s="34">
        <f>SUMIFS('Tourney History'!C:C,'Tourney History'!B:B,A10)</f>
        <v>149</v>
      </c>
      <c r="E10" s="4">
        <f>AVERAGEIFS('Tourney History'!C:C,'Tourney History'!B:B,A10)</f>
        <v>18.625</v>
      </c>
      <c r="F10" s="35">
        <f t="array" ref="F10">MAX(IF('Tourney History'!B:B=A10, 'Tourney History'!C:C))</f>
        <v>41</v>
      </c>
      <c r="G10" s="34">
        <f>COUNTIFS('Tourney History'!B:B,A10,'Tourney History'!D:D, 1)</f>
        <v>5</v>
      </c>
      <c r="H10" s="2">
        <f>COUNTIFS('Tourney History'!B:B,A10,'Tourney History'!D:D, 0)</f>
        <v>3</v>
      </c>
      <c r="I10" s="88">
        <f>LOOKUP(2, 1/('Tourney History'!$B:$B=A10), 'Tourney History'!$AD:$AD)</f>
        <v>0.625</v>
      </c>
      <c r="J10" s="34">
        <f>SUMIFS('Tourney History'!F:F,'Tourney History'!B:B,A10)</f>
        <v>19</v>
      </c>
      <c r="K10" s="2">
        <f>SUMIFS('Tourney History'!E:E,'Tourney History'!B:B,A10)-J10</f>
        <v>16</v>
      </c>
      <c r="L10" s="88">
        <f>LOOKUP(2, 1/('Tourney History'!$B:$B=A10), 'Tourney History'!$AB:$AB)</f>
        <v>0.55625000000000013</v>
      </c>
      <c r="M10" s="34">
        <f>SUMIFS('Tourney History'!H:H,'Tourney History'!B:B,A10)</f>
        <v>74</v>
      </c>
      <c r="N10" s="2">
        <f>SUMIFS('Tourney History'!G:G,'Tourney History'!B:B,A10)-M10</f>
        <v>70</v>
      </c>
      <c r="O10" s="88">
        <f>LOOKUP(2, 1/('Tourney History'!$B:$B=A10), 'Tourney History'!$AC:$AC)</f>
        <v>0.52500000000000002</v>
      </c>
      <c r="P10" s="2">
        <f>COUNTIFS('Tourney History'!$B:$B,$A$10,'Tourney History'!K:K, 1)</f>
        <v>0</v>
      </c>
      <c r="Q10" s="2">
        <f>COUNTIFS('Tourney History'!$B:$B,$A$10,'Tourney History'!L:L, 1)</f>
        <v>2</v>
      </c>
      <c r="R10" s="2">
        <f>COUNTIFS('Tourney History'!$B:$B,$A$10,'Tourney History'!M:M, 1)</f>
        <v>1</v>
      </c>
      <c r="S10" s="2">
        <f>COUNTIFS('Tourney History'!$B:$B,$A$10,'Tourney History'!N:N, 1)</f>
        <v>2</v>
      </c>
      <c r="T10" s="2">
        <f>COUNTIFS('Tourney History'!$B:$B,$A$10,'Tourney History'!O:O, 1)</f>
        <v>3</v>
      </c>
      <c r="U10" s="2">
        <f>COUNTIFS('Tourney History'!$B:$B,$A$10,'Tourney History'!P:P, 1)</f>
        <v>4</v>
      </c>
      <c r="V10" s="2">
        <f>COUNTIFS('Tourney History'!$B:$B,$A$10,'Tourney History'!Q:Q, 1)</f>
        <v>2</v>
      </c>
      <c r="W10" s="2">
        <f>COUNTIFS('Tourney History'!$B:$B,$A$10,'Tourney History'!R:R, 1)</f>
        <v>1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0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45</v>
      </c>
      <c r="B11" s="80" t="s">
        <v>60</v>
      </c>
      <c r="C11" s="2" t="s">
        <v>79</v>
      </c>
      <c r="D11" s="34">
        <f>SUMIFS('Tourney History'!C:C,'Tourney History'!B:B,A11)</f>
        <v>71</v>
      </c>
      <c r="E11" s="4">
        <f>AVERAGEIFS('Tourney History'!C:C,'Tourney History'!B:B,A11)</f>
        <v>14.2</v>
      </c>
      <c r="F11" s="35">
        <f t="array" ref="F11">MAX(IF('Tourney History'!B:B=A11, 'Tourney History'!C:C))</f>
        <v>17</v>
      </c>
      <c r="G11" s="34">
        <f>COUNTIFS('Tourney History'!B:B,A11,'Tourney History'!D:D, 1)</f>
        <v>2</v>
      </c>
      <c r="H11" s="2">
        <f>COUNTIFS('Tourney History'!B:B,A11,'Tourney History'!D:D, 0)</f>
        <v>3</v>
      </c>
      <c r="I11" s="88">
        <f>LOOKUP(2, 1/('Tourney History'!$B:$B=A11), 'Tourney History'!$AD:$AD)</f>
        <v>0.4</v>
      </c>
      <c r="J11" s="34">
        <f>SUMIFS('Tourney History'!F:F,'Tourney History'!B:B,A11)</f>
        <v>9</v>
      </c>
      <c r="K11" s="2">
        <f>SUMIFS('Tourney History'!E:E,'Tourney History'!B:B,A11)-J11</f>
        <v>11</v>
      </c>
      <c r="L11" s="88">
        <f>LOOKUP(2, 1/('Tourney History'!$B:$B=A11), 'Tourney History'!$AB:$AB)</f>
        <v>0.43</v>
      </c>
      <c r="M11" s="34">
        <f>SUMIFS('Tourney History'!H:H,'Tourney History'!B:B,A11)</f>
        <v>39</v>
      </c>
      <c r="N11" s="2">
        <f>SUMIFS('Tourney History'!G:G,'Tourney History'!B:B,A11)-M11</f>
        <v>41</v>
      </c>
      <c r="O11" s="88">
        <f>LOOKUP(2, 1/('Tourney History'!$B:$B=A11), 'Tourney History'!$AC:$AC)</f>
        <v>0.48599999999999993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0</v>
      </c>
      <c r="S11" s="2">
        <f>COUNTIFS('Tourney History'!$B:$B,$A$11,'Tourney History'!N:N, 1)</f>
        <v>2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50</v>
      </c>
      <c r="B12" s="95" t="s">
        <v>79</v>
      </c>
      <c r="C12" s="2" t="s">
        <v>79</v>
      </c>
      <c r="D12" s="34">
        <f>SUMIFS('Tourney History'!C:C,'Tourney History'!B:B,A12)</f>
        <v>14</v>
      </c>
      <c r="E12" s="4">
        <f>AVERAGEIFS('Tourney History'!C:C,'Tourney History'!B:B,A12)</f>
        <v>14</v>
      </c>
      <c r="F12" s="35">
        <f t="array" ref="F12">MAX(IF('Tourney History'!B:B=A12, 'Tourney History'!C:C))</f>
        <v>14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1</v>
      </c>
      <c r="K12" s="2">
        <f>SUMIFS('Tourney History'!E:E,'Tourney History'!B:B,A12)-J12</f>
        <v>3</v>
      </c>
      <c r="L12" s="88">
        <f>LOOKUP(2, 1/('Tourney History'!$B:$B=A12), 'Tourney History'!$AB:$AB)</f>
        <v>0.25</v>
      </c>
      <c r="M12" s="34">
        <f>SUMIFS('Tourney History'!H:H,'Tourney History'!B:B,A12)</f>
        <v>8</v>
      </c>
      <c r="N12" s="2">
        <f>SUMIFS('Tourney History'!G:G,'Tourney History'!B:B,A12)-M12</f>
        <v>11</v>
      </c>
      <c r="O12" s="88">
        <f>LOOKUP(2, 1/('Tourney History'!$B:$B=A12), 'Tourney History'!$AC:$AC)</f>
        <v>0.42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1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52</v>
      </c>
      <c r="B13" s="2" t="s">
        <v>79</v>
      </c>
      <c r="C13" s="2" t="s">
        <v>79</v>
      </c>
      <c r="D13" s="34">
        <f>SUMIFS('Tourney History'!C:C,'Tourney History'!B:B,A13)</f>
        <v>5</v>
      </c>
      <c r="E13" s="4">
        <f>AVERAGEIFS('Tourney History'!C:C,'Tourney History'!B:B,A13)</f>
        <v>5</v>
      </c>
      <c r="F13" s="35">
        <f t="array" ref="F13">MAX(IF('Tourney History'!B:B=A13, 'Tourney History'!C:C))</f>
        <v>5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0</v>
      </c>
      <c r="K13" s="2">
        <f>SUMIFS('Tourney History'!E:E,'Tourney History'!B:B,A13)-J13</f>
        <v>3</v>
      </c>
      <c r="L13" s="88">
        <f>LOOKUP(2, 1/('Tourney History'!$B:$B=A13), 'Tourney History'!$AB:$AB)</f>
        <v>0</v>
      </c>
      <c r="M13" s="34">
        <f>SUMIFS('Tourney History'!H:H,'Tourney History'!B:B,A13)</f>
        <v>4</v>
      </c>
      <c r="N13" s="2">
        <f>SUMIFS('Tourney History'!G:G,'Tourney History'!B:B,A13)-M13</f>
        <v>9</v>
      </c>
      <c r="O13" s="88">
        <f>LOOKUP(2, 1/('Tourney History'!$B:$B=A13), 'Tourney History'!$AC:$AC)</f>
        <v>0.31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0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29</v>
      </c>
      <c r="B14" s="6" t="s">
        <v>174</v>
      </c>
      <c r="C14" s="2" t="s">
        <v>79</v>
      </c>
      <c r="D14" s="34">
        <f>SUMIFS('Tourney History'!C:C,'Tourney History'!B:B,A14)</f>
        <v>117</v>
      </c>
      <c r="E14" s="4">
        <f>AVERAGEIFS('Tourney History'!C:C,'Tourney History'!B:B,A14)</f>
        <v>13</v>
      </c>
      <c r="F14" s="35">
        <f t="array" ref="F14">MAX(IF('Tourney History'!B:B=A14, 'Tourney History'!C:C))</f>
        <v>21</v>
      </c>
      <c r="G14" s="34">
        <f>COUNTIFS('Tourney History'!B:B,A14,'Tourney History'!D:D, 1)</f>
        <v>8</v>
      </c>
      <c r="H14" s="2">
        <f>COUNTIFS('Tourney History'!B:B,A14,'Tourney History'!D:D, 0)</f>
        <v>1</v>
      </c>
      <c r="I14" s="88">
        <f>LOOKUP(2, 1/('Tourney History'!$B:$B=A14), 'Tourney History'!$AD:$AD)</f>
        <v>0.88888888888888884</v>
      </c>
      <c r="J14" s="34">
        <f>SUMIFS('Tourney History'!F:F,'Tourney History'!B:B,A14)</f>
        <v>25</v>
      </c>
      <c r="K14" s="2">
        <f>SUMIFS('Tourney History'!E:E,'Tourney History'!B:B,A14)-J14</f>
        <v>14</v>
      </c>
      <c r="L14" s="88">
        <f>LOOKUP(2, 1/('Tourney History'!$B:$B=A14), 'Tourney History'!$AB:$AB)</f>
        <v>0.65555555555555545</v>
      </c>
      <c r="M14" s="34">
        <f>SUMIFS('Tourney History'!H:H,'Tourney History'!B:B,A14)</f>
        <v>94</v>
      </c>
      <c r="N14" s="2">
        <f>SUMIFS('Tourney History'!G:G,'Tourney History'!B:B,A14)-M14</f>
        <v>68</v>
      </c>
      <c r="O14" s="88">
        <f>LOOKUP(2, 1/('Tourney History'!$B:$B=A14), 'Tourney History'!$AC:$AC)</f>
        <v>0.59222222222222221</v>
      </c>
      <c r="P14" s="2">
        <f>COUNTIFS('Tourney History'!$B:$B,$A$14,'Tourney History'!K:K, 1)</f>
        <v>1</v>
      </c>
      <c r="Q14" s="2">
        <f>COUNTIFS('Tourney History'!$B:$B,$A$14,'Tourney History'!L:L, 1)</f>
        <v>4</v>
      </c>
      <c r="R14" s="2">
        <f>COUNTIFS('Tourney History'!$B:$B,$A$14,'Tourney History'!M:M, 1)</f>
        <v>2</v>
      </c>
      <c r="S14" s="2">
        <f>COUNTIFS('Tourney History'!$B:$B,$A$14,'Tourney History'!N:N, 1)</f>
        <v>3</v>
      </c>
      <c r="T14" s="2">
        <f>COUNTIFS('Tourney History'!$B:$B,$A$14,'Tourney History'!O:O, 1)</f>
        <v>4</v>
      </c>
      <c r="U14" s="2">
        <f>COUNTIFS('Tourney History'!$B:$B,$A$14,'Tourney History'!P:P, 1)</f>
        <v>2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4</v>
      </c>
      <c r="AC14" s="2">
        <f>COUNTIFS('Tourney History'!$B:$B,$A$14,'Tourney History'!X:X, 1)</f>
        <v>2</v>
      </c>
      <c r="AD14" s="2">
        <f>COUNTIFS('Tourney History'!$B:$B,$A$14,'Tourney History'!Y:Y, 1)</f>
        <v>0</v>
      </c>
      <c r="AE14" s="2">
        <f>COUNTIFS('Tourney History'!$B:$B,$A$14,'Tourney History'!Z:Z, 1)</f>
        <v>3</v>
      </c>
    </row>
    <row r="15" spans="1:31" x14ac:dyDescent="0.25">
      <c r="A15" s="2" t="s">
        <v>1</v>
      </c>
      <c r="B15" s="6" t="s">
        <v>156</v>
      </c>
      <c r="C15" s="2" t="s">
        <v>79</v>
      </c>
      <c r="D15" s="34">
        <f>SUMIFS('Tourney History'!C:C,'Tourney History'!B:B,A15)</f>
        <v>160</v>
      </c>
      <c r="E15" s="4">
        <f>AVERAGEIFS('Tourney History'!C:C,'Tourney History'!B:B,A15)</f>
        <v>26.666666666666668</v>
      </c>
      <c r="F15" s="35">
        <f t="array" ref="F15">MAX(IF('Tourney History'!B:B=A15, 'Tourney History'!C:C))</f>
        <v>33</v>
      </c>
      <c r="G15" s="34">
        <f>COUNTIFS('Tourney History'!B:B,A15,'Tourney History'!D:D, 1)</f>
        <v>5</v>
      </c>
      <c r="H15" s="2">
        <f>COUNTIFS('Tourney History'!B:B,A15,'Tourney History'!D:D, 0)</f>
        <v>1</v>
      </c>
      <c r="I15" s="88">
        <f>LOOKUP(2, 1/('Tourney History'!$B:$B=A15), 'Tourney History'!$AD:$AD)</f>
        <v>0.83333333333333337</v>
      </c>
      <c r="J15" s="34">
        <f>SUMIFS('Tourney History'!F:F,'Tourney History'!B:B,A15)</f>
        <v>17</v>
      </c>
      <c r="K15" s="2">
        <f>SUMIFS('Tourney History'!E:E,'Tourney History'!B:B,A15)-J15</f>
        <v>9</v>
      </c>
      <c r="L15" s="88">
        <f>LOOKUP(2, 1/('Tourney History'!$B:$B=A15), 'Tourney History'!$AB:$AB)</f>
        <v>0.68333333333333324</v>
      </c>
      <c r="M15" s="34">
        <f>SUMIFS('Tourney History'!H:H,'Tourney History'!B:B,A15)</f>
        <v>63</v>
      </c>
      <c r="N15" s="2">
        <f>SUMIFS('Tourney History'!G:G,'Tourney History'!B:B,A15)-M15</f>
        <v>51</v>
      </c>
      <c r="O15" s="88">
        <f>LOOKUP(2, 1/('Tourney History'!$B:$B=A15), 'Tourney History'!$AC:$AC)</f>
        <v>0.57500000000000007</v>
      </c>
      <c r="P15" s="2">
        <f>COUNTIFS('Tourney History'!$B:$B,$A$15,'Tourney History'!K:K, 1)</f>
        <v>0</v>
      </c>
      <c r="Q15" s="2">
        <f>COUNTIFS('Tourney History'!$B:$B,$A$15,'Tourney History'!L:L, 1)</f>
        <v>3</v>
      </c>
      <c r="R15" s="2">
        <f>COUNTIFS('Tourney History'!$B:$B,$A$15,'Tourney History'!M:M, 1)</f>
        <v>3</v>
      </c>
      <c r="S15" s="2">
        <f>COUNTIFS('Tourney History'!$B:$B,$A$15,'Tourney History'!N:N, 1)</f>
        <v>0</v>
      </c>
      <c r="T15" s="2">
        <f>COUNTIFS('Tourney History'!$B:$B,$A$15,'Tourney History'!O:O, 1)</f>
        <v>2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2</v>
      </c>
      <c r="AC15" s="2">
        <f>COUNTIFS('Tourney History'!$B:$B,$A$15,'Tourney History'!X:X, 1)</f>
        <v>2</v>
      </c>
      <c r="AD15" s="2">
        <f>COUNTIFS('Tourney History'!$B:$B,$A$15,'Tourney History'!Y:Y, 1)</f>
        <v>2</v>
      </c>
      <c r="AE15" s="2">
        <f>COUNTIFS('Tourney History'!$B:$B,$A$15,'Tourney History'!Z:Z, 1)</f>
        <v>3</v>
      </c>
    </row>
    <row r="16" spans="1:31" x14ac:dyDescent="0.25">
      <c r="A16" s="2" t="s">
        <v>46</v>
      </c>
      <c r="B16" s="6" t="s">
        <v>158</v>
      </c>
      <c r="C16" s="2" t="s">
        <v>79</v>
      </c>
      <c r="D16" s="34">
        <f>SUMIFS('Tourney History'!C:C,'Tourney History'!B:B,A16)</f>
        <v>106</v>
      </c>
      <c r="E16" s="4">
        <f>AVERAGEIFS('Tourney History'!C:C,'Tourney History'!B:B,A16)</f>
        <v>21.2</v>
      </c>
      <c r="F16" s="35">
        <f t="array" ref="F16">MAX(IF('Tourney History'!B:B=A16, 'Tourney History'!C:C))</f>
        <v>36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8</v>
      </c>
      <c r="K16" s="2">
        <f>SUMIFS('Tourney History'!E:E,'Tourney History'!B:B,A16)-J16</f>
        <v>11</v>
      </c>
      <c r="L16" s="88">
        <f>LOOKUP(2, 1/('Tourney History'!$B:$B=A16), 'Tourney History'!$AB:$AB)</f>
        <v>0.4</v>
      </c>
      <c r="M16" s="34">
        <f>SUMIFS('Tourney History'!H:H,'Tourney History'!B:B,A16)</f>
        <v>35</v>
      </c>
      <c r="N16" s="2">
        <f>SUMIFS('Tourney History'!G:G,'Tourney History'!B:B,A16)-M16</f>
        <v>45</v>
      </c>
      <c r="O16" s="88">
        <f>LOOKUP(2, 1/('Tourney History'!$B:$B=A16), 'Tourney History'!$AC:$AC)</f>
        <v>0.42800000000000005</v>
      </c>
      <c r="P16" s="2">
        <f>COUNTIFS('Tourney History'!$B:$B,$A$16,'Tourney History'!K:K, 1)</f>
        <v>0</v>
      </c>
      <c r="Q16" s="2">
        <f>COUNTIFS('Tourney History'!$B:$B,$A$16,'Tourney History'!L:L, 1)</f>
        <v>1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0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28</v>
      </c>
      <c r="B17" s="6" t="s">
        <v>60</v>
      </c>
      <c r="C17" s="2" t="s">
        <v>79</v>
      </c>
      <c r="D17" s="34">
        <f>SUMIFS('Tourney History'!C:C,'Tourney History'!B:B,A17)</f>
        <v>166</v>
      </c>
      <c r="E17" s="4">
        <f>AVERAGEIFS('Tourney History'!C:C,'Tourney History'!B:B,A17)</f>
        <v>23.714285714285715</v>
      </c>
      <c r="F17" s="35">
        <f t="array" ref="F17">MAX(IF('Tourney History'!B:B=A17, 'Tourney History'!C:C))</f>
        <v>43</v>
      </c>
      <c r="G17" s="34">
        <f>COUNTIFS('Tourney History'!B:B,A17,'Tourney History'!D:D, 1)</f>
        <v>3</v>
      </c>
      <c r="H17" s="2">
        <f>COUNTIFS('Tourney History'!B:B,A17,'Tourney History'!D:D, 0)</f>
        <v>4</v>
      </c>
      <c r="I17" s="88">
        <f>LOOKUP(2, 1/('Tourney History'!$B:$B=A17), 'Tourney History'!$AD:$AD)</f>
        <v>0.42857142857142855</v>
      </c>
      <c r="J17" s="34">
        <f>SUMIFS('Tourney History'!F:F,'Tourney History'!B:B,A17)</f>
        <v>16</v>
      </c>
      <c r="K17" s="2">
        <f>SUMIFS('Tourney History'!E:E,'Tourney History'!B:B,A17)-J17</f>
        <v>17</v>
      </c>
      <c r="L17" s="88">
        <f>LOOKUP(2, 1/('Tourney History'!$B:$B=A17), 'Tourney History'!$AB:$AB)</f>
        <v>0.48571428571428571</v>
      </c>
      <c r="M17" s="34">
        <f>SUMIFS('Tourney History'!H:H,'Tourney History'!B:B,A17)</f>
        <v>73</v>
      </c>
      <c r="N17" s="2">
        <f>SUMIFS('Tourney History'!G:G,'Tourney History'!B:B,A17)-M17</f>
        <v>74</v>
      </c>
      <c r="O17" s="88">
        <f>LOOKUP(2, 1/('Tourney History'!$B:$B=A17), 'Tourney History'!$AC:$AC)</f>
        <v>0.49571428571428566</v>
      </c>
      <c r="P17" s="2">
        <f>COUNTIFS('Tourney History'!$B:$B,$A$17,'Tourney History'!K:K, 1)</f>
        <v>1</v>
      </c>
      <c r="Q17" s="2">
        <f>COUNTIFS('Tourney History'!$B:$B,$A$17,'Tourney History'!L:L, 1)</f>
        <v>0</v>
      </c>
      <c r="R17" s="2">
        <f>COUNTIFS('Tourney History'!$B:$B,$A$17,'Tourney History'!M:M, 1)</f>
        <v>1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1</v>
      </c>
      <c r="AC17" s="2">
        <f>COUNTIFS('Tourney History'!$B:$B,$A$17,'Tourney History'!X:X, 1)</f>
        <v>4</v>
      </c>
      <c r="AD17" s="2">
        <f>COUNTIFS('Tourney History'!$B:$B,$A$17,'Tourney History'!Y:Y, 1)</f>
        <v>1</v>
      </c>
      <c r="AE17" s="2">
        <f>COUNTIFS('Tourney History'!$B:$B,$A$17,'Tourney History'!Z:Z, 1)</f>
        <v>4</v>
      </c>
    </row>
    <row r="18" spans="1:31" x14ac:dyDescent="0.25">
      <c r="A18" s="2" t="s">
        <v>53</v>
      </c>
      <c r="B18" s="6" t="s">
        <v>60</v>
      </c>
      <c r="C18" s="2" t="s">
        <v>79</v>
      </c>
      <c r="D18" s="34">
        <f>SUMIFS('Tourney History'!C:C,'Tourney History'!B:B,A18)</f>
        <v>43</v>
      </c>
      <c r="E18" s="4">
        <f>AVERAGEIFS('Tourney History'!C:C,'Tourney History'!B:B,A18)</f>
        <v>14.333333333333334</v>
      </c>
      <c r="F18" s="35">
        <f t="array" ref="F18">MAX(IF('Tourney History'!B:B=A18, 'Tourney History'!C:C))</f>
        <v>25</v>
      </c>
      <c r="G18" s="34">
        <f>COUNTIFS('Tourney History'!B:B,A18,'Tourney History'!D:D, 1)</f>
        <v>2</v>
      </c>
      <c r="H18" s="2">
        <f>COUNTIFS('Tourney History'!B:B,A18,'Tourney History'!D:D, 0)</f>
        <v>1</v>
      </c>
      <c r="I18" s="88">
        <f>LOOKUP(2, 1/('Tourney History'!$B:$B=A18), 'Tourney History'!$AD:$AD)</f>
        <v>0.66666666666666663</v>
      </c>
      <c r="J18" s="34">
        <f>SUMIFS('Tourney History'!F:F,'Tourney History'!B:B,A18)</f>
        <v>6</v>
      </c>
      <c r="K18" s="2">
        <f>SUMIFS('Tourney History'!E:E,'Tourney History'!B:B,A18)-J18</f>
        <v>7</v>
      </c>
      <c r="L18" s="88">
        <f>LOOKUP(2, 1/('Tourney History'!$B:$B=A18), 'Tourney History'!$AB:$AB)</f>
        <v>0.39999999999999997</v>
      </c>
      <c r="M18" s="34">
        <f>SUMIFS('Tourney History'!H:H,'Tourney History'!B:B,A18)</f>
        <v>27</v>
      </c>
      <c r="N18" s="2">
        <f>SUMIFS('Tourney History'!G:G,'Tourney History'!B:B,A18)-M18</f>
        <v>26</v>
      </c>
      <c r="O18" s="88">
        <f>LOOKUP(2, 1/('Tourney History'!$B:$B=A18), 'Tourney History'!$AC:$AC)</f>
        <v>0.48666666666666664</v>
      </c>
      <c r="P18" s="2">
        <f>COUNTIFS('Tourney History'!$B:$B,$A$18,'Tourney History'!K:K, 1)</f>
        <v>0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1</v>
      </c>
      <c r="T18" s="2">
        <f>COUNTIFS('Tourney History'!$B:$B,$A$18,'Tourney History'!O:O, 1)</f>
        <v>2</v>
      </c>
      <c r="U18" s="2">
        <f>COUNTIFS('Tourney History'!$B:$B,$A$18,'Tourney History'!P:P, 1)</f>
        <v>1</v>
      </c>
      <c r="V18" s="2">
        <f>COUNTIFS('Tourney History'!$B:$B,$A$18,'Tourney History'!Q:Q, 1)</f>
        <v>2</v>
      </c>
      <c r="W18" s="2">
        <f>COUNTIFS('Tourney History'!$B:$B,$A$18,'Tourney History'!R:R, 1)</f>
        <v>0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0</v>
      </c>
      <c r="AC18" s="2">
        <f>COUNTIFS('Tourney History'!$B:$B,$A$18,'Tourney History'!X:X, 1)</f>
        <v>0</v>
      </c>
      <c r="AD18" s="2">
        <f>COUNTIFS('Tourney History'!$B:$B,$A$18,'Tourney History'!Y:Y, 1)</f>
        <v>0</v>
      </c>
      <c r="AE18" s="2">
        <f>COUNTIFS('Tourney History'!$B:$B,$A$18,'Tourney History'!Z:Z, 1)</f>
        <v>0</v>
      </c>
    </row>
    <row r="19" spans="1:31" x14ac:dyDescent="0.25">
      <c r="A19" s="2" t="s">
        <v>51</v>
      </c>
      <c r="B19" s="6" t="s">
        <v>79</v>
      </c>
      <c r="C19" s="2" t="s">
        <v>79</v>
      </c>
      <c r="D19" s="34">
        <f>SUMIFS('Tourney History'!C:C,'Tourney History'!B:B,A19)</f>
        <v>84</v>
      </c>
      <c r="E19" s="4">
        <f>AVERAGEIFS('Tourney History'!C:C,'Tourney History'!B:B,A19)</f>
        <v>16.8</v>
      </c>
      <c r="F19" s="35">
        <f t="array" ref="F19">MAX(IF('Tourney History'!B:B=A19, 'Tourney History'!C:C))</f>
        <v>22</v>
      </c>
      <c r="G19" s="34">
        <f>COUNTIFS('Tourney History'!B:B,A19,'Tourney History'!D:D, 1)</f>
        <v>3</v>
      </c>
      <c r="H19" s="2">
        <f>COUNTIFS('Tourney History'!B:B,A19,'Tourney History'!D:D, 0)</f>
        <v>2</v>
      </c>
      <c r="I19" s="88">
        <f>LOOKUP(2, 1/('Tourney History'!$B:$B=A19), 'Tourney History'!$AD:$AD)</f>
        <v>0.6</v>
      </c>
      <c r="J19" s="34">
        <f>SUMIFS('Tourney History'!F:F,'Tourney History'!B:B,A19)</f>
        <v>12</v>
      </c>
      <c r="K19" s="2">
        <f>SUMIFS('Tourney History'!E:E,'Tourney History'!B:B,A19)-J19</f>
        <v>8</v>
      </c>
      <c r="L19" s="88">
        <f>LOOKUP(2, 1/('Tourney History'!$B:$B=A19), 'Tourney History'!$AB:$AB)</f>
        <v>0.63</v>
      </c>
      <c r="M19" s="34">
        <f>SUMIFS('Tourney History'!H:H,'Tourney History'!B:B,A19)</f>
        <v>41</v>
      </c>
      <c r="N19" s="2">
        <f>SUMIFS('Tourney History'!G:G,'Tourney History'!B:B,A19)-M19</f>
        <v>40</v>
      </c>
      <c r="O19" s="88">
        <f>LOOKUP(2, 1/('Tourney History'!$B:$B=A19), 'Tourney History'!$AC:$AC)</f>
        <v>0.51600000000000001</v>
      </c>
      <c r="P19" s="2">
        <f>COUNTIFS('Tourney History'!$B:$B,$A$19,'Tourney History'!K:K, 1)</f>
        <v>1</v>
      </c>
      <c r="Q19" s="2">
        <f>COUNTIFS('Tourney History'!$B:$B,$A$19,'Tourney History'!L:L, 1)</f>
        <v>0</v>
      </c>
      <c r="R19" s="2">
        <f>COUNTIFS('Tourney History'!$B:$B,$A$19,'Tourney History'!M:M, 1)</f>
        <v>0</v>
      </c>
      <c r="S19" s="2">
        <f>COUNTIFS('Tourney History'!$B:$B,$A$19,'Tourney History'!N:N, 1)</f>
        <v>2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2</v>
      </c>
      <c r="AC19" s="2">
        <f>COUNTIFS('Tourney History'!$B:$B,$A$19,'Tourney History'!X:X, 1)</f>
        <v>3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ht="15.75" x14ac:dyDescent="0.25">
      <c r="A20" s="2" t="s">
        <v>20</v>
      </c>
      <c r="B20" s="80" t="s">
        <v>60</v>
      </c>
      <c r="C20" s="2" t="s">
        <v>79</v>
      </c>
      <c r="D20" s="34">
        <f>SUMIFS('Tourney History'!C:C,'Tourney History'!B:B,A20)</f>
        <v>164</v>
      </c>
      <c r="E20" s="4">
        <f>AVERAGEIFS('Tourney History'!C:C,'Tourney History'!B:B,A20)</f>
        <v>18.222222222222221</v>
      </c>
      <c r="F20" s="35">
        <f t="array" ref="F20">MAX(IF('Tourney History'!B:B=A20, 'Tourney History'!C:C))</f>
        <v>37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19</v>
      </c>
      <c r="K20" s="2">
        <f>SUMIFS('Tourney History'!E:E,'Tourney History'!B:B,A20)-J20</f>
        <v>21</v>
      </c>
      <c r="L20" s="88">
        <f>LOOKUP(2, 1/('Tourney History'!$B:$B=A20), 'Tourney History'!$AB:$AB)</f>
        <v>0.48333333333333328</v>
      </c>
      <c r="M20" s="34">
        <f>SUMIFS('Tourney History'!H:H,'Tourney History'!B:B,A20)</f>
        <v>83</v>
      </c>
      <c r="N20" s="2">
        <f>SUMIFS('Tourney History'!G:G,'Tourney History'!B:B,A20)-M20</f>
        <v>84</v>
      </c>
      <c r="O20" s="88">
        <f>LOOKUP(2, 1/('Tourney History'!$B:$B=A20), 'Tourney History'!$AC:$AC)</f>
        <v>0.5066666666666666</v>
      </c>
      <c r="P20" s="2">
        <f>COUNTIFS('Tourney History'!$B:$B,$A$20,'Tourney History'!K:K, 1)</f>
        <v>1</v>
      </c>
      <c r="Q20" s="2">
        <f>COUNTIFS('Tourney History'!$B:$B,$A$20,'Tourney History'!L:L, 1)</f>
        <v>1</v>
      </c>
      <c r="R20" s="2">
        <f>COUNTIFS('Tourney History'!$B:$B,$A$20,'Tourney History'!M:M, 1)</f>
        <v>0</v>
      </c>
      <c r="S20" s="2">
        <f>COUNTIFS('Tourney History'!$B:$B,$A$20,'Tourney History'!N:N, 1)</f>
        <v>4</v>
      </c>
      <c r="T20" s="2">
        <f>COUNTIFS('Tourney History'!$B:$B,$A$20,'Tourney History'!O:O, 1)</f>
        <v>0</v>
      </c>
      <c r="U20" s="2">
        <f>COUNTIFS('Tourney History'!$B:$B,$A$20,'Tourney History'!P:P, 1)</f>
        <v>3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4</v>
      </c>
      <c r="AC20" s="2">
        <f>COUNTIFS('Tourney History'!$B:$B,$A$20,'Tourney History'!X:X, 1)</f>
        <v>2</v>
      </c>
      <c r="AD20" s="2">
        <f>COUNTIFS('Tourney History'!$B:$B,$A$20,'Tourney History'!Y:Y, 1)</f>
        <v>1</v>
      </c>
      <c r="AE20" s="2">
        <f>COUNTIFS('Tourney History'!$B:$B,$A$20,'Tourney History'!Z:Z, 1)</f>
        <v>2</v>
      </c>
    </row>
    <row r="21" spans="1:31" x14ac:dyDescent="0.25">
      <c r="A21" s="1" t="s">
        <v>47</v>
      </c>
      <c r="B21" s="2" t="s">
        <v>79</v>
      </c>
      <c r="C21" s="2" t="s">
        <v>79</v>
      </c>
      <c r="D21" s="34">
        <f>SUMIFS('Tourney History'!C:C,'Tourney History'!B:B,A21)</f>
        <v>48</v>
      </c>
      <c r="E21" s="4">
        <f>AVERAGEIFS('Tourney History'!C:C,'Tourney History'!B:B,A21)</f>
        <v>9.6</v>
      </c>
      <c r="F21" s="35">
        <f t="array" ref="F21">MAX(IF('Tourney History'!B:B=A21, 'Tourney History'!C:C))</f>
        <v>13</v>
      </c>
      <c r="G21" s="34">
        <f>COUNTIFS('Tourney History'!B:B,A21,'Tourney History'!D:D, 1)</f>
        <v>2</v>
      </c>
      <c r="H21" s="2">
        <f>COUNTIFS('Tourney History'!B:B,A21,'Tourney History'!D:D, 0)</f>
        <v>3</v>
      </c>
      <c r="I21" s="88">
        <f>LOOKUP(2, 1/('Tourney History'!$B:$B=A21), 'Tourney History'!$AD:$AD)</f>
        <v>0.4</v>
      </c>
      <c r="J21" s="34">
        <f>SUMIFS('Tourney History'!F:F,'Tourney History'!B:B,A21)</f>
        <v>9</v>
      </c>
      <c r="K21" s="2">
        <f>SUMIFS('Tourney History'!E:E,'Tourney History'!B:B,A21)-J21</f>
        <v>11</v>
      </c>
      <c r="L21" s="88">
        <f>LOOKUP(2, 1/('Tourney History'!$B:$B=A21), 'Tourney History'!$AB:$AB)</f>
        <v>0.45</v>
      </c>
      <c r="M21" s="34">
        <f>SUMIFS('Tourney History'!H:H,'Tourney History'!B:B,A21)</f>
        <v>42</v>
      </c>
      <c r="N21" s="2">
        <f>SUMIFS('Tourney History'!G:G,'Tourney History'!B:B,A21)-M21</f>
        <v>44</v>
      </c>
      <c r="O21" s="88">
        <f>LOOKUP(2, 1/('Tourney History'!$B:$B=A21), 'Tourney History'!$AC:$AC)</f>
        <v>0.47400000000000003</v>
      </c>
      <c r="P21" s="2">
        <f>COUNTIFS('Tourney History'!$B:$B,$A$21,'Tourney History'!K:K, 1)</f>
        <v>0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0</v>
      </c>
      <c r="T21" s="2">
        <f>COUNTIFS('Tourney History'!$B:$B,$A$21,'Tourney History'!O:O, 1)</f>
        <v>1</v>
      </c>
      <c r="U21" s="2">
        <f>COUNTIFS('Tourney History'!$B:$B,$A$21,'Tourney History'!P:P, 1)</f>
        <v>2</v>
      </c>
      <c r="V21" s="2">
        <f>COUNTIFS('Tourney History'!$B:$B,$A$21,'Tourney History'!Q:Q, 1)</f>
        <v>0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2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3</v>
      </c>
    </row>
    <row r="22" spans="1:31" ht="15.75" x14ac:dyDescent="0.25">
      <c r="A22" s="1" t="s">
        <v>3</v>
      </c>
      <c r="B22" s="80" t="s">
        <v>157</v>
      </c>
      <c r="C22" s="2" t="s">
        <v>159</v>
      </c>
      <c r="D22" s="34">
        <f>SUMIFS('Tourney History'!C:C,'Tourney History'!B:B,A22)</f>
        <v>117</v>
      </c>
      <c r="E22" s="4">
        <f>AVERAGEIFS('Tourney History'!C:C,'Tourney History'!B:B,A22)</f>
        <v>29.25</v>
      </c>
      <c r="F22" s="35">
        <f t="array" ref="F22">MAX(IF('Tourney History'!B:B=A22, 'Tourney History'!C:C))</f>
        <v>44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10</v>
      </c>
      <c r="K22" s="2">
        <f>SUMIFS('Tourney History'!E:E,'Tourney History'!B:B,A22)-J22</f>
        <v>8</v>
      </c>
      <c r="L22" s="88">
        <f>LOOKUP(2, 1/('Tourney History'!$B:$B=A22), 'Tourney History'!$AB:$AB)</f>
        <v>0.55000000000000004</v>
      </c>
      <c r="M22" s="34">
        <f>SUMIFS('Tourney History'!H:H,'Tourney History'!B:B,A22)</f>
        <v>39</v>
      </c>
      <c r="N22" s="2">
        <f>SUMIFS('Tourney History'!G:G,'Tourney History'!B:B,A22)-M22</f>
        <v>35</v>
      </c>
      <c r="O22" s="88">
        <f>LOOKUP(2, 1/('Tourney History'!$B:$B=A22), 'Tourney History'!$AC:$AC)</f>
        <v>0.52249999999999996</v>
      </c>
      <c r="P22" s="2">
        <f>COUNTIFS('Tourney History'!$B:$B,$A$22,'Tourney History'!K:K, 1)</f>
        <v>0</v>
      </c>
      <c r="Q22" s="2">
        <f>COUNTIFS('Tourney History'!$B:$B,$A$22,'Tourney History'!L:L, 1)</f>
        <v>1</v>
      </c>
      <c r="R22" s="2">
        <f>COUNTIFS('Tourney History'!$B:$B,$A$22,'Tourney History'!M:M, 1)</f>
        <v>1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0</v>
      </c>
      <c r="AC22" s="2">
        <f>COUNTIFS('Tourney History'!$B:$B,$A$22,'Tourney History'!X:X, 1)</f>
        <v>1</v>
      </c>
      <c r="AD22" s="2">
        <f>COUNTIFS('Tourney History'!$B:$B,$A$22,'Tourney History'!Y:Y, 1)</f>
        <v>1</v>
      </c>
      <c r="AE22" s="2">
        <f>COUNTIFS('Tourney History'!$B:$B,$A$22,'Tourney History'!Z:Z, 1)</f>
        <v>0</v>
      </c>
    </row>
    <row r="23" spans="1:31" x14ac:dyDescent="0.25">
      <c r="A23" s="2" t="s">
        <v>15</v>
      </c>
      <c r="B23" s="2" t="s">
        <v>79</v>
      </c>
      <c r="C23" s="2" t="s">
        <v>79</v>
      </c>
      <c r="D23" s="34">
        <f>SUMIFS('Tourney History'!C:C,'Tourney History'!B:B,A23)</f>
        <v>268</v>
      </c>
      <c r="E23" s="4">
        <f>AVERAGEIFS('Tourney History'!C:C,'Tourney History'!B:B,A23)</f>
        <v>33.5</v>
      </c>
      <c r="F23" s="35">
        <f t="array" ref="F23">MAX(IF('Tourney History'!B:B=A23, 'Tourney History'!C:C))</f>
        <v>55</v>
      </c>
      <c r="G23" s="34">
        <f>COUNTIFS('Tourney History'!B:B,A23,'Tourney History'!D:D, 1)</f>
        <v>2</v>
      </c>
      <c r="H23" s="2">
        <f>COUNTIFS('Tourney History'!B:B,A23,'Tourney History'!D:D, 0)</f>
        <v>6</v>
      </c>
      <c r="I23" s="88">
        <f>LOOKUP(2, 1/('Tourney History'!$B:$B=A23), 'Tourney History'!$AD:$AD)</f>
        <v>0.25</v>
      </c>
      <c r="J23" s="34">
        <f>SUMIFS('Tourney History'!F:F,'Tourney History'!B:B,A23)</f>
        <v>16</v>
      </c>
      <c r="K23" s="2">
        <f>SUMIFS('Tourney History'!E:E,'Tourney History'!B:B,A23)-J23</f>
        <v>19</v>
      </c>
      <c r="L23" s="88">
        <f>LOOKUP(2, 1/('Tourney History'!$B:$B=A23), 'Tourney History'!$AB:$AB)</f>
        <v>0.48124999999999996</v>
      </c>
      <c r="M23" s="34">
        <f>SUMIFS('Tourney History'!H:H,'Tourney History'!B:B,A23)</f>
        <v>71</v>
      </c>
      <c r="N23" s="2">
        <f>SUMIFS('Tourney History'!G:G,'Tourney History'!B:B,A23)-M23</f>
        <v>79</v>
      </c>
      <c r="O23" s="88">
        <f>LOOKUP(2, 1/('Tourney History'!$B:$B=A23), 'Tourney History'!$AC:$AC)</f>
        <v>0.48499999999999999</v>
      </c>
      <c r="P23" s="2">
        <f>COUNTIFS('Tourney History'!$B:$B,$A$23,'Tourney History'!K:K, 1)</f>
        <v>1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4</v>
      </c>
      <c r="AD23" s="2">
        <f>COUNTIFS('Tourney History'!$B:$B,$A$23,'Tourney History'!Y:Y, 1)</f>
        <v>1</v>
      </c>
      <c r="AE23" s="2">
        <f>COUNTIFS('Tourney History'!$B:$B,$A$23,'Tourney History'!Z:Z, 1)</f>
        <v>3</v>
      </c>
    </row>
    <row r="24" spans="1:31" x14ac:dyDescent="0.25">
      <c r="A24" s="2" t="s">
        <v>13</v>
      </c>
      <c r="B24" s="6" t="s">
        <v>124</v>
      </c>
      <c r="C24" s="1" t="s">
        <v>159</v>
      </c>
      <c r="D24" s="34">
        <f>SUMIFS('Tourney History'!C:C,'Tourney History'!B:B,A24)</f>
        <v>325</v>
      </c>
      <c r="E24" s="4">
        <f>AVERAGEIFS('Tourney History'!C:C,'Tourney History'!B:B,A24)</f>
        <v>36.111111111111114</v>
      </c>
      <c r="F24" s="35">
        <f t="array" ref="F24">MAX(IF('Tourney History'!B:B=A24, 'Tourney History'!C:C))</f>
        <v>58</v>
      </c>
      <c r="G24" s="34">
        <f>COUNTIFS('Tourney History'!B:B,A24,'Tourney History'!D:D, 1)</f>
        <v>5</v>
      </c>
      <c r="H24" s="2">
        <f>COUNTIFS('Tourney History'!B:B,A24,'Tourney History'!D:D, 0)</f>
        <v>4</v>
      </c>
      <c r="I24" s="88">
        <f>LOOKUP(2, 1/('Tourney History'!$B:$B=A24), 'Tourney History'!$AD:$AD)</f>
        <v>0.55555555555555558</v>
      </c>
      <c r="J24" s="34">
        <f>SUMIFS('Tourney History'!F:F,'Tourney History'!B:B,A24)</f>
        <v>18</v>
      </c>
      <c r="K24" s="2">
        <f>SUMIFS('Tourney History'!E:E,'Tourney History'!B:B,A24)-J24</f>
        <v>20</v>
      </c>
      <c r="L24" s="88">
        <f>LOOKUP(2, 1/('Tourney History'!$B:$B=A24), 'Tourney History'!$AB:$AB)</f>
        <v>0.43888888888888888</v>
      </c>
      <c r="M24" s="34">
        <f>SUMIFS('Tourney History'!H:H,'Tourney History'!B:B,A24)</f>
        <v>78</v>
      </c>
      <c r="N24" s="2">
        <f>SUMIFS('Tourney History'!G:G,'Tourney History'!B:B,A24)-M24</f>
        <v>75</v>
      </c>
      <c r="O24" s="88">
        <f>LOOKUP(2, 1/('Tourney History'!$B:$B=A24), 'Tourney History'!$AC:$AC)</f>
        <v>0.49111111111111111</v>
      </c>
      <c r="P24" s="2">
        <f>COUNTIFS('Tourney History'!$B:$B,$A$24,'Tourney History'!K:K, 1)</f>
        <v>0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3</v>
      </c>
      <c r="T24" s="2">
        <f>COUNTIFS('Tourney History'!$B:$B,$A$24,'Tourney History'!O:O, 1)</f>
        <v>3</v>
      </c>
      <c r="U24" s="2">
        <f>COUNTIFS('Tourney History'!$B:$B,$A$24,'Tourney History'!P:P, 1)</f>
        <v>3</v>
      </c>
      <c r="V24" s="2">
        <f>COUNTIFS('Tourney History'!$B:$B,$A$24,'Tourney History'!Q:Q, 1)</f>
        <v>2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0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2" t="s">
        <v>2</v>
      </c>
      <c r="B25" s="6" t="s">
        <v>124</v>
      </c>
      <c r="C25" s="6" t="s">
        <v>79</v>
      </c>
      <c r="D25" s="34">
        <f>SUMIFS('Tourney History'!C:C,'Tourney History'!B:B,A25)</f>
        <v>241</v>
      </c>
      <c r="E25" s="4">
        <f>AVERAGEIFS('Tourney History'!C:C,'Tourney History'!B:B,A25)</f>
        <v>34.428571428571431</v>
      </c>
      <c r="F25" s="35">
        <f t="array" ref="F25">MAX(IF('Tourney History'!B:B=A25, 'Tourney History'!C:C))</f>
        <v>52</v>
      </c>
      <c r="G25" s="34">
        <f>COUNTIFS('Tourney History'!B:B,A25,'Tourney History'!D:D, 1)</f>
        <v>3</v>
      </c>
      <c r="H25" s="2">
        <f>COUNTIFS('Tourney History'!B:B,A25,'Tourney History'!D:D, 0)</f>
        <v>4</v>
      </c>
      <c r="I25" s="88">
        <f>LOOKUP(2, 1/('Tourney History'!$B:$B=A25), 'Tourney History'!$AD:$AD)</f>
        <v>0.42857142857142855</v>
      </c>
      <c r="J25" s="34">
        <f>SUMIFS('Tourney History'!F:F,'Tourney History'!B:B,A25)</f>
        <v>16</v>
      </c>
      <c r="K25" s="2">
        <f>SUMIFS('Tourney History'!E:E,'Tourney History'!B:B,A25)-J25</f>
        <v>15</v>
      </c>
      <c r="L25" s="88">
        <f>LOOKUP(2, 1/('Tourney History'!$B:$B=A25), 'Tourney History'!$AB:$AB)</f>
        <v>0.52857142857142858</v>
      </c>
      <c r="M25" s="34">
        <f>SUMIFS('Tourney History'!H:H,'Tourney History'!B:B,A25)</f>
        <v>68</v>
      </c>
      <c r="N25" s="2">
        <f>SUMIFS('Tourney History'!G:G,'Tourney History'!B:B,A25)-M25</f>
        <v>66</v>
      </c>
      <c r="O25" s="88">
        <f>LOOKUP(2, 1/('Tourney History'!$B:$B=A25), 'Tourney History'!$AC:$AC)</f>
        <v>0.52</v>
      </c>
      <c r="P25" s="2">
        <f>COUNTIFS('Tourney History'!$B:$B,$A$25,'Tourney History'!K:K, 1)</f>
        <v>0</v>
      </c>
      <c r="Q25" s="2">
        <f>COUNTIFS('Tourney History'!$B:$B,$A$25,'Tourney History'!L:L, 1)</f>
        <v>3</v>
      </c>
      <c r="R25" s="2">
        <f>COUNTIFS('Tourney History'!$B:$B,$A$25,'Tourney History'!M:M, 1)</f>
        <v>1</v>
      </c>
      <c r="S25" s="2">
        <f>COUNTIFS('Tourney History'!$B:$B,$A$25,'Tourney History'!N:N, 1)</f>
        <v>4</v>
      </c>
      <c r="T25" s="2">
        <f>COUNTIFS('Tourney History'!$B:$B,$A$25,'Tourney History'!O:O, 1)</f>
        <v>0</v>
      </c>
      <c r="U25" s="2">
        <f>COUNTIFS('Tourney History'!$B:$B,$A$25,'Tourney History'!P:P, 1)</f>
        <v>1</v>
      </c>
      <c r="V25" s="2">
        <f>COUNTIFS('Tourney History'!$B:$B,$A$25,'Tourney History'!Q:Q, 1)</f>
        <v>0</v>
      </c>
      <c r="W25" s="2">
        <f>COUNTIFS('Tourney History'!$B:$B,$A$25,'Tourney History'!R:R, 1)</f>
        <v>1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2</v>
      </c>
      <c r="AC25" s="2">
        <f>COUNTIFS('Tourney History'!$B:$B,$A$25,'Tourney History'!X:X, 1)</f>
        <v>0</v>
      </c>
      <c r="AD25" s="2">
        <f>COUNTIFS('Tourney History'!$B:$B,$A$25,'Tourney History'!Y:Y, 1)</f>
        <v>2</v>
      </c>
      <c r="AE25" s="2">
        <f>COUNTIFS('Tourney History'!$B:$B,$A$25,'Tourney History'!Z:Z, 1)</f>
        <v>2</v>
      </c>
    </row>
    <row r="26" spans="1:31" x14ac:dyDescent="0.25">
      <c r="A26" s="2" t="s">
        <v>54</v>
      </c>
      <c r="B26" s="6" t="s">
        <v>60</v>
      </c>
      <c r="C26" s="6" t="s">
        <v>79</v>
      </c>
      <c r="D26" s="34">
        <f>SUMIFS('Tourney History'!C:C,'Tourney History'!B:B,A26)</f>
        <v>53</v>
      </c>
      <c r="E26" s="4">
        <f>AVERAGEIFS('Tourney History'!C:C,'Tourney History'!B:B,A26)</f>
        <v>26.5</v>
      </c>
      <c r="F26" s="35">
        <f t="array" ref="F26">MAX(IF('Tourney History'!B:B=A26, 'Tourney History'!C:C))</f>
        <v>29</v>
      </c>
      <c r="G26" s="34">
        <f>COUNTIFS('Tourney History'!B:B,A26,'Tourney History'!D:D, 1)</f>
        <v>2</v>
      </c>
      <c r="H26" s="2">
        <f>COUNTIFS('Tourney History'!B:B,A26,'Tourney History'!D:D, 0)</f>
        <v>0</v>
      </c>
      <c r="I26" s="88">
        <f>LOOKUP(2, 1/('Tourney History'!$B:$B=A26), 'Tourney History'!$AD:$AD)</f>
        <v>1</v>
      </c>
      <c r="J26" s="34">
        <f>SUMIFS('Tourney History'!F:F,'Tourney History'!B:B,A26)</f>
        <v>6</v>
      </c>
      <c r="K26" s="2">
        <f>SUMIFS('Tourney History'!E:E,'Tourney History'!B:B,A26)-J26</f>
        <v>4</v>
      </c>
      <c r="L26" s="88">
        <f>LOOKUP(2, 1/('Tourney History'!$B:$B=A26), 'Tourney History'!$AB:$AB)</f>
        <v>0.6</v>
      </c>
      <c r="M26" s="34">
        <f>SUMIFS('Tourney History'!H:H,'Tourney History'!B:B,A26)</f>
        <v>23</v>
      </c>
      <c r="N26" s="2">
        <f>SUMIFS('Tourney History'!G:G,'Tourney History'!B:B,A26)-M26</f>
        <v>17</v>
      </c>
      <c r="O26" s="88">
        <f>LOOKUP(2, 1/('Tourney History'!$B:$B=A26), 'Tourney History'!$AC:$AC)</f>
        <v>0.57499999999999996</v>
      </c>
      <c r="P26" s="2">
        <f>COUNTIFS('Tourney History'!$B:$B,$A$26,'Tourney History'!K:K, 1)</f>
        <v>0</v>
      </c>
      <c r="Q26" s="2">
        <f>COUNTIFS('Tourney History'!$B:$B,$A$26,'Tourney History'!L:L, 1)</f>
        <v>0</v>
      </c>
      <c r="R26" s="2">
        <f>COUNTIFS('Tourney History'!$B:$B,$A$26,'Tourney History'!M:M, 1)</f>
        <v>0</v>
      </c>
      <c r="S26" s="2">
        <f>COUNTIFS('Tourney History'!$B:$B,$A$26,'Tourney History'!N:N, 1)</f>
        <v>1</v>
      </c>
      <c r="T26" s="2">
        <f>COUNTIFS('Tourney History'!$B:$B,$A$26,'Tourney History'!O:O, 1)</f>
        <v>2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0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5</v>
      </c>
      <c r="B27" s="6" t="s">
        <v>178</v>
      </c>
      <c r="C27" s="1" t="s">
        <v>159</v>
      </c>
      <c r="D27" s="34">
        <f>SUMIFS('Tourney History'!C:C,'Tourney History'!B:B,A27)</f>
        <v>199</v>
      </c>
      <c r="E27" s="4">
        <f>AVERAGEIFS('Tourney History'!C:C,'Tourney History'!B:B,A27)</f>
        <v>33.166666666666664</v>
      </c>
      <c r="F27" s="35">
        <f t="array" ref="F27">MAX(IF('Tourney History'!B:B=A27, 'Tourney History'!C:C))</f>
        <v>51</v>
      </c>
      <c r="G27" s="34">
        <f>COUNTIFS('Tourney History'!B:B,A27,'Tourney History'!D:D, 1)</f>
        <v>5</v>
      </c>
      <c r="H27" s="2">
        <f>COUNTIFS('Tourney History'!B:B,A27,'Tourney History'!D:D, 0)</f>
        <v>1</v>
      </c>
      <c r="I27" s="88">
        <f>LOOKUP(2, 1/('Tourney History'!$B:$B=A27), 'Tourney History'!$AD:$AD)</f>
        <v>0.83333333333333337</v>
      </c>
      <c r="J27" s="34">
        <f>SUMIFS('Tourney History'!F:F,'Tourney History'!B:B,A27)</f>
        <v>16</v>
      </c>
      <c r="K27" s="2">
        <f>SUMIFS('Tourney History'!E:E,'Tourney History'!B:B,A27)-J27</f>
        <v>11</v>
      </c>
      <c r="L27" s="88">
        <f>LOOKUP(2, 1/('Tourney History'!$B:$B=A27), 'Tourney History'!$AB:$AB)</f>
        <v>0.59166666666666667</v>
      </c>
      <c r="M27" s="34">
        <f>SUMIFS('Tourney History'!H:H,'Tourney History'!B:B,A27)</f>
        <v>63</v>
      </c>
      <c r="N27" s="2">
        <f>SUMIFS('Tourney History'!G:G,'Tourney History'!B:B,A27)-M27</f>
        <v>53</v>
      </c>
      <c r="O27" s="88">
        <f>LOOKUP(2, 1/('Tourney History'!$B:$B=A27), 'Tourney History'!$AC:$AC)</f>
        <v>0.53833333333333333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2</v>
      </c>
      <c r="S27" s="2">
        <f>COUNTIFS('Tourney History'!$B:$B,$A$27,'Tourney History'!N:N, 1)</f>
        <v>1</v>
      </c>
      <c r="T27" s="2">
        <f>COUNTIFS('Tourney History'!$B:$B,$A$27,'Tourney History'!O:O, 1)</f>
        <v>3</v>
      </c>
      <c r="U27" s="2">
        <f>COUNTIFS('Tourney History'!$B:$B,$A$27,'Tourney History'!P:P, 1)</f>
        <v>2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2</v>
      </c>
      <c r="AD27" s="2">
        <f>COUNTIFS('Tourney History'!$B:$B,$A$27,'Tourney History'!Y:Y, 1)</f>
        <v>1</v>
      </c>
      <c r="AE27" s="2">
        <f>COUNTIFS('Tourney History'!$B:$B,$A$27,'Tourney History'!Z:Z, 1)</f>
        <v>1</v>
      </c>
    </row>
    <row r="28" spans="1:31" x14ac:dyDescent="0.25">
      <c r="A28" s="2" t="s">
        <v>38</v>
      </c>
      <c r="B28" s="6" t="s">
        <v>79</v>
      </c>
      <c r="C28" s="6" t="s">
        <v>79</v>
      </c>
      <c r="D28" s="34">
        <f>SUMIFS('Tourney History'!C:C,'Tourney History'!B:B,A28)</f>
        <v>10</v>
      </c>
      <c r="E28" s="4">
        <f>AVERAGEIFS('Tourney History'!C:C,'Tourney History'!B:B,A28)</f>
        <v>5</v>
      </c>
      <c r="F28" s="35">
        <f t="array" ref="F28">MAX(IF('Tourney History'!B:B=A28, 'Tourney History'!C:C))</f>
        <v>6</v>
      </c>
      <c r="G28" s="34">
        <f>COUNTIFS('Tourney History'!B:B,A28,'Tourney History'!D:D, 1)</f>
        <v>1</v>
      </c>
      <c r="H28" s="2">
        <f>COUNTIFS('Tourney History'!B:B,A28,'Tourney History'!D:D, 0)</f>
        <v>1</v>
      </c>
      <c r="I28" s="88">
        <f>LOOKUP(2, 1/('Tourney History'!$B:$B=A28), 'Tourney History'!$AD:$AD)</f>
        <v>0.5</v>
      </c>
      <c r="J28" s="34">
        <f>SUMIFS('Tourney History'!F:F,'Tourney History'!B:B,A28)</f>
        <v>4</v>
      </c>
      <c r="K28" s="2">
        <f>SUMIFS('Tourney History'!E:E,'Tourney History'!B:B,A28)-J28</f>
        <v>4</v>
      </c>
      <c r="L28" s="88">
        <f>LOOKUP(2, 1/('Tourney History'!$B:$B=A28), 'Tourney History'!$AB:$AB)</f>
        <v>0.5</v>
      </c>
      <c r="M28" s="34">
        <f>SUMIFS('Tourney History'!H:H,'Tourney History'!B:B,A28)</f>
        <v>15</v>
      </c>
      <c r="N28" s="2">
        <f>SUMIFS('Tourney History'!G:G,'Tourney History'!B:B,A28)-M28</f>
        <v>19</v>
      </c>
      <c r="O28" s="88">
        <f>LOOKUP(2, 1/('Tourney History'!$B:$B=A28), 'Tourney History'!$AC:$AC)</f>
        <v>0.43500000000000005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1</v>
      </c>
      <c r="T28" s="2">
        <f>COUNTIFS('Tourney History'!$B:$B,$A$28,'Tourney History'!O:O, 1)</f>
        <v>0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1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1</v>
      </c>
      <c r="AC28" s="2">
        <f>COUNTIFS('Tourney History'!$B:$B,$A$28,'Tourney History'!X:X, 1)</f>
        <v>0</v>
      </c>
      <c r="AD28" s="2">
        <f>COUNTIFS('Tourney History'!$B:$B,$A$28,'Tourney History'!Y:Y, 1)</f>
        <v>0</v>
      </c>
      <c r="AE28" s="2">
        <f>COUNTIFS('Tourney History'!$B:$B,$A$28,'Tourney History'!Z:Z, 1)</f>
        <v>0</v>
      </c>
    </row>
    <row r="29" spans="1:31" x14ac:dyDescent="0.25">
      <c r="A29" s="2" t="s">
        <v>40</v>
      </c>
      <c r="B29" s="2" t="s">
        <v>79</v>
      </c>
      <c r="C29" s="2" t="s">
        <v>79</v>
      </c>
      <c r="D29" s="34">
        <f>SUMIFS('Tourney History'!C:C,'Tourney History'!B:B,A29)</f>
        <v>94</v>
      </c>
      <c r="E29" s="4">
        <f>AVERAGEIFS('Tourney History'!C:C,'Tourney History'!B:B,A29)</f>
        <v>23.5</v>
      </c>
      <c r="F29" s="35">
        <f t="array" ref="F29">MAX(IF('Tourney History'!B:B=A29, 'Tourney History'!C:C))</f>
        <v>28</v>
      </c>
      <c r="G29" s="34">
        <f>COUNTIFS('Tourney History'!B:B,A29,'Tourney History'!D:D, 1)</f>
        <v>1</v>
      </c>
      <c r="H29" s="2">
        <f>COUNTIFS('Tourney History'!B:B,A29,'Tourney History'!D:D, 0)</f>
        <v>3</v>
      </c>
      <c r="I29" s="88">
        <f>LOOKUP(2, 1/('Tourney History'!$B:$B=A29), 'Tourney History'!$AD:$AD)</f>
        <v>0.25</v>
      </c>
      <c r="J29" s="34">
        <f>SUMIFS('Tourney History'!F:F,'Tourney History'!B:B,A29)</f>
        <v>8</v>
      </c>
      <c r="K29" s="2">
        <f>SUMIFS('Tourney History'!E:E,'Tourney History'!B:B,A29)-J29</f>
        <v>11</v>
      </c>
      <c r="L29" s="88">
        <f>LOOKUP(2, 1/('Tourney History'!$B:$B=A29), 'Tourney History'!$AB:$AB)</f>
        <v>0.41249999999999998</v>
      </c>
      <c r="M29" s="34">
        <f>SUMIFS('Tourney History'!H:H,'Tourney History'!B:B,A29)</f>
        <v>38</v>
      </c>
      <c r="N29" s="2">
        <f>SUMIFS('Tourney History'!G:G,'Tourney History'!B:B,A29)-M29</f>
        <v>44</v>
      </c>
      <c r="O29" s="88">
        <f>LOOKUP(2, 1/('Tourney History'!$B:$B=A29), 'Tourney History'!$AC:$AC)</f>
        <v>0.46</v>
      </c>
      <c r="P29" s="2">
        <f>COUNTIFS('Tourney History'!$B:$B,$A$29,'Tourney History'!K:K, 1)</f>
        <v>1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1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3</v>
      </c>
      <c r="AD29" s="2">
        <f>COUNTIFS('Tourney History'!$B:$B,$A$29,'Tourney History'!Y:Y, 1)</f>
        <v>1</v>
      </c>
      <c r="AE29" s="2">
        <f>COUNTIFS('Tourney History'!$B:$B,$A$29,'Tourney History'!Z:Z, 1)</f>
        <v>2</v>
      </c>
    </row>
    <row r="30" spans="1:31" x14ac:dyDescent="0.25">
      <c r="A30" s="2" t="s">
        <v>147</v>
      </c>
      <c r="B30" s="2" t="s">
        <v>79</v>
      </c>
      <c r="C30" s="2" t="s">
        <v>79</v>
      </c>
      <c r="D30" s="34">
        <f>SUMIFS('Tourney History'!C:C,'Tourney History'!B:B,A30)</f>
        <v>56</v>
      </c>
      <c r="E30" s="4">
        <f>AVERAGEIFS('Tourney History'!C:C,'Tourney History'!B:B,A30)</f>
        <v>28</v>
      </c>
      <c r="F30" s="35">
        <f t="array" ref="F30">MAX(IF('Tourney History'!B:B=A30, 'Tourney History'!C:C))</f>
        <v>34</v>
      </c>
      <c r="G30" s="34">
        <f>COUNTIFS('Tourney History'!B:B,A30,'Tourney History'!D:D, 1)</f>
        <v>0</v>
      </c>
      <c r="H30" s="2">
        <f>COUNTIFS('Tourney History'!B:B,A30,'Tourney History'!D:D, 0)</f>
        <v>2</v>
      </c>
      <c r="I30" s="88">
        <f>LOOKUP(2, 1/('Tourney History'!$B:$B=A30), 'Tourney History'!$AD:$AD)</f>
        <v>0</v>
      </c>
      <c r="J30" s="34">
        <f>SUMIFS('Tourney History'!F:F,'Tourney History'!B:B,A30)</f>
        <v>4</v>
      </c>
      <c r="K30" s="2">
        <f>SUMIFS('Tourney History'!E:E,'Tourney History'!B:B,A30)-J30</f>
        <v>6</v>
      </c>
      <c r="L30" s="88">
        <f>LOOKUP(2, 1/('Tourney History'!$B:$B=A30), 'Tourney History'!$AB:$AB)</f>
        <v>0.4</v>
      </c>
      <c r="M30" s="34">
        <f>SUMIFS('Tourney History'!H:H,'Tourney History'!B:B,A30)</f>
        <v>18</v>
      </c>
      <c r="N30" s="2">
        <f>SUMIFS('Tourney History'!G:G,'Tourney History'!B:B,A30)-M30</f>
        <v>25</v>
      </c>
      <c r="O30" s="88">
        <f>LOOKUP(2, 1/('Tourney History'!$B:$B=A30), 'Tourney History'!$AC:$AC)</f>
        <v>0.41500000000000004</v>
      </c>
      <c r="P30" s="2">
        <f>COUNTIFS('Tourney History'!$B:$B,$A$30,'Tourney History'!K:K, 1)</f>
        <v>0</v>
      </c>
      <c r="Q30" s="2">
        <f>COUNTIFS('Tourney History'!$B:$B,$A$30,'Tourney History'!L:L, 1)</f>
        <v>1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0</v>
      </c>
      <c r="U30" s="2">
        <f>COUNTIFS('Tourney History'!$B:$B,$A$30,'Tourney History'!P:P, 1)</f>
        <v>0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1</v>
      </c>
      <c r="AD30" s="2">
        <f>COUNTIFS('Tourney History'!$B:$B,$A$30,'Tourney History'!Y:Y, 1)</f>
        <v>1</v>
      </c>
      <c r="AE30" s="2">
        <f>COUNTIFS('Tourney History'!$B:$B,$A$30,'Tourney History'!Z:Z, 1)</f>
        <v>0</v>
      </c>
    </row>
    <row r="31" spans="1:31" x14ac:dyDescent="0.25">
      <c r="A31" s="2" t="s">
        <v>17</v>
      </c>
      <c r="B31" s="2" t="s">
        <v>79</v>
      </c>
      <c r="C31" s="2" t="s">
        <v>79</v>
      </c>
      <c r="D31" s="34">
        <f>SUMIFS('Tourney History'!C:C,'Tourney History'!B:B,A31)</f>
        <v>280</v>
      </c>
      <c r="E31" s="4">
        <f>AVERAGEIFS('Tourney History'!C:C,'Tourney History'!B:B,A31)</f>
        <v>35</v>
      </c>
      <c r="F31" s="35">
        <f t="array" ref="F31">MAX(IF('Tourney History'!B:B=A31, 'Tourney History'!C:C))</f>
        <v>58</v>
      </c>
      <c r="G31" s="34">
        <f>COUNTIFS('Tourney History'!B:B,A31,'Tourney History'!D:D, 1)</f>
        <v>2</v>
      </c>
      <c r="H31" s="2">
        <f>COUNTIFS('Tourney History'!B:B,A31,'Tourney History'!D:D, 0)</f>
        <v>6</v>
      </c>
      <c r="I31" s="88">
        <f>LOOKUP(2, 1/('Tourney History'!$B:$B=A31), 'Tourney History'!$AD:$AD)</f>
        <v>0.25</v>
      </c>
      <c r="J31" s="34">
        <f>SUMIFS('Tourney History'!F:F,'Tourney History'!B:B,A31)</f>
        <v>16</v>
      </c>
      <c r="K31" s="2">
        <f>SUMIFS('Tourney History'!E:E,'Tourney History'!B:B,A31)-J31</f>
        <v>20</v>
      </c>
      <c r="L31" s="88">
        <f>LOOKUP(2, 1/('Tourney History'!$B:$B=A31), 'Tourney History'!$AB:$AB)</f>
        <v>0.46249999999999997</v>
      </c>
      <c r="M31" s="34">
        <f>SUMIFS('Tourney History'!H:H,'Tourney History'!B:B,A31)</f>
        <v>75</v>
      </c>
      <c r="N31" s="2">
        <f>SUMIFS('Tourney History'!G:G,'Tourney History'!B:B,A31)-M31</f>
        <v>83</v>
      </c>
      <c r="O31" s="88">
        <f>LOOKUP(2, 1/('Tourney History'!$B:$B=A31), 'Tourney History'!$AC:$AC)</f>
        <v>0.48249999999999998</v>
      </c>
      <c r="P31" s="2">
        <f>COUNTIFS('Tourney History'!$B:$B,$A$31,'Tourney History'!K:K, 1)</f>
        <v>1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0</v>
      </c>
      <c r="T31" s="2">
        <f>COUNTIFS('Tourney History'!$B:$B,$A$31,'Tourney History'!O:O, 1)</f>
        <v>1</v>
      </c>
      <c r="U31" s="2">
        <f>COUNTIFS('Tourney History'!$B:$B,$A$31,'Tourney History'!P:P, 1)</f>
        <v>1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3</v>
      </c>
      <c r="AC31" s="2">
        <f>COUNTIFS('Tourney History'!$B:$B,$A$31,'Tourney History'!X:X, 1)</f>
        <v>4</v>
      </c>
      <c r="AD31" s="2">
        <f>COUNTIFS('Tourney History'!$B:$B,$A$31,'Tourney History'!Y:Y, 1)</f>
        <v>2</v>
      </c>
      <c r="AE31" s="2">
        <f>COUNTIFS('Tourney History'!$B:$B,$A$31,'Tourney History'!Z:Z, 1)</f>
        <v>4</v>
      </c>
    </row>
    <row r="32" spans="1:31" ht="15.75" x14ac:dyDescent="0.25">
      <c r="A32" s="2" t="s">
        <v>155</v>
      </c>
      <c r="B32" s="97" t="s">
        <v>177</v>
      </c>
      <c r="C32" s="2" t="s">
        <v>79</v>
      </c>
      <c r="D32" s="34">
        <f>SUMIFS('Tourney History'!C:C,'Tourney History'!B:B,A32)</f>
        <v>80</v>
      </c>
      <c r="E32" s="4">
        <f>AVERAGEIFS('Tourney History'!C:C,'Tourney History'!B:B,A32)</f>
        <v>40</v>
      </c>
      <c r="F32" s="35">
        <f t="array" ref="F32">MAX(IF('Tourney History'!B:B=A32, 'Tourney History'!C:C))</f>
        <v>43</v>
      </c>
      <c r="G32" s="34">
        <f>COUNTIFS('Tourney History'!B:B,A32,'Tourney History'!D:D, 1)</f>
        <v>2</v>
      </c>
      <c r="H32" s="2">
        <f>COUNTIFS('Tourney History'!B:B,A32,'Tourney History'!D:D, 0)</f>
        <v>0</v>
      </c>
      <c r="I32" s="88">
        <f>LOOKUP(2, 1/('Tourney History'!$B:$B=A32), 'Tourney History'!$AD:$AD)</f>
        <v>1</v>
      </c>
      <c r="J32" s="34">
        <f>SUMIFS('Tourney History'!F:F,'Tourney History'!B:B,A32)</f>
        <v>6</v>
      </c>
      <c r="K32" s="2">
        <f>SUMIFS('Tourney History'!E:E,'Tourney History'!B:B,A32)-J32</f>
        <v>4</v>
      </c>
      <c r="L32" s="88">
        <f>LOOKUP(2, 1/('Tourney History'!$B:$B=A32), 'Tourney History'!$AB:$AB)</f>
        <v>0.6</v>
      </c>
      <c r="M32" s="34">
        <f>SUMIFS('Tourney History'!H:H,'Tourney History'!B:B,A32)</f>
        <v>23</v>
      </c>
      <c r="N32" s="2">
        <f>SUMIFS('Tourney History'!G:G,'Tourney History'!B:B,A32)-M32</f>
        <v>17</v>
      </c>
      <c r="O32" s="88">
        <f>LOOKUP(2, 1/('Tourney History'!$B:$B=A32), 'Tourney History'!$AC:$AC)</f>
        <v>0.57499999999999996</v>
      </c>
      <c r="P32" s="2">
        <f>COUNTIFS('Tourney History'!$B:$B,$A$32,'Tourney History'!K:K, 1)</f>
        <v>1</v>
      </c>
      <c r="Q32" s="2">
        <f>COUNTIFS('Tourney History'!$B:$B,$A$32,'Tourney History'!L:L, 1)</f>
        <v>1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2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0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6</v>
      </c>
      <c r="B33" s="2" t="s">
        <v>157</v>
      </c>
      <c r="C33" s="2" t="s">
        <v>79</v>
      </c>
      <c r="D33" s="34">
        <f>SUMIFS('Tourney History'!C:C,'Tourney History'!B:B,A33)</f>
        <v>227</v>
      </c>
      <c r="E33" s="4">
        <f>AVERAGEIFS('Tourney History'!C:C,'Tourney History'!B:B,A33)</f>
        <v>28.375</v>
      </c>
      <c r="F33" s="35">
        <f t="array" ref="F33">MAX(IF('Tourney History'!B:B=A33, 'Tourney History'!C:C))</f>
        <v>51</v>
      </c>
      <c r="G33" s="34">
        <f>COUNTIFS('Tourney History'!B:B,A33,'Tourney History'!D:D, 1)</f>
        <v>5</v>
      </c>
      <c r="H33" s="2">
        <f>COUNTIFS('Tourney History'!B:B,A33,'Tourney History'!D:D, 0)</f>
        <v>3</v>
      </c>
      <c r="I33" s="88">
        <f>LOOKUP(2, 1/('Tourney History'!$B:$B=A33), 'Tourney History'!$AD:$AD)</f>
        <v>0.625</v>
      </c>
      <c r="J33" s="34">
        <f>SUMIFS('Tourney History'!F:F,'Tourney History'!B:B,A33)</f>
        <v>20</v>
      </c>
      <c r="K33" s="2">
        <f>SUMIFS('Tourney History'!E:E,'Tourney History'!B:B,A33)-J33</f>
        <v>13</v>
      </c>
      <c r="L33" s="88">
        <f>LOOKUP(2, 1/('Tourney History'!$B:$B=A33), 'Tourney History'!$AB:$AB)</f>
        <v>0.64375000000000004</v>
      </c>
      <c r="M33" s="34">
        <f>SUMIFS('Tourney History'!H:H,'Tourney History'!B:B,A33)</f>
        <v>73</v>
      </c>
      <c r="N33" s="2">
        <f>SUMIFS('Tourney History'!G:G,'Tourney History'!B:B,A33)-M33</f>
        <v>67</v>
      </c>
      <c r="O33" s="88">
        <f>LOOKUP(2, 1/('Tourney History'!$B:$B=A33), 'Tourney History'!$AC:$AC)</f>
        <v>0.54249999999999998</v>
      </c>
      <c r="P33" s="2">
        <f>COUNTIFS('Tourney History'!$B:$B,$A$33,'Tourney History'!K:K, 1)</f>
        <v>0</v>
      </c>
      <c r="Q33" s="2">
        <f>COUNTIFS('Tourney History'!$B:$B,$A$33,'Tourney History'!L:L, 1)</f>
        <v>3</v>
      </c>
      <c r="R33" s="2">
        <f>COUNTIFS('Tourney History'!$B:$B,$A$33,'Tourney History'!M:M, 1)</f>
        <v>2</v>
      </c>
      <c r="S33" s="2">
        <f>COUNTIFS('Tourney History'!$B:$B,$A$33,'Tourney History'!N:N, 1)</f>
        <v>1</v>
      </c>
      <c r="T33" s="2">
        <f>COUNTIFS('Tourney History'!$B:$B,$A$33,'Tourney History'!O:O, 1)</f>
        <v>1</v>
      </c>
      <c r="U33" s="2">
        <f>COUNTIFS('Tourney History'!$B:$B,$A$33,'Tourney History'!P:P, 1)</f>
        <v>3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4</v>
      </c>
      <c r="AC33" s="2">
        <f>COUNTIFS('Tourney History'!$B:$B,$A$33,'Tourney History'!X:X, 1)</f>
        <v>1</v>
      </c>
      <c r="AD33" s="2">
        <f>COUNTIFS('Tourney History'!$B:$B,$A$33,'Tourney History'!Y:Y, 1)</f>
        <v>2</v>
      </c>
      <c r="AE33" s="2">
        <f>COUNTIFS('Tourney History'!$B:$B,$A$33,'Tourney History'!Z:Z, 1)</f>
        <v>2</v>
      </c>
    </row>
    <row r="34" spans="1:31" ht="15.75" x14ac:dyDescent="0.25">
      <c r="A34" s="2" t="s">
        <v>18</v>
      </c>
      <c r="B34" s="97" t="s">
        <v>177</v>
      </c>
      <c r="C34" s="2" t="s">
        <v>79</v>
      </c>
      <c r="D34" s="34">
        <f>SUMIFS('Tourney History'!C:C,'Tourney History'!B:B,A34)</f>
        <v>305</v>
      </c>
      <c r="E34" s="4">
        <f>AVERAGEIFS('Tourney History'!C:C,'Tourney History'!B:B,A34)</f>
        <v>33.888888888888886</v>
      </c>
      <c r="F34" s="35">
        <f t="array" ref="F34">MAX(IF('Tourney History'!B:B=A34, 'Tourney History'!C:C))</f>
        <v>55</v>
      </c>
      <c r="G34" s="34">
        <f>COUNTIFS('Tourney History'!B:B,A34,'Tourney History'!D:D, 1)</f>
        <v>4</v>
      </c>
      <c r="H34" s="2">
        <f>COUNTIFS('Tourney History'!B:B,A34,'Tourney History'!D:D, 0)</f>
        <v>5</v>
      </c>
      <c r="I34" s="88">
        <f>LOOKUP(2, 1/('Tourney History'!$B:$B=A34), 'Tourney History'!$AD:$AD)</f>
        <v>0.44444444444444442</v>
      </c>
      <c r="J34" s="34">
        <f>SUMIFS('Tourney History'!F:F,'Tourney History'!B:B,A34)</f>
        <v>19</v>
      </c>
      <c r="K34" s="2">
        <f>SUMIFS('Tourney History'!E:E,'Tourney History'!B:B,A34)-J34</f>
        <v>21</v>
      </c>
      <c r="L34" s="88">
        <f>LOOKUP(2, 1/('Tourney History'!$B:$B=A34), 'Tourney History'!$AB:$AB)</f>
        <v>0.47222222222222221</v>
      </c>
      <c r="M34" s="34">
        <f>SUMIFS('Tourney History'!H:H,'Tourney History'!B:B,A34)</f>
        <v>81</v>
      </c>
      <c r="N34" s="2">
        <f>SUMIFS('Tourney History'!G:G,'Tourney History'!B:B,A34)-M34</f>
        <v>85</v>
      </c>
      <c r="O34" s="88">
        <f>LOOKUP(2, 1/('Tourney History'!$B:$B=A34), 'Tourney History'!$AC:$AC)</f>
        <v>0.48666666666666664</v>
      </c>
      <c r="P34" s="2">
        <f>COUNTIFS('Tourney History'!$B:$B,$A$34,'Tourney History'!K:K, 1)</f>
        <v>2</v>
      </c>
      <c r="Q34" s="2">
        <f>COUNTIFS('Tourney History'!$B:$B,$A$34,'Tourney History'!L:L, 1)</f>
        <v>1</v>
      </c>
      <c r="R34" s="2">
        <f>COUNTIFS('Tourney History'!$B:$B,$A$34,'Tourney History'!M:M, 1)</f>
        <v>0</v>
      </c>
      <c r="S34" s="2">
        <f>COUNTIFS('Tourney History'!$B:$B,$A$34,'Tourney History'!N:N, 1)</f>
        <v>4</v>
      </c>
      <c r="T34" s="2">
        <f>COUNTIFS('Tourney History'!$B:$B,$A$34,'Tourney History'!O:O, 1)</f>
        <v>2</v>
      </c>
      <c r="U34" s="2">
        <f>COUNTIFS('Tourney History'!$B:$B,$A$34,'Tourney History'!P:P, 1)</f>
        <v>3</v>
      </c>
      <c r="V34" s="2">
        <f>COUNTIFS('Tourney History'!$B:$B,$A$34,'Tourney History'!Q:Q, 1)</f>
        <v>0</v>
      </c>
      <c r="W34" s="2">
        <f>COUNTIFS('Tourney History'!$B:$B,$A$34,'Tourney History'!R:R, 1)</f>
        <v>2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2</v>
      </c>
      <c r="AC34" s="2">
        <f>COUNTIFS('Tourney History'!$B:$B,$A$34,'Tourney History'!X:X, 1)</f>
        <v>2</v>
      </c>
      <c r="AD34" s="2">
        <f>COUNTIFS('Tourney History'!$B:$B,$A$34,'Tourney History'!Y:Y, 1)</f>
        <v>0</v>
      </c>
      <c r="AE34" s="2">
        <f>COUNTIFS('Tourney History'!$B:$B,$A$34,'Tourney History'!Z:Z, 1)</f>
        <v>1</v>
      </c>
    </row>
    <row r="35" spans="1:31" x14ac:dyDescent="0.25">
      <c r="A35" s="2" t="s">
        <v>113</v>
      </c>
      <c r="B35" s="2" t="s">
        <v>79</v>
      </c>
      <c r="C35" s="2" t="s">
        <v>79</v>
      </c>
      <c r="D35" s="34">
        <f>SUMIFS('Tourney History'!C:C,'Tourney History'!B:B,A35)</f>
        <v>49</v>
      </c>
      <c r="E35" s="4">
        <f>AVERAGEIFS('Tourney History'!C:C,'Tourney History'!B:B,A35)</f>
        <v>49</v>
      </c>
      <c r="F35" s="35">
        <f t="array" ref="F35">MAX(IF('Tourney History'!B:B=A35, 'Tourney History'!C:C))</f>
        <v>49</v>
      </c>
      <c r="G35" s="34">
        <f>COUNTIFS('Tourney History'!B:B,A35,'Tourney History'!D:D, 1)</f>
        <v>0</v>
      </c>
      <c r="H35" s="2">
        <f>COUNTIFS('Tourney History'!B:B,A35,'Tourney History'!D:D, 0)</f>
        <v>1</v>
      </c>
      <c r="I35" s="88">
        <f>LOOKUP(2, 1/('Tourney History'!$B:$B=A35), 'Tourney History'!$AD:$AD)</f>
        <v>0</v>
      </c>
      <c r="J35" s="34">
        <f>SUMIFS('Tourney History'!F:F,'Tourney History'!B:B,A35)</f>
        <v>2</v>
      </c>
      <c r="K35" s="2">
        <f>SUMIFS('Tourney History'!E:E,'Tourney History'!B:B,A35)-J35</f>
        <v>3</v>
      </c>
      <c r="L35" s="88">
        <f>LOOKUP(2, 1/('Tourney History'!$B:$B=A35), 'Tourney History'!$AB:$AB)</f>
        <v>0.4</v>
      </c>
      <c r="M35" s="34">
        <f>SUMIFS('Tourney History'!H:H,'Tourney History'!B:B,A35)</f>
        <v>10</v>
      </c>
      <c r="N35" s="2">
        <f>SUMIFS('Tourney History'!G:G,'Tourney History'!B:B,A35)-M35</f>
        <v>13</v>
      </c>
      <c r="O35" s="88">
        <f>LOOKUP(2, 1/('Tourney History'!$B:$B=A35), 'Tourney History'!$AC:$AC)</f>
        <v>0.43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0</v>
      </c>
      <c r="S35" s="2">
        <f>COUNTIFS('Tourney History'!$B:$B,$A$35,'Tourney History'!N:N, 1)</f>
        <v>1</v>
      </c>
      <c r="T35" s="2">
        <f>COUNTIFS('Tourney History'!$B:$B,$A$35,'Tourney History'!O:O, 1)</f>
        <v>0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0</v>
      </c>
      <c r="AE35" s="2">
        <f>COUNTIFS('Tourney History'!$B:$B,$A$35,'Tourney History'!Z:Z, 1)</f>
        <v>0</v>
      </c>
    </row>
    <row r="36" spans="1:31" x14ac:dyDescent="0.25">
      <c r="A36" s="2" t="s">
        <v>14</v>
      </c>
      <c r="B36" s="6" t="s">
        <v>124</v>
      </c>
      <c r="C36" s="6" t="s">
        <v>160</v>
      </c>
      <c r="D36" s="34">
        <f>SUMIFS('Tourney History'!C:C,'Tourney History'!B:B,A36)</f>
        <v>353</v>
      </c>
      <c r="E36" s="4">
        <f>AVERAGEIFS('Tourney History'!C:C,'Tourney History'!B:B,A36)</f>
        <v>39.222222222222221</v>
      </c>
      <c r="F36" s="35">
        <f t="array" ref="F36">MAX(IF('Tourney History'!B:B=A36, 'Tourney History'!C:C))</f>
        <v>56</v>
      </c>
      <c r="G36" s="34">
        <f>COUNTIFS('Tourney History'!B:B,A36,'Tourney History'!D:D, 1)</f>
        <v>5</v>
      </c>
      <c r="H36" s="2">
        <f>COUNTIFS('Tourney History'!B:B,A36,'Tourney History'!D:D, 0)</f>
        <v>4</v>
      </c>
      <c r="I36" s="88">
        <f>LOOKUP(2, 1/('Tourney History'!$B:$B=A36), 'Tourney History'!$AD:$AD)</f>
        <v>0.55555555555555558</v>
      </c>
      <c r="J36" s="34">
        <f>SUMIFS('Tourney History'!F:F,'Tourney History'!B:B,A36)</f>
        <v>20</v>
      </c>
      <c r="K36" s="2">
        <f>SUMIFS('Tourney History'!E:E,'Tourney History'!B:B,A36)-J36</f>
        <v>19</v>
      </c>
      <c r="L36" s="88">
        <f>LOOKUP(2, 1/('Tourney History'!$B:$B=A36), 'Tourney History'!$AB:$AB)</f>
        <v>0.52222222222222225</v>
      </c>
      <c r="M36" s="34">
        <f>SUMIFS('Tourney History'!H:H,'Tourney History'!B:B,A36)</f>
        <v>86</v>
      </c>
      <c r="N36" s="2">
        <f>SUMIFS('Tourney History'!G:G,'Tourney History'!B:B,A36)-M36</f>
        <v>82</v>
      </c>
      <c r="O36" s="88">
        <f>LOOKUP(2, 1/('Tourney History'!$B:$B=A36), 'Tourney History'!$AC:$AC)</f>
        <v>0.52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2</v>
      </c>
      <c r="S36" s="2">
        <f>COUNTIFS('Tourney History'!$B:$B,$A$36,'Tourney History'!N:N, 1)</f>
        <v>0</v>
      </c>
      <c r="T36" s="2">
        <f>COUNTIFS('Tourney History'!$B:$B,$A$36,'Tourney History'!O:O, 1)</f>
        <v>3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0</v>
      </c>
      <c r="AE36" s="2">
        <f>COUNTIFS('Tourney History'!$B:$B,$A$36,'Tourney History'!Z:Z, 1)</f>
        <v>3</v>
      </c>
    </row>
    <row r="37" spans="1:31" x14ac:dyDescent="0.25">
      <c r="A37" s="2" t="s">
        <v>70</v>
      </c>
      <c r="B37" s="6" t="s">
        <v>79</v>
      </c>
      <c r="C37" s="6" t="s">
        <v>79</v>
      </c>
      <c r="D37" s="34">
        <f>SUMIFS('Tourney History'!C:C,'Tourney History'!B:B,A37)</f>
        <v>71</v>
      </c>
      <c r="E37" s="4">
        <f>AVERAGEIFS('Tourney History'!C:C,'Tourney History'!B:B,A37)</f>
        <v>23.666666666666668</v>
      </c>
      <c r="F37" s="35">
        <f t="array" ref="F37">MAX(IF('Tourney History'!B:B=A37, 'Tourney History'!C:C))</f>
        <v>27</v>
      </c>
      <c r="G37" s="34">
        <f>COUNTIFS('Tourney History'!B:B,A37,'Tourney History'!D:D, 1)</f>
        <v>1</v>
      </c>
      <c r="H37" s="2">
        <f>COUNTIFS('Tourney History'!B:B,A37,'Tourney History'!D:D, 0)</f>
        <v>2</v>
      </c>
      <c r="I37" s="88">
        <f>LOOKUP(2, 1/('Tourney History'!$B:$B=A37), 'Tourney History'!$AD:$AD)</f>
        <v>0.33333333333333331</v>
      </c>
      <c r="J37" s="34">
        <f>SUMIFS('Tourney History'!F:F,'Tourney History'!B:B,A37)</f>
        <v>7</v>
      </c>
      <c r="K37" s="2">
        <f>SUMIFS('Tourney History'!E:E,'Tourney History'!B:B,A37)-J37</f>
        <v>8</v>
      </c>
      <c r="L37" s="88">
        <f>LOOKUP(2, 1/('Tourney History'!$B:$B=A37), 'Tourney History'!$AB:$AB)</f>
        <v>0.46666666666666662</v>
      </c>
      <c r="M37" s="34">
        <f>SUMIFS('Tourney History'!H:H,'Tourney History'!B:B,A37)</f>
        <v>32</v>
      </c>
      <c r="N37" s="2">
        <f>SUMIFS('Tourney History'!G:G,'Tourney History'!B:B,A37)-M37</f>
        <v>33</v>
      </c>
      <c r="O37" s="88">
        <f>LOOKUP(2, 1/('Tourney History'!$B:$B=A37), 'Tourney History'!$AC:$AC)</f>
        <v>0.49333333333333323</v>
      </c>
      <c r="P37" s="2">
        <f>COUNTIFS('Tourney History'!$B:$B,$A$37,'Tourney History'!K:K, 1)</f>
        <v>1</v>
      </c>
      <c r="Q37" s="2">
        <f>COUNTIFS('Tourney History'!$B:$B,$A$37,'Tourney History'!L:L, 1)</f>
        <v>0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1</v>
      </c>
      <c r="U37" s="2">
        <f>COUNTIFS('Tourney History'!$B:$B,$A$37,'Tourney History'!P:P, 1)</f>
        <v>0</v>
      </c>
      <c r="V37" s="2">
        <f>COUNTIFS('Tourney History'!$B:$B,$A$37,'Tourney History'!Q:Q, 1)</f>
        <v>0</v>
      </c>
      <c r="W37" s="2">
        <f>COUNTIFS('Tourney History'!$B:$B,$A$37,'Tourney History'!R:R, 1)</f>
        <v>1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0</v>
      </c>
      <c r="AC37" s="2">
        <f>COUNTIFS('Tourney History'!$B:$B,$A$37,'Tourney History'!X:X, 1)</f>
        <v>2</v>
      </c>
      <c r="AD37" s="2">
        <f>COUNTIFS('Tourney History'!$B:$B,$A$37,'Tourney History'!Y:Y, 1)</f>
        <v>0</v>
      </c>
      <c r="AE37" s="2">
        <f>COUNTIFS('Tourney History'!$B:$B,$A$37,'Tourney History'!Z:Z, 1)</f>
        <v>1</v>
      </c>
    </row>
    <row r="38" spans="1:31" x14ac:dyDescent="0.25">
      <c r="A38" s="2" t="s">
        <v>4</v>
      </c>
      <c r="B38" s="6" t="s">
        <v>176</v>
      </c>
      <c r="C38" s="2" t="s">
        <v>79</v>
      </c>
      <c r="D38" s="34">
        <f>SUMIFS('Tourney History'!C:C,'Tourney History'!B:B,A38)</f>
        <v>139</v>
      </c>
      <c r="E38" s="4">
        <f>AVERAGEIFS('Tourney History'!C:C,'Tourney History'!B:B,A38)</f>
        <v>27.8</v>
      </c>
      <c r="F38" s="35">
        <f t="array" ref="F38">MAX(IF('Tourney History'!B:B=A38, 'Tourney History'!C:C))</f>
        <v>46</v>
      </c>
      <c r="G38" s="34">
        <f>COUNTIFS('Tourney History'!B:B,A38,'Tourney History'!D:D, 1)</f>
        <v>4</v>
      </c>
      <c r="H38" s="2">
        <f>COUNTIFS('Tourney History'!B:B,A38,'Tourney History'!D:D, 0)</f>
        <v>1</v>
      </c>
      <c r="I38" s="88">
        <f>LOOKUP(2, 1/('Tourney History'!$B:$B=A38), 'Tourney History'!$AD:$AD)</f>
        <v>0.8</v>
      </c>
      <c r="J38" s="34">
        <f>SUMIFS('Tourney History'!F:F,'Tourney History'!B:B,A38)</f>
        <v>12</v>
      </c>
      <c r="K38" s="2">
        <f>SUMIFS('Tourney History'!E:E,'Tourney History'!B:B,A38)-J38</f>
        <v>10</v>
      </c>
      <c r="L38" s="88">
        <f>LOOKUP(2, 1/('Tourney History'!$B:$B=A38), 'Tourney History'!$AB:$AB)</f>
        <v>0.51</v>
      </c>
      <c r="M38" s="34">
        <f>SUMIFS('Tourney History'!H:H,'Tourney History'!B:B,A38)</f>
        <v>47</v>
      </c>
      <c r="N38" s="2">
        <f>SUMIFS('Tourney History'!G:G,'Tourney History'!B:B,A38)-M38</f>
        <v>42</v>
      </c>
      <c r="O38" s="88">
        <f>LOOKUP(2, 1/('Tourney History'!$B:$B=A38), 'Tourney History'!$AC:$AC)</f>
        <v>0.49799999999999994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1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2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0</v>
      </c>
      <c r="AC38" s="2">
        <f>COUNTIFS('Tourney History'!$B:$B,$A$38,'Tourney History'!X:X, 1)</f>
        <v>0</v>
      </c>
      <c r="AD38" s="2">
        <f>COUNTIFS('Tourney History'!$B:$B,$A$38,'Tourney History'!Y:Y, 1)</f>
        <v>1</v>
      </c>
      <c r="AE38" s="2">
        <f>COUNTIFS('Tourney History'!$B:$B,$A$38,'Tourney History'!Z:Z, 1)</f>
        <v>1</v>
      </c>
    </row>
    <row r="39" spans="1:31" x14ac:dyDescent="0.25">
      <c r="A39" s="2" t="s">
        <v>55</v>
      </c>
      <c r="B39" s="2" t="s">
        <v>79</v>
      </c>
      <c r="C39" s="2" t="s">
        <v>79</v>
      </c>
      <c r="D39" s="34">
        <f>SUMIFS('Tourney History'!C:C,'Tourney History'!B:B,A39)</f>
        <v>18</v>
      </c>
      <c r="E39" s="4">
        <f>AVERAGEIFS('Tourney History'!C:C,'Tourney History'!B:B,A39)</f>
        <v>9</v>
      </c>
      <c r="F39" s="35">
        <f t="array" ref="F39">MAX(IF('Tourney History'!B:B=A39, 'Tourney History'!C:C))</f>
        <v>12</v>
      </c>
      <c r="G39" s="34">
        <f>COUNTIFS('Tourney History'!B:B,A39,'Tourney History'!D:D, 1)</f>
        <v>1</v>
      </c>
      <c r="H39" s="2">
        <f>COUNTIFS('Tourney History'!B:B,A39,'Tourney History'!D:D, 0)</f>
        <v>1</v>
      </c>
      <c r="I39" s="88">
        <f>LOOKUP(2, 1/('Tourney History'!$B:$B=A39), 'Tourney History'!$AD:$AD)</f>
        <v>0.5</v>
      </c>
      <c r="J39" s="34">
        <f>SUMIFS('Tourney History'!F:F,'Tourney History'!B:B,A39)</f>
        <v>4</v>
      </c>
      <c r="K39" s="2">
        <f>SUMIFS('Tourney History'!E:E,'Tourney History'!B:B,A39)-J39</f>
        <v>5</v>
      </c>
      <c r="L39" s="88">
        <f>LOOKUP(2, 1/('Tourney History'!$B:$B=A39), 'Tourney History'!$AB:$AB)</f>
        <v>0.42499999999999999</v>
      </c>
      <c r="M39" s="34">
        <f>SUMIFS('Tourney History'!H:H,'Tourney History'!B:B,A39)</f>
        <v>18</v>
      </c>
      <c r="N39" s="2">
        <f>SUMIFS('Tourney History'!G:G,'Tourney History'!B:B,A39)-M39</f>
        <v>19</v>
      </c>
      <c r="O39" s="88">
        <f>LOOKUP(2, 1/('Tourney History'!$B:$B=A39), 'Tourney History'!$AC:$AC)</f>
        <v>0.47499999999999998</v>
      </c>
      <c r="P39" s="2">
        <f>COUNTIFS('Tourney History'!$B:$B,$A$39,'Tourney History'!K:K, 1)</f>
        <v>0</v>
      </c>
      <c r="Q39" s="2">
        <f>COUNTIFS('Tourney History'!$B:$B,$A$39,'Tourney History'!L:L, 1)</f>
        <v>0</v>
      </c>
      <c r="R39" s="2">
        <f>COUNTIFS('Tourney History'!$B:$B,$A$39,'Tourney History'!M:M, 1)</f>
        <v>0</v>
      </c>
      <c r="S39" s="2">
        <f>COUNTIFS('Tourney History'!$B:$B,$A$39,'Tourney History'!N:N, 1)</f>
        <v>1</v>
      </c>
      <c r="T39" s="2">
        <f>COUNTIFS('Tourney History'!$B:$B,$A$39,'Tourney History'!O:O, 1)</f>
        <v>1</v>
      </c>
      <c r="U39" s="2">
        <f>COUNTIFS('Tourney History'!$B:$B,$A$39,'Tourney History'!P:P, 1)</f>
        <v>0</v>
      </c>
      <c r="V39" s="2">
        <f>COUNTIFS('Tourney History'!$B:$B,$A$39,'Tourney History'!Q:Q, 1)</f>
        <v>1</v>
      </c>
      <c r="W39" s="2">
        <f>COUNTIFS('Tourney History'!$B:$B,$A$39,'Tourney History'!R:R, 1)</f>
        <v>0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0</v>
      </c>
      <c r="AC39" s="2">
        <f>COUNTIFS('Tourney History'!$B:$B,$A$39,'Tourney History'!X:X, 1)</f>
        <v>1</v>
      </c>
      <c r="AD39" s="2">
        <f>COUNTIFS('Tourney History'!$B:$B,$A$39,'Tourney History'!Y:Y, 1)</f>
        <v>0</v>
      </c>
      <c r="AE39" s="2">
        <f>COUNTIFS('Tourney History'!$B:$B,$A$39,'Tourney History'!Z:Z, 1)</f>
        <v>0</v>
      </c>
    </row>
  </sheetData>
  <autoFilter ref="A1:AE39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1" t="s">
        <v>7</v>
      </c>
      <c r="D1" s="102"/>
      <c r="E1" s="103"/>
      <c r="F1" s="101" t="s">
        <v>22</v>
      </c>
      <c r="G1" s="102"/>
      <c r="H1" s="103"/>
      <c r="I1" s="101" t="s">
        <v>16</v>
      </c>
      <c r="J1" s="102"/>
      <c r="K1" s="103"/>
      <c r="L1" s="101" t="s">
        <v>23</v>
      </c>
      <c r="M1" s="102"/>
      <c r="N1" s="103"/>
      <c r="O1" s="101" t="s">
        <v>64</v>
      </c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4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4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4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4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4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4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4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4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1" t="s">
        <v>7</v>
      </c>
      <c r="D15" s="102"/>
      <c r="E15" s="103"/>
      <c r="F15" s="101" t="s">
        <v>22</v>
      </c>
      <c r="G15" s="102"/>
      <c r="H15" s="103"/>
      <c r="I15" s="101" t="s">
        <v>16</v>
      </c>
      <c r="J15" s="102"/>
      <c r="K15" s="103"/>
      <c r="L15" s="101" t="s">
        <v>23</v>
      </c>
      <c r="M15" s="102"/>
      <c r="N15" s="103"/>
      <c r="O15" s="101" t="s">
        <v>64</v>
      </c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0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0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0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0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0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0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0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0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2026-04-30T01:49:45Z</dcterms:modified>
</cp:coreProperties>
</file>