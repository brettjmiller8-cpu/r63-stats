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427EF0F6-C216-44E4-A318-1B39F26735B0}" xr6:coauthVersionLast="47" xr6:coauthVersionMax="47" xr10:uidLastSave="{00000000-0000-0000-0000-000000000000}"/>
  <bookViews>
    <workbookView xWindow="-120" yWindow="-120" windowWidth="38640" windowHeight="21120" activeTab="3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History'!$A$1:$AJ$750</definedName>
    <definedName name="_xlnm._FilterDatabase" localSheetId="11" hidden="1">'BA History S2'!$A$1:$AJ$71</definedName>
    <definedName name="_xlnm._FilterDatabase" localSheetId="10" hidden="1">'BA S2'!$A$1:$AJ$28</definedName>
    <definedName name="_xlnm._FilterDatabase" localSheetId="7" hidden="1">'BA v2'!$A$1:$AJ$56</definedName>
    <definedName name="_xlnm._FilterDatabase" localSheetId="1" hidden="1">'OB History'!$A$1:$AD$602</definedName>
    <definedName name="_xlnm._FilterDatabase" localSheetId="3" hidden="1">'OB History S2'!$A$1:$AD$478</definedName>
    <definedName name="_xlnm._FilterDatabase" localSheetId="2" hidden="1">'OB Season 2'!$A$1:$AE$37</definedName>
    <definedName name="_xlnm._FilterDatabase" localSheetId="4" hidden="1">'Old Bow'!$A$1:$AD$37</definedName>
    <definedName name="_xlnm._FilterDatabase" localSheetId="0" hidden="1">'Old Bow v2'!$A$1:$AE$49</definedName>
    <definedName name="_xlnm._FilterDatabase" localSheetId="12" hidden="1">'Tourney History'!$A$1:$AD$159</definedName>
    <definedName name="_xlnm._FilterDatabase" localSheetId="13" hidden="1">'Tourney Stats'!$A$1:$AE$36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P15" i="16"/>
  <c r="Q15" i="16"/>
  <c r="R15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O15" i="16"/>
  <c r="C15" i="16"/>
  <c r="D15" i="16"/>
  <c r="E15" i="16" a="1"/>
  <c r="E15" i="16" s="1"/>
  <c r="F15" i="16"/>
  <c r="G15" i="16"/>
  <c r="H15" i="16"/>
  <c r="I15" i="16"/>
  <c r="J15" i="16" s="1"/>
  <c r="K15" i="16"/>
  <c r="L15" i="16"/>
  <c r="M15" i="16" s="1"/>
  <c r="N15" i="16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O31" i="12"/>
  <c r="L31" i="12"/>
  <c r="M31" i="12" s="1"/>
  <c r="N31" i="12"/>
  <c r="L30" i="12"/>
  <c r="C31" i="12"/>
  <c r="D31" i="12"/>
  <c r="E31" i="12" a="1"/>
  <c r="E31" i="12" s="1"/>
  <c r="F31" i="12"/>
  <c r="G31" i="12"/>
  <c r="H31" i="12"/>
  <c r="I31" i="12"/>
  <c r="J31" i="12" s="1"/>
  <c r="K31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Q27" i="13"/>
  <c r="R27" i="13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P27" i="13"/>
  <c r="D27" i="13"/>
  <c r="E27" i="13"/>
  <c r="F27" i="13" a="1"/>
  <c r="F27" i="13" s="1"/>
  <c r="G27" i="13"/>
  <c r="H27" i="13"/>
  <c r="I27" i="13"/>
  <c r="J27" i="13"/>
  <c r="K27" i="13" s="1"/>
  <c r="L27" i="13"/>
  <c r="M27" i="13"/>
  <c r="N27" i="13" s="1"/>
  <c r="O27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Q20" i="13"/>
  <c r="R20" i="13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P20" i="13"/>
  <c r="D20" i="13"/>
  <c r="E20" i="13"/>
  <c r="F20" i="13" a="1"/>
  <c r="F20" i="13" s="1"/>
  <c r="G20" i="13"/>
  <c r="H20" i="13"/>
  <c r="I20" i="13"/>
  <c r="J20" i="13"/>
  <c r="K20" i="13" s="1"/>
  <c r="L20" i="13"/>
  <c r="M20" i="13"/>
  <c r="N20" i="13" s="1"/>
  <c r="O20" i="13"/>
  <c r="Q17" i="13"/>
  <c r="R17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Q18" i="13"/>
  <c r="R18" i="13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Q19" i="13"/>
  <c r="R19" i="13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P19" i="13"/>
  <c r="P18" i="13"/>
  <c r="P17" i="13"/>
  <c r="P19" i="16"/>
  <c r="Q19" i="16"/>
  <c r="R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O19" i="16"/>
  <c r="C19" i="16"/>
  <c r="D19" i="16"/>
  <c r="E19" i="16" a="1"/>
  <c r="E19" i="16" s="1"/>
  <c r="F19" i="16"/>
  <c r="G19" i="16"/>
  <c r="H19" i="16"/>
  <c r="I19" i="16"/>
  <c r="J19" i="16" s="1"/>
  <c r="K19" i="16"/>
  <c r="L19" i="16"/>
  <c r="M19" i="16"/>
  <c r="N19" i="16"/>
  <c r="P13" i="16"/>
  <c r="Q13" i="16"/>
  <c r="R13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O13" i="16"/>
  <c r="C13" i="16"/>
  <c r="D13" i="16"/>
  <c r="E13" i="16" a="1"/>
  <c r="E13" i="16" s="1"/>
  <c r="F13" i="16"/>
  <c r="G13" i="16"/>
  <c r="I13" i="16"/>
  <c r="J13" i="16" s="1"/>
  <c r="L13" i="16"/>
  <c r="M13" i="16" s="1"/>
  <c r="N13" i="16"/>
  <c r="P7" i="16"/>
  <c r="Q7" i="16"/>
  <c r="R7" i="16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O7" i="16"/>
  <c r="C7" i="16"/>
  <c r="D7" i="16"/>
  <c r="E7" i="16" a="1"/>
  <c r="E7" i="16" s="1"/>
  <c r="F7" i="16"/>
  <c r="G7" i="16"/>
  <c r="H7" i="16"/>
  <c r="I7" i="16"/>
  <c r="J7" i="16" s="1"/>
  <c r="K7" i="16"/>
  <c r="L7" i="16"/>
  <c r="M7" i="16" s="1"/>
  <c r="N7" i="16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K13" i="16" s="1"/>
  <c r="AI56" i="17"/>
  <c r="AJ56" i="17"/>
  <c r="H13" i="16" s="1"/>
  <c r="AG57" i="17"/>
  <c r="AH57" i="17"/>
  <c r="AI57" i="17"/>
  <c r="AJ57" i="17"/>
  <c r="AG58" i="17"/>
  <c r="AH58" i="17"/>
  <c r="AI58" i="17"/>
  <c r="AJ58" i="17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P14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P11" i="19"/>
  <c r="D3" i="19"/>
  <c r="D2" i="19"/>
  <c r="E3" i="19"/>
  <c r="F3" i="19" a="1"/>
  <c r="F3" i="19" s="1"/>
  <c r="G3" i="19"/>
  <c r="H3" i="19"/>
  <c r="J3" i="19"/>
  <c r="K3" i="19" s="1"/>
  <c r="M3" i="19"/>
  <c r="N3" i="19" s="1"/>
  <c r="D4" i="19"/>
  <c r="E4" i="19"/>
  <c r="F4" i="19" a="1"/>
  <c r="F4" i="19" s="1"/>
  <c r="G4" i="19"/>
  <c r="H4" i="19"/>
  <c r="I4" i="19"/>
  <c r="J4" i="19"/>
  <c r="K4" i="19" s="1"/>
  <c r="L4" i="19"/>
  <c r="M4" i="19"/>
  <c r="N4" i="19" s="1"/>
  <c r="O4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J6" i="19"/>
  <c r="K6" i="19" s="1"/>
  <c r="M6" i="19"/>
  <c r="N6" i="19"/>
  <c r="D7" i="19"/>
  <c r="E7" i="19"/>
  <c r="F7" i="19" a="1"/>
  <c r="F7" i="19" s="1"/>
  <c r="G7" i="19"/>
  <c r="H7" i="19"/>
  <c r="J7" i="19"/>
  <c r="K7" i="19" s="1"/>
  <c r="M7" i="19"/>
  <c r="N7" i="19" s="1"/>
  <c r="D8" i="19"/>
  <c r="E8" i="19"/>
  <c r="F8" i="19" a="1"/>
  <c r="F8" i="19" s="1"/>
  <c r="G8" i="19"/>
  <c r="H8" i="19"/>
  <c r="I8" i="19"/>
  <c r="J8" i="19"/>
  <c r="K8" i="19" s="1"/>
  <c r="L8" i="19"/>
  <c r="M8" i="19"/>
  <c r="N8" i="19" s="1"/>
  <c r="O8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J10" i="19"/>
  <c r="K10" i="19" s="1"/>
  <c r="M10" i="19"/>
  <c r="N10" i="19" s="1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/>
  <c r="M12" i="19"/>
  <c r="N12" i="19" s="1"/>
  <c r="D13" i="19"/>
  <c r="E13" i="19"/>
  <c r="F13" i="19" a="1"/>
  <c r="F13" i="19" s="1"/>
  <c r="G13" i="19"/>
  <c r="H13" i="19"/>
  <c r="I13" i="19"/>
  <c r="J13" i="19"/>
  <c r="K13" i="19" s="1"/>
  <c r="L13" i="19"/>
  <c r="M13" i="19"/>
  <c r="N13" i="19" s="1"/>
  <c r="O13" i="19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J15" i="19"/>
  <c r="K15" i="19" s="1"/>
  <c r="M15" i="19"/>
  <c r="N15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J17" i="19"/>
  <c r="K17" i="19" s="1"/>
  <c r="M17" i="19"/>
  <c r="N17" i="19"/>
  <c r="D18" i="19"/>
  <c r="E18" i="19"/>
  <c r="F18" i="19" a="1"/>
  <c r="F18" i="19" s="1"/>
  <c r="G18" i="19"/>
  <c r="H18" i="19"/>
  <c r="J18" i="19"/>
  <c r="K18" i="19"/>
  <c r="M18" i="19"/>
  <c r="N18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O27" i="19"/>
  <c r="D28" i="19"/>
  <c r="E28" i="19"/>
  <c r="F28" i="19" a="1"/>
  <c r="F28" i="19" s="1"/>
  <c r="G28" i="19"/>
  <c r="H28" i="19"/>
  <c r="J28" i="19"/>
  <c r="K28" i="19"/>
  <c r="M28" i="19"/>
  <c r="N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/>
  <c r="M30" i="19"/>
  <c r="N30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D32" i="19"/>
  <c r="E32" i="19"/>
  <c r="F32" i="19" a="1"/>
  <c r="F32" i="19" s="1"/>
  <c r="G32" i="19"/>
  <c r="H32" i="19"/>
  <c r="J32" i="19"/>
  <c r="K32" i="19" s="1"/>
  <c r="L32" i="19"/>
  <c r="M32" i="19"/>
  <c r="N32" i="19" s="1"/>
  <c r="D33" i="19"/>
  <c r="E33" i="19"/>
  <c r="F33" i="19" a="1"/>
  <c r="F33" i="19" s="1"/>
  <c r="G33" i="19"/>
  <c r="H33" i="19"/>
  <c r="I33" i="19"/>
  <c r="J33" i="19"/>
  <c r="K33" i="19"/>
  <c r="L33" i="19"/>
  <c r="M33" i="19"/>
  <c r="N33" i="19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 s="1"/>
  <c r="O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L24" i="19"/>
  <c r="O24" i="19"/>
  <c r="I24" i="19"/>
  <c r="O32" i="19"/>
  <c r="I32" i="19"/>
  <c r="L6" i="19"/>
  <c r="O6" i="19"/>
  <c r="I6" i="19"/>
  <c r="O34" i="19"/>
  <c r="I34" i="19"/>
  <c r="L3" i="19"/>
  <c r="O3" i="19"/>
  <c r="I3" i="19"/>
  <c r="L15" i="19"/>
  <c r="O15" i="19"/>
  <c r="I15" i="19"/>
  <c r="L18" i="19"/>
  <c r="O18" i="19"/>
  <c r="I18" i="19"/>
  <c r="L27" i="19"/>
  <c r="I27" i="19"/>
  <c r="L28" i="19"/>
  <c r="O28" i="19"/>
  <c r="I28" i="19"/>
  <c r="L30" i="19"/>
  <c r="O30" i="19"/>
  <c r="I30" i="19"/>
  <c r="L29" i="19"/>
  <c r="O29" i="19"/>
  <c r="I29" i="19"/>
  <c r="L10" i="19"/>
  <c r="O10" i="19"/>
  <c r="I10" i="19"/>
  <c r="L7" i="19"/>
  <c r="O7" i="19"/>
  <c r="I7" i="19"/>
  <c r="L22" i="19"/>
  <c r="O22" i="19"/>
  <c r="I22" i="19"/>
  <c r="L21" i="19"/>
  <c r="O21" i="19"/>
  <c r="I21" i="19"/>
  <c r="L26" i="19"/>
  <c r="O26" i="19"/>
  <c r="I26" i="19"/>
  <c r="L17" i="19"/>
  <c r="O17" i="19"/>
  <c r="I17" i="19"/>
  <c r="L12" i="19"/>
  <c r="O12" i="19"/>
  <c r="I12" i="19"/>
  <c r="L11" i="19"/>
  <c r="O11" i="19"/>
  <c r="I11" i="19"/>
  <c r="L25" i="19"/>
  <c r="O25" i="19"/>
  <c r="I25" i="19"/>
  <c r="AA2" i="18"/>
  <c r="AB2" i="18"/>
  <c r="AC2" i="18"/>
  <c r="AD2" i="18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P2" i="11"/>
  <c r="P2" i="13"/>
  <c r="Q38" i="13"/>
  <c r="R38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P38" i="13"/>
  <c r="Q37" i="13"/>
  <c r="R37" i="13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P37" i="13"/>
  <c r="Q11" i="13"/>
  <c r="R11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P11" i="13"/>
  <c r="D11" i="13"/>
  <c r="E11" i="13"/>
  <c r="F11" i="13" a="1"/>
  <c r="F11" i="13" s="1"/>
  <c r="G11" i="13"/>
  <c r="H11" i="13"/>
  <c r="I11" i="13"/>
  <c r="J11" i="13"/>
  <c r="K11" i="13" s="1"/>
  <c r="L11" i="13"/>
  <c r="M11" i="13"/>
  <c r="N11" i="13" s="1"/>
  <c r="O11" i="13"/>
  <c r="Q19" i="11"/>
  <c r="R19" i="11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P19" i="11"/>
  <c r="D19" i="11"/>
  <c r="E19" i="11"/>
  <c r="F19" i="11" a="1"/>
  <c r="F19" i="11" s="1"/>
  <c r="G19" i="11"/>
  <c r="H19" i="11"/>
  <c r="I19" i="11"/>
  <c r="J19" i="11"/>
  <c r="K19" i="11" s="1"/>
  <c r="L19" i="11"/>
  <c r="M19" i="11"/>
  <c r="N19" i="11" s="1"/>
  <c r="O19" i="11"/>
  <c r="Q21" i="13"/>
  <c r="R21" i="13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P21" i="13"/>
  <c r="D21" i="13"/>
  <c r="E21" i="13"/>
  <c r="F21" i="13" a="1"/>
  <c r="F21" i="13" s="1"/>
  <c r="G21" i="13"/>
  <c r="H21" i="13"/>
  <c r="I21" i="13"/>
  <c r="J21" i="13"/>
  <c r="K21" i="13" s="1"/>
  <c r="L21" i="13"/>
  <c r="M21" i="13"/>
  <c r="N21" i="13" s="1"/>
  <c r="O21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P7" i="13"/>
  <c r="D7" i="13"/>
  <c r="E7" i="13"/>
  <c r="F7" i="13" a="1"/>
  <c r="F7" i="13" s="1"/>
  <c r="G7" i="13"/>
  <c r="H7" i="13"/>
  <c r="J7" i="13"/>
  <c r="K7" i="13" s="1"/>
  <c r="M7" i="13"/>
  <c r="N7" i="13" s="1"/>
  <c r="Q12" i="13"/>
  <c r="R12" i="13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P12" i="13"/>
  <c r="D12" i="13"/>
  <c r="E12" i="13"/>
  <c r="F12" i="13" a="1"/>
  <c r="F12" i="13" s="1"/>
  <c r="G12" i="13"/>
  <c r="H12" i="13"/>
  <c r="I12" i="13"/>
  <c r="J12" i="13"/>
  <c r="K12" i="13" s="1"/>
  <c r="L12" i="13"/>
  <c r="M12" i="13"/>
  <c r="N12" i="13" s="1"/>
  <c r="O12" i="13"/>
  <c r="D13" i="13"/>
  <c r="E13" i="13"/>
  <c r="F13" i="13" a="1"/>
  <c r="F13" i="13" s="1"/>
  <c r="G13" i="13"/>
  <c r="H13" i="13"/>
  <c r="J13" i="13"/>
  <c r="K13" i="13"/>
  <c r="M13" i="13"/>
  <c r="N13" i="13" s="1"/>
  <c r="P13" i="13"/>
  <c r="Q13" i="13"/>
  <c r="R13" i="13"/>
  <c r="S13" i="13"/>
  <c r="T13" i="13"/>
  <c r="U13" i="13"/>
  <c r="V13" i="13"/>
  <c r="W13" i="13"/>
  <c r="X13" i="13"/>
  <c r="Y13" i="13"/>
  <c r="Z13" i="13"/>
  <c r="AA13" i="13"/>
  <c r="D14" i="13"/>
  <c r="E14" i="13"/>
  <c r="F14" i="13" a="1"/>
  <c r="F14" i="13" s="1"/>
  <c r="G14" i="13"/>
  <c r="H14" i="13"/>
  <c r="I14" i="13"/>
  <c r="J14" i="13"/>
  <c r="K14" i="13" s="1"/>
  <c r="L14" i="13"/>
  <c r="M14" i="13"/>
  <c r="N14" i="13" s="1"/>
  <c r="O14" i="13"/>
  <c r="P14" i="13"/>
  <c r="Q14" i="13"/>
  <c r="R14" i="13"/>
  <c r="S14" i="13"/>
  <c r="T14" i="13"/>
  <c r="U14" i="13"/>
  <c r="V14" i="13"/>
  <c r="W14" i="13"/>
  <c r="X14" i="13"/>
  <c r="Y14" i="13"/>
  <c r="Z14" i="13"/>
  <c r="AA14" i="13"/>
  <c r="D15" i="13"/>
  <c r="E15" i="13"/>
  <c r="F15" i="13" a="1"/>
  <c r="F15" i="13" s="1"/>
  <c r="G15" i="13"/>
  <c r="H15" i="13"/>
  <c r="J15" i="13"/>
  <c r="K15" i="13" s="1"/>
  <c r="M15" i="13"/>
  <c r="N15" i="13" s="1"/>
  <c r="P15" i="13"/>
  <c r="Q15" i="13"/>
  <c r="R15" i="13"/>
  <c r="S15" i="13"/>
  <c r="T15" i="13"/>
  <c r="U15" i="13"/>
  <c r="V15" i="13"/>
  <c r="W15" i="13"/>
  <c r="X15" i="13"/>
  <c r="Y15" i="13"/>
  <c r="Z15" i="13"/>
  <c r="AA15" i="13"/>
  <c r="D16" i="13"/>
  <c r="E16" i="13"/>
  <c r="F16" i="13" a="1"/>
  <c r="F16" i="13" s="1"/>
  <c r="G16" i="13"/>
  <c r="H16" i="13"/>
  <c r="J16" i="13"/>
  <c r="K16" i="13" s="1"/>
  <c r="M16" i="13"/>
  <c r="N16" i="13" s="1"/>
  <c r="P16" i="13"/>
  <c r="Q16" i="13"/>
  <c r="R16" i="13"/>
  <c r="S16" i="13"/>
  <c r="T16" i="13"/>
  <c r="U16" i="13"/>
  <c r="V16" i="13"/>
  <c r="W16" i="13"/>
  <c r="X16" i="13"/>
  <c r="Y16" i="13"/>
  <c r="Z16" i="13"/>
  <c r="AA16" i="13"/>
  <c r="D18" i="13"/>
  <c r="E18" i="13"/>
  <c r="F18" i="13" a="1"/>
  <c r="F18" i="13" s="1"/>
  <c r="G18" i="13"/>
  <c r="H18" i="13"/>
  <c r="I18" i="13"/>
  <c r="J18" i="13"/>
  <c r="K18" i="13" s="1"/>
  <c r="L18" i="13"/>
  <c r="M18" i="13"/>
  <c r="N18" i="13" s="1"/>
  <c r="O18" i="13"/>
  <c r="D19" i="13"/>
  <c r="E19" i="13"/>
  <c r="F19" i="13" a="1"/>
  <c r="F19" i="13" s="1"/>
  <c r="G19" i="13"/>
  <c r="H19" i="13"/>
  <c r="I19" i="13"/>
  <c r="J19" i="13"/>
  <c r="K19" i="13" s="1"/>
  <c r="L19" i="13"/>
  <c r="M19" i="13"/>
  <c r="N19" i="13" s="1"/>
  <c r="O19" i="13"/>
  <c r="D17" i="13"/>
  <c r="E17" i="13"/>
  <c r="F17" i="13" a="1"/>
  <c r="F17" i="13" s="1"/>
  <c r="G17" i="13"/>
  <c r="H17" i="13"/>
  <c r="J17" i="13"/>
  <c r="K17" i="13" s="1"/>
  <c r="M17" i="13"/>
  <c r="N17" i="13" s="1"/>
  <c r="D22" i="13"/>
  <c r="E22" i="13"/>
  <c r="F22" i="13" a="1"/>
  <c r="F22" i="13" s="1"/>
  <c r="G22" i="13"/>
  <c r="H22" i="13"/>
  <c r="J22" i="13"/>
  <c r="K22" i="13" s="1"/>
  <c r="M22" i="13"/>
  <c r="N22" i="13" s="1"/>
  <c r="P22" i="13"/>
  <c r="Q22" i="13"/>
  <c r="R22" i="13"/>
  <c r="S22" i="13"/>
  <c r="T22" i="13"/>
  <c r="U22" i="13"/>
  <c r="V22" i="13"/>
  <c r="W22" i="13"/>
  <c r="X22" i="13"/>
  <c r="Y22" i="13"/>
  <c r="Z22" i="13"/>
  <c r="AA22" i="13"/>
  <c r="D23" i="13"/>
  <c r="E23" i="13"/>
  <c r="F23" i="13" a="1"/>
  <c r="F23" i="13" s="1"/>
  <c r="G23" i="13"/>
  <c r="H23" i="13"/>
  <c r="J23" i="13"/>
  <c r="K23" i="13" s="1"/>
  <c r="M23" i="13"/>
  <c r="N23" i="13" s="1"/>
  <c r="P23" i="13"/>
  <c r="Q23" i="13"/>
  <c r="R23" i="13"/>
  <c r="S23" i="13"/>
  <c r="T23" i="13"/>
  <c r="U23" i="13"/>
  <c r="V23" i="13"/>
  <c r="W23" i="13"/>
  <c r="X23" i="13"/>
  <c r="Y23" i="13"/>
  <c r="Z23" i="13"/>
  <c r="AA23" i="13"/>
  <c r="D24" i="13"/>
  <c r="E24" i="13"/>
  <c r="F24" i="13" a="1"/>
  <c r="F24" i="13" s="1"/>
  <c r="G24" i="13"/>
  <c r="H24" i="13"/>
  <c r="I24" i="13"/>
  <c r="J24" i="13"/>
  <c r="K24" i="13" s="1"/>
  <c r="L24" i="13"/>
  <c r="M24" i="13"/>
  <c r="N24" i="13" s="1"/>
  <c r="O24" i="13"/>
  <c r="P24" i="13"/>
  <c r="Q24" i="13"/>
  <c r="R24" i="13"/>
  <c r="S24" i="13"/>
  <c r="T24" i="13"/>
  <c r="U24" i="13"/>
  <c r="V24" i="13"/>
  <c r="W24" i="13"/>
  <c r="X24" i="13"/>
  <c r="Y24" i="13"/>
  <c r="Z24" i="13"/>
  <c r="AA24" i="13"/>
  <c r="D25" i="13"/>
  <c r="E25" i="13"/>
  <c r="F25" i="13" a="1"/>
  <c r="F25" i="13" s="1"/>
  <c r="G25" i="13"/>
  <c r="H25" i="13"/>
  <c r="I25" i="13"/>
  <c r="J25" i="13"/>
  <c r="K25" i="13" s="1"/>
  <c r="L25" i="13"/>
  <c r="M25" i="13"/>
  <c r="N25" i="13" s="1"/>
  <c r="O25" i="13"/>
  <c r="P25" i="13"/>
  <c r="Q25" i="13"/>
  <c r="R25" i="13"/>
  <c r="S25" i="13"/>
  <c r="T25" i="13"/>
  <c r="U25" i="13"/>
  <c r="V25" i="13"/>
  <c r="W25" i="13"/>
  <c r="X25" i="13"/>
  <c r="Y25" i="13"/>
  <c r="Z25" i="13"/>
  <c r="AA25" i="13"/>
  <c r="D26" i="13"/>
  <c r="E26" i="13"/>
  <c r="F26" i="13" a="1"/>
  <c r="F26" i="13" s="1"/>
  <c r="G26" i="13"/>
  <c r="H26" i="13"/>
  <c r="I26" i="13"/>
  <c r="J26" i="13"/>
  <c r="K26" i="13" s="1"/>
  <c r="L26" i="13"/>
  <c r="M26" i="13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D28" i="13"/>
  <c r="E28" i="13"/>
  <c r="F28" i="13" a="1"/>
  <c r="F28" i="13" s="1"/>
  <c r="G28" i="13"/>
  <c r="H28" i="13"/>
  <c r="J28" i="13"/>
  <c r="K28" i="13" s="1"/>
  <c r="M28" i="13"/>
  <c r="N28" i="13" s="1"/>
  <c r="P28" i="13"/>
  <c r="Q28" i="13"/>
  <c r="R28" i="13"/>
  <c r="S28" i="13"/>
  <c r="T28" i="13"/>
  <c r="U28" i="13"/>
  <c r="V28" i="13"/>
  <c r="W28" i="13"/>
  <c r="X28" i="13"/>
  <c r="Y28" i="13"/>
  <c r="Z28" i="13"/>
  <c r="AA28" i="13"/>
  <c r="D29" i="13"/>
  <c r="E29" i="13"/>
  <c r="F29" i="13" a="1"/>
  <c r="F29" i="13" s="1"/>
  <c r="G29" i="13"/>
  <c r="H29" i="13"/>
  <c r="J29" i="13"/>
  <c r="K29" i="13" s="1"/>
  <c r="M29" i="13"/>
  <c r="N29" i="13" s="1"/>
  <c r="P29" i="13"/>
  <c r="Q29" i="13"/>
  <c r="R29" i="13"/>
  <c r="S29" i="13"/>
  <c r="T29" i="13"/>
  <c r="U29" i="13"/>
  <c r="V29" i="13"/>
  <c r="W29" i="13"/>
  <c r="X29" i="13"/>
  <c r="Y29" i="13"/>
  <c r="Z29" i="13"/>
  <c r="AA29" i="13"/>
  <c r="D30" i="13"/>
  <c r="E30" i="13"/>
  <c r="F30" i="13" a="1"/>
  <c r="F30" i="13" s="1"/>
  <c r="G30" i="13"/>
  <c r="H30" i="13"/>
  <c r="J30" i="13"/>
  <c r="K30" i="13" s="1"/>
  <c r="M30" i="13"/>
  <c r="N30" i="13" s="1"/>
  <c r="P30" i="13"/>
  <c r="Q30" i="13"/>
  <c r="R30" i="13"/>
  <c r="S30" i="13"/>
  <c r="T30" i="13"/>
  <c r="U30" i="13"/>
  <c r="V30" i="13"/>
  <c r="W30" i="13"/>
  <c r="X30" i="13"/>
  <c r="Y30" i="13"/>
  <c r="Z30" i="13"/>
  <c r="AA30" i="13"/>
  <c r="D31" i="13"/>
  <c r="E31" i="13"/>
  <c r="F31" i="13" a="1"/>
  <c r="F31" i="13" s="1"/>
  <c r="G31" i="13"/>
  <c r="H31" i="13"/>
  <c r="I31" i="13"/>
  <c r="J31" i="13"/>
  <c r="K31" i="13" s="1"/>
  <c r="L31" i="13"/>
  <c r="M31" i="13"/>
  <c r="N31" i="13" s="1"/>
  <c r="O31" i="13"/>
  <c r="P31" i="13"/>
  <c r="Q31" i="13"/>
  <c r="R31" i="13"/>
  <c r="S31" i="13"/>
  <c r="T31" i="13"/>
  <c r="U31" i="13"/>
  <c r="V31" i="13"/>
  <c r="W31" i="13"/>
  <c r="X31" i="13"/>
  <c r="Y31" i="13"/>
  <c r="Z31" i="13"/>
  <c r="AA31" i="13"/>
  <c r="Q9" i="13"/>
  <c r="R9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P9" i="13"/>
  <c r="D9" i="13"/>
  <c r="E9" i="13"/>
  <c r="F9" i="13" a="1"/>
  <c r="F9" i="13" s="1"/>
  <c r="G9" i="13"/>
  <c r="H9" i="13"/>
  <c r="I9" i="13"/>
  <c r="J9" i="13"/>
  <c r="K9" i="13" s="1"/>
  <c r="L9" i="13"/>
  <c r="M9" i="13"/>
  <c r="N9" i="13" s="1"/>
  <c r="O9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D2" i="13"/>
  <c r="E2" i="13"/>
  <c r="F2" i="13" a="1"/>
  <c r="F2" i="13" s="1"/>
  <c r="G2" i="13"/>
  <c r="H2" i="13"/>
  <c r="I2" i="13"/>
  <c r="J2" i="13"/>
  <c r="K2" i="13" s="1"/>
  <c r="L2" i="13"/>
  <c r="M2" i="13"/>
  <c r="N2" i="13" s="1"/>
  <c r="O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L7" i="13" s="1"/>
  <c r="AC71" i="15"/>
  <c r="O7" i="13" s="1"/>
  <c r="AD71" i="15"/>
  <c r="I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Q3" i="13"/>
  <c r="R3" i="13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P3" i="13"/>
  <c r="D3" i="13"/>
  <c r="E3" i="13"/>
  <c r="F3" i="13" a="1"/>
  <c r="F3" i="13" s="1"/>
  <c r="G3" i="13"/>
  <c r="H3" i="13"/>
  <c r="J3" i="13"/>
  <c r="K3" i="13" s="1"/>
  <c r="M3" i="13"/>
  <c r="N3" i="13" s="1"/>
  <c r="D38" i="13"/>
  <c r="E38" i="13"/>
  <c r="F38" i="13" a="1"/>
  <c r="F38" i="13" s="1"/>
  <c r="G38" i="13"/>
  <c r="H38" i="13"/>
  <c r="I38" i="13"/>
  <c r="J38" i="13"/>
  <c r="K38" i="13" s="1"/>
  <c r="L38" i="13"/>
  <c r="M38" i="13"/>
  <c r="N38" i="13" s="1"/>
  <c r="O38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L17" i="13" s="1"/>
  <c r="AC52" i="15"/>
  <c r="O17" i="13" s="1"/>
  <c r="AD52" i="15"/>
  <c r="I17" i="13" s="1"/>
  <c r="AA53" i="15"/>
  <c r="AB53" i="15"/>
  <c r="L29" i="13" s="1"/>
  <c r="AC53" i="15"/>
  <c r="O29" i="13" s="1"/>
  <c r="AD53" i="15"/>
  <c r="I29" i="13" s="1"/>
  <c r="AA54" i="15"/>
  <c r="AB54" i="15"/>
  <c r="L30" i="13" s="1"/>
  <c r="AC54" i="15"/>
  <c r="O30" i="13" s="1"/>
  <c r="AD54" i="15"/>
  <c r="I30" i="13" s="1"/>
  <c r="AA55" i="15"/>
  <c r="AB55" i="15"/>
  <c r="AC55" i="15"/>
  <c r="AD55" i="15"/>
  <c r="I8" i="13" s="1"/>
  <c r="AA56" i="15"/>
  <c r="AB56" i="15"/>
  <c r="AC56" i="15"/>
  <c r="AD56" i="15"/>
  <c r="AA57" i="15"/>
  <c r="AB57" i="15"/>
  <c r="L3" i="13" s="1"/>
  <c r="AC57" i="15"/>
  <c r="O3" i="13" s="1"/>
  <c r="AD57" i="15"/>
  <c r="I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Q13" i="1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P13" i="11"/>
  <c r="D13" i="11"/>
  <c r="E13" i="11"/>
  <c r="F13" i="11" a="1"/>
  <c r="F13" i="11" s="1"/>
  <c r="G13" i="11"/>
  <c r="H13" i="11"/>
  <c r="J13" i="11"/>
  <c r="K13" i="11" s="1"/>
  <c r="M13" i="11"/>
  <c r="N13" i="11" s="1"/>
  <c r="O13" i="11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P37" i="11"/>
  <c r="D37" i="11"/>
  <c r="E37" i="11"/>
  <c r="F37" i="11" a="1"/>
  <c r="F37" i="11" s="1"/>
  <c r="G37" i="11"/>
  <c r="H37" i="11"/>
  <c r="I37" i="11"/>
  <c r="J37" i="11"/>
  <c r="K37" i="11" s="1"/>
  <c r="L37" i="11"/>
  <c r="M37" i="11"/>
  <c r="N37" i="11" s="1"/>
  <c r="AB13" i="13"/>
  <c r="AC13" i="13"/>
  <c r="AD13" i="13"/>
  <c r="AE13" i="13"/>
  <c r="Q10" i="13"/>
  <c r="R10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P10" i="13"/>
  <c r="D10" i="13"/>
  <c r="E10" i="13"/>
  <c r="F10" i="13" a="1"/>
  <c r="F10" i="13" s="1"/>
  <c r="G10" i="13"/>
  <c r="H10" i="13"/>
  <c r="J10" i="13"/>
  <c r="K10" i="13" s="1"/>
  <c r="M10" i="13"/>
  <c r="N10" i="13" s="1"/>
  <c r="AB28" i="13"/>
  <c r="AC28" i="13"/>
  <c r="AD28" i="13"/>
  <c r="AE28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AJ738" i="9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2" i="17"/>
  <c r="AH2" i="17"/>
  <c r="AI2" i="17"/>
  <c r="AJ2" i="17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L28" i="13" s="1"/>
  <c r="AC31" i="15"/>
  <c r="O28" i="13" s="1"/>
  <c r="AD31" i="15"/>
  <c r="I28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L22" i="13" s="1"/>
  <c r="AC37" i="15"/>
  <c r="O22" i="13" s="1"/>
  <c r="AD37" i="15"/>
  <c r="I22" i="13" s="1"/>
  <c r="AA38" i="15"/>
  <c r="AB38" i="15"/>
  <c r="AC38" i="15"/>
  <c r="AD38" i="15"/>
  <c r="AA39" i="15"/>
  <c r="AB39" i="15"/>
  <c r="AC39" i="15"/>
  <c r="AD39" i="15"/>
  <c r="AA40" i="15"/>
  <c r="AB40" i="15"/>
  <c r="L10" i="13" s="1"/>
  <c r="AC40" i="15"/>
  <c r="O10" i="13" s="1"/>
  <c r="AD40" i="15"/>
  <c r="I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O37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I32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L15" i="13" s="1"/>
  <c r="AC23" i="15"/>
  <c r="O15" i="13" s="1"/>
  <c r="AD23" i="15"/>
  <c r="I15" i="13" s="1"/>
  <c r="AA24" i="15"/>
  <c r="AB24" i="15"/>
  <c r="AC24" i="15"/>
  <c r="AD24" i="15"/>
  <c r="AA25" i="15"/>
  <c r="AB25" i="15"/>
  <c r="L13" i="13" s="1"/>
  <c r="AC25" i="15"/>
  <c r="O13" i="13" s="1"/>
  <c r="AD25" i="15"/>
  <c r="I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L13" i="11" s="1"/>
  <c r="AC510" i="10"/>
  <c r="AD510" i="10"/>
  <c r="I13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L16" i="13" s="1"/>
  <c r="AC6" i="15"/>
  <c r="O16" i="13" s="1"/>
  <c r="AD6" i="15"/>
  <c r="I16" i="13" s="1"/>
  <c r="AA7" i="15"/>
  <c r="AB7" i="15"/>
  <c r="L5" i="13" s="1"/>
  <c r="AC7" i="15"/>
  <c r="AD7" i="15"/>
  <c r="I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L23" i="13" s="1"/>
  <c r="AC11" i="15"/>
  <c r="O23" i="13" s="1"/>
  <c r="AD11" i="15"/>
  <c r="I23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P2" i="16"/>
  <c r="Q2" i="16"/>
  <c r="R2" i="16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P3" i="16"/>
  <c r="Q3" i="16"/>
  <c r="R3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P4" i="16"/>
  <c r="Q4" i="16"/>
  <c r="R4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P5" i="16"/>
  <c r="Q5" i="16"/>
  <c r="R5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P6" i="16"/>
  <c r="Q6" i="16"/>
  <c r="R6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P8" i="16"/>
  <c r="Q8" i="16"/>
  <c r="R8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P9" i="16"/>
  <c r="Q9" i="16"/>
  <c r="R9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P10" i="16"/>
  <c r="Q10" i="16"/>
  <c r="R10" i="16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P11" i="16"/>
  <c r="Q11" i="16"/>
  <c r="R11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P12" i="16"/>
  <c r="Q12" i="16"/>
  <c r="R12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P16" i="16"/>
  <c r="Q16" i="16"/>
  <c r="R16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P17" i="16"/>
  <c r="Q17" i="16"/>
  <c r="R17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P18" i="16"/>
  <c r="Q18" i="16"/>
  <c r="R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P20" i="16"/>
  <c r="Q20" i="16"/>
  <c r="R20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P21" i="16"/>
  <c r="Q21" i="16"/>
  <c r="R2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P22" i="16"/>
  <c r="Q22" i="16"/>
  <c r="R22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P23" i="16"/>
  <c r="Q23" i="16"/>
  <c r="R23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P24" i="16"/>
  <c r="Q24" i="16"/>
  <c r="R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P25" i="16"/>
  <c r="Q25" i="16"/>
  <c r="R25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P26" i="16"/>
  <c r="Q26" i="16"/>
  <c r="R26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P27" i="16"/>
  <c r="Q27" i="16"/>
  <c r="R27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P28" i="16"/>
  <c r="Q28" i="16"/>
  <c r="R28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O28" i="16"/>
  <c r="O27" i="16"/>
  <c r="O26" i="16"/>
  <c r="O25" i="16"/>
  <c r="O24" i="16"/>
  <c r="O23" i="16"/>
  <c r="O22" i="16"/>
  <c r="O21" i="16"/>
  <c r="O20" i="16"/>
  <c r="O18" i="16"/>
  <c r="O17" i="16"/>
  <c r="O16" i="16"/>
  <c r="O14" i="16"/>
  <c r="O12" i="16"/>
  <c r="O11" i="16"/>
  <c r="O10" i="16"/>
  <c r="O9" i="16"/>
  <c r="O8" i="16"/>
  <c r="O6" i="16"/>
  <c r="O5" i="16"/>
  <c r="O4" i="16"/>
  <c r="O3" i="16"/>
  <c r="O2" i="16"/>
  <c r="N3" i="16"/>
  <c r="N4" i="16"/>
  <c r="N5" i="16"/>
  <c r="N6" i="16"/>
  <c r="N9" i="16"/>
  <c r="N10" i="16"/>
  <c r="N11" i="16"/>
  <c r="N12" i="16"/>
  <c r="N14" i="16"/>
  <c r="N16" i="16"/>
  <c r="N17" i="16"/>
  <c r="N18" i="16"/>
  <c r="N20" i="16"/>
  <c r="N21" i="16"/>
  <c r="N22" i="16"/>
  <c r="N23" i="16"/>
  <c r="N24" i="16"/>
  <c r="N25" i="16"/>
  <c r="N26" i="16"/>
  <c r="N27" i="16"/>
  <c r="N28" i="16"/>
  <c r="N2" i="16"/>
  <c r="L3" i="16"/>
  <c r="M3" i="16" s="1"/>
  <c r="L4" i="16"/>
  <c r="M4" i="16" s="1"/>
  <c r="L5" i="16"/>
  <c r="M5" i="16" s="1"/>
  <c r="L6" i="16"/>
  <c r="M6" i="16" s="1"/>
  <c r="L8" i="16"/>
  <c r="M8" i="16" s="1"/>
  <c r="L9" i="16"/>
  <c r="M9" i="16" s="1"/>
  <c r="L10" i="16"/>
  <c r="M10" i="16" s="1"/>
  <c r="L11" i="16"/>
  <c r="M11" i="16" s="1"/>
  <c r="L12" i="16"/>
  <c r="M12" i="16" s="1"/>
  <c r="L14" i="16"/>
  <c r="M14" i="16" s="1"/>
  <c r="L16" i="16"/>
  <c r="M16" i="16" s="1"/>
  <c r="L17" i="16"/>
  <c r="M17" i="16" s="1"/>
  <c r="L18" i="16"/>
  <c r="M18" i="16" s="1"/>
  <c r="L20" i="16"/>
  <c r="M20" i="16" s="1"/>
  <c r="L21" i="16"/>
  <c r="M21" i="16" s="1"/>
  <c r="L22" i="16"/>
  <c r="M22" i="16" s="1"/>
  <c r="L23" i="16"/>
  <c r="M23" i="16" s="1"/>
  <c r="L24" i="16"/>
  <c r="M24" i="16" s="1"/>
  <c r="L25" i="16"/>
  <c r="M25" i="16" s="1"/>
  <c r="L26" i="16"/>
  <c r="M26" i="16" s="1"/>
  <c r="L27" i="16"/>
  <c r="M27" i="16" s="1"/>
  <c r="L28" i="16"/>
  <c r="M28" i="16" s="1"/>
  <c r="L2" i="16"/>
  <c r="M2" i="16" s="1"/>
  <c r="K3" i="16"/>
  <c r="K4" i="16"/>
  <c r="K5" i="16"/>
  <c r="K6" i="16"/>
  <c r="K9" i="16"/>
  <c r="K10" i="16"/>
  <c r="K11" i="16"/>
  <c r="K12" i="16"/>
  <c r="K14" i="16"/>
  <c r="K16" i="16"/>
  <c r="K17" i="16"/>
  <c r="K18" i="16"/>
  <c r="K20" i="16"/>
  <c r="K21" i="16"/>
  <c r="K22" i="16"/>
  <c r="K23" i="16"/>
  <c r="K24" i="16"/>
  <c r="K25" i="16"/>
  <c r="K26" i="16"/>
  <c r="K27" i="16"/>
  <c r="K28" i="16"/>
  <c r="K2" i="16"/>
  <c r="I3" i="16"/>
  <c r="J3" i="16" s="1"/>
  <c r="I4" i="16"/>
  <c r="J4" i="16" s="1"/>
  <c r="I5" i="16"/>
  <c r="J5" i="16" s="1"/>
  <c r="I6" i="16"/>
  <c r="J6" i="16" s="1"/>
  <c r="I8" i="16"/>
  <c r="J8" i="16" s="1"/>
  <c r="I9" i="16"/>
  <c r="J9" i="16" s="1"/>
  <c r="I10" i="16"/>
  <c r="J10" i="16" s="1"/>
  <c r="I11" i="16"/>
  <c r="J11" i="16" s="1"/>
  <c r="I12" i="16"/>
  <c r="J12" i="16" s="1"/>
  <c r="I14" i="16"/>
  <c r="J14" i="16" s="1"/>
  <c r="I16" i="16"/>
  <c r="J16" i="16" s="1"/>
  <c r="I17" i="16"/>
  <c r="J17" i="16" s="1"/>
  <c r="I18" i="16"/>
  <c r="J18" i="16" s="1"/>
  <c r="I20" i="16"/>
  <c r="J20" i="16" s="1"/>
  <c r="I21" i="16"/>
  <c r="J21" i="16" s="1"/>
  <c r="I22" i="16"/>
  <c r="J22" i="16" s="1"/>
  <c r="I23" i="16"/>
  <c r="J23" i="16" s="1"/>
  <c r="I24" i="16"/>
  <c r="J24" i="16" s="1"/>
  <c r="I25" i="16"/>
  <c r="J25" i="16" s="1"/>
  <c r="I26" i="16"/>
  <c r="J26" i="16" s="1"/>
  <c r="I27" i="16"/>
  <c r="J27" i="16" s="1"/>
  <c r="I28" i="16"/>
  <c r="J28" i="16" s="1"/>
  <c r="I2" i="16"/>
  <c r="J2" i="16" s="1"/>
  <c r="H3" i="16"/>
  <c r="H4" i="16"/>
  <c r="H5" i="16"/>
  <c r="H6" i="16"/>
  <c r="H9" i="16"/>
  <c r="H10" i="16"/>
  <c r="H11" i="16"/>
  <c r="H12" i="16"/>
  <c r="H14" i="16"/>
  <c r="H16" i="16"/>
  <c r="H17" i="16"/>
  <c r="H18" i="16"/>
  <c r="H20" i="16"/>
  <c r="H21" i="16"/>
  <c r="H22" i="16"/>
  <c r="H23" i="16"/>
  <c r="H24" i="16"/>
  <c r="H25" i="16"/>
  <c r="H26" i="16"/>
  <c r="H27" i="16"/>
  <c r="H28" i="16"/>
  <c r="H2" i="16"/>
  <c r="G3" i="16"/>
  <c r="G4" i="16"/>
  <c r="G5" i="16"/>
  <c r="G6" i="16"/>
  <c r="G8" i="16"/>
  <c r="G9" i="16"/>
  <c r="G10" i="16"/>
  <c r="G11" i="16"/>
  <c r="G12" i="16"/>
  <c r="G14" i="16"/>
  <c r="G16" i="16"/>
  <c r="G17" i="16"/>
  <c r="G18" i="16"/>
  <c r="G20" i="16"/>
  <c r="G21" i="16"/>
  <c r="G22" i="16"/>
  <c r="G23" i="16"/>
  <c r="G24" i="16"/>
  <c r="G25" i="16"/>
  <c r="G26" i="16"/>
  <c r="G27" i="16"/>
  <c r="G28" i="16"/>
  <c r="G2" i="16"/>
  <c r="F3" i="16"/>
  <c r="F4" i="16"/>
  <c r="F5" i="16"/>
  <c r="F6" i="16"/>
  <c r="F8" i="16"/>
  <c r="F9" i="16"/>
  <c r="F10" i="16"/>
  <c r="F11" i="16"/>
  <c r="F12" i="16"/>
  <c r="F14" i="16"/>
  <c r="F16" i="16"/>
  <c r="F17" i="16"/>
  <c r="F18" i="16"/>
  <c r="F20" i="16"/>
  <c r="F21" i="16"/>
  <c r="F22" i="16"/>
  <c r="F23" i="16"/>
  <c r="F24" i="16"/>
  <c r="F25" i="16"/>
  <c r="F26" i="16"/>
  <c r="F27" i="16"/>
  <c r="F28" i="16"/>
  <c r="F2" i="16"/>
  <c r="E3" i="16" a="1"/>
  <c r="E3" i="16" s="1"/>
  <c r="E4" i="16" a="1"/>
  <c r="E4" i="16" s="1"/>
  <c r="E5" i="16" a="1"/>
  <c r="E5" i="16" s="1"/>
  <c r="E6" i="16" a="1"/>
  <c r="E6" i="16" s="1"/>
  <c r="E8" i="16" a="1"/>
  <c r="E8" i="16" s="1"/>
  <c r="E9" i="16" a="1"/>
  <c r="E9" i="16" s="1"/>
  <c r="E10" i="16" a="1"/>
  <c r="E10" i="16" s="1"/>
  <c r="E11" i="16" a="1"/>
  <c r="E11" i="16" s="1"/>
  <c r="E12" i="16" a="1"/>
  <c r="E12" i="16" s="1"/>
  <c r="E14" i="16" a="1"/>
  <c r="E14" i="16" s="1"/>
  <c r="E16" i="16" a="1"/>
  <c r="E16" i="16" s="1"/>
  <c r="E17" i="16" a="1"/>
  <c r="E17" i="16" s="1"/>
  <c r="E18" i="16" a="1"/>
  <c r="E18" i="16" s="1"/>
  <c r="E20" i="16" a="1"/>
  <c r="E20" i="16" s="1"/>
  <c r="E21" i="16" a="1"/>
  <c r="E21" i="16" s="1"/>
  <c r="E22" i="16" a="1"/>
  <c r="E22" i="16" s="1"/>
  <c r="E23" i="16" a="1"/>
  <c r="E23" i="16" s="1"/>
  <c r="E24" i="16" a="1"/>
  <c r="E24" i="16" s="1"/>
  <c r="E25" i="16" a="1"/>
  <c r="E25" i="16" s="1"/>
  <c r="E26" i="16" a="1"/>
  <c r="E26" i="16" s="1"/>
  <c r="E27" i="16" a="1"/>
  <c r="E27" i="16" s="1"/>
  <c r="E28" i="16" a="1"/>
  <c r="E28" i="16" s="1"/>
  <c r="E2" i="16" a="1"/>
  <c r="E2" i="16" s="1"/>
  <c r="D3" i="16"/>
  <c r="D4" i="16"/>
  <c r="D5" i="16"/>
  <c r="D6" i="16"/>
  <c r="D8" i="16"/>
  <c r="D9" i="16"/>
  <c r="D10" i="16"/>
  <c r="D11" i="16"/>
  <c r="D12" i="16"/>
  <c r="D14" i="16"/>
  <c r="D16" i="16"/>
  <c r="D17" i="16"/>
  <c r="D18" i="16"/>
  <c r="D20" i="16"/>
  <c r="D21" i="16"/>
  <c r="D22" i="16"/>
  <c r="D23" i="16"/>
  <c r="D24" i="16"/>
  <c r="D25" i="16"/>
  <c r="D26" i="16"/>
  <c r="D27" i="16"/>
  <c r="D28" i="16"/>
  <c r="D2" i="16"/>
  <c r="C3" i="16"/>
  <c r="C4" i="16"/>
  <c r="C5" i="16"/>
  <c r="C6" i="16"/>
  <c r="C8" i="16"/>
  <c r="C9" i="16"/>
  <c r="C10" i="16"/>
  <c r="C11" i="16"/>
  <c r="C12" i="16"/>
  <c r="C14" i="16"/>
  <c r="C16" i="16"/>
  <c r="C17" i="16"/>
  <c r="C18" i="16"/>
  <c r="C20" i="16"/>
  <c r="C21" i="16"/>
  <c r="C22" i="16"/>
  <c r="C23" i="16"/>
  <c r="C24" i="16"/>
  <c r="C25" i="16"/>
  <c r="C26" i="16"/>
  <c r="C27" i="16"/>
  <c r="C28" i="16"/>
  <c r="C2" i="16"/>
  <c r="H8" i="16"/>
  <c r="N8" i="16"/>
  <c r="K8" i="16"/>
  <c r="Q4" i="13"/>
  <c r="R4" i="13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Q5" i="13"/>
  <c r="R5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B14" i="13"/>
  <c r="AC14" i="13"/>
  <c r="AD14" i="13"/>
  <c r="AE14" i="13"/>
  <c r="AB15" i="13"/>
  <c r="AC15" i="13"/>
  <c r="AD15" i="13"/>
  <c r="AE15" i="13"/>
  <c r="AB16" i="13"/>
  <c r="AC16" i="13"/>
  <c r="AD16" i="13"/>
  <c r="AE16" i="13"/>
  <c r="AB22" i="13"/>
  <c r="AC22" i="13"/>
  <c r="AD22" i="13"/>
  <c r="AE22" i="13"/>
  <c r="AB23" i="13"/>
  <c r="AC23" i="13"/>
  <c r="AD23" i="13"/>
  <c r="AE23" i="13"/>
  <c r="AB24" i="13"/>
  <c r="AC24" i="13"/>
  <c r="AD24" i="13"/>
  <c r="AE24" i="13"/>
  <c r="AB25" i="13"/>
  <c r="AC25" i="13"/>
  <c r="AD25" i="13"/>
  <c r="AE25" i="13"/>
  <c r="AB26" i="13"/>
  <c r="AC26" i="13"/>
  <c r="AD26" i="13"/>
  <c r="AE26" i="13"/>
  <c r="AB29" i="13"/>
  <c r="AC29" i="13"/>
  <c r="AD29" i="13"/>
  <c r="AE29" i="13"/>
  <c r="AB30" i="13"/>
  <c r="AC30" i="13"/>
  <c r="AD30" i="13"/>
  <c r="AE30" i="13"/>
  <c r="AB31" i="13"/>
  <c r="AC31" i="13"/>
  <c r="AD31" i="13"/>
  <c r="AE31" i="13"/>
  <c r="Q32" i="13"/>
  <c r="R32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Q33" i="13"/>
  <c r="R33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Q34" i="13"/>
  <c r="R34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Q35" i="13"/>
  <c r="R35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Q36" i="13"/>
  <c r="R36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P36" i="13"/>
  <c r="P35" i="13"/>
  <c r="P34" i="13"/>
  <c r="P33" i="13"/>
  <c r="P32" i="13"/>
  <c r="P8" i="13"/>
  <c r="P6" i="13"/>
  <c r="P5" i="13"/>
  <c r="P4" i="13"/>
  <c r="O8" i="13"/>
  <c r="O32" i="13"/>
  <c r="O34" i="13"/>
  <c r="O35" i="13"/>
  <c r="M4" i="13"/>
  <c r="N4" i="13" s="1"/>
  <c r="M5" i="13"/>
  <c r="N5" i="13" s="1"/>
  <c r="M6" i="13"/>
  <c r="N6" i="13" s="1"/>
  <c r="M8" i="13"/>
  <c r="N8" i="13" s="1"/>
  <c r="M32" i="13"/>
  <c r="N32" i="13" s="1"/>
  <c r="M33" i="13"/>
  <c r="N33" i="13" s="1"/>
  <c r="M34" i="13"/>
  <c r="N34" i="13" s="1"/>
  <c r="M35" i="13"/>
  <c r="N35" i="13" s="1"/>
  <c r="M36" i="13"/>
  <c r="N36" i="13" s="1"/>
  <c r="M37" i="13"/>
  <c r="N37" i="13" s="1"/>
  <c r="J4" i="13"/>
  <c r="K4" i="13" s="1"/>
  <c r="J5" i="13"/>
  <c r="K5" i="13" s="1"/>
  <c r="J6" i="13"/>
  <c r="K6" i="13" s="1"/>
  <c r="J8" i="13"/>
  <c r="K8" i="13" s="1"/>
  <c r="J32" i="13"/>
  <c r="K32" i="13" s="1"/>
  <c r="J33" i="13"/>
  <c r="K33" i="13" s="1"/>
  <c r="J34" i="13"/>
  <c r="K34" i="13" s="1"/>
  <c r="J35" i="13"/>
  <c r="K35" i="13" s="1"/>
  <c r="J36" i="13"/>
  <c r="K36" i="13" s="1"/>
  <c r="J37" i="13"/>
  <c r="K37" i="13" s="1"/>
  <c r="I37" i="13"/>
  <c r="H4" i="13"/>
  <c r="H5" i="13"/>
  <c r="H6" i="13"/>
  <c r="H8" i="13"/>
  <c r="H32" i="13"/>
  <c r="H33" i="13"/>
  <c r="H34" i="13"/>
  <c r="H35" i="13"/>
  <c r="H36" i="13"/>
  <c r="H37" i="13"/>
  <c r="G4" i="13"/>
  <c r="G5" i="13"/>
  <c r="G6" i="13"/>
  <c r="G8" i="13"/>
  <c r="G32" i="13"/>
  <c r="G33" i="13"/>
  <c r="G34" i="13"/>
  <c r="G35" i="13"/>
  <c r="G36" i="13"/>
  <c r="G37" i="13"/>
  <c r="F4" i="13" a="1"/>
  <c r="F4" i="13" s="1"/>
  <c r="F5" i="13" a="1"/>
  <c r="F5" i="13" s="1"/>
  <c r="F6" i="13" a="1"/>
  <c r="F6" i="13" s="1"/>
  <c r="F8" i="13" a="1"/>
  <c r="F8" i="13" s="1"/>
  <c r="F32" i="13" a="1"/>
  <c r="F32" i="13" s="1"/>
  <c r="F33" i="13" a="1"/>
  <c r="F33" i="13" s="1"/>
  <c r="F34" i="13" a="1"/>
  <c r="F34" i="13" s="1"/>
  <c r="F35" i="13" a="1"/>
  <c r="F35" i="13" s="1"/>
  <c r="F36" i="13" a="1"/>
  <c r="F36" i="13" s="1"/>
  <c r="F37" i="13" a="1"/>
  <c r="F37" i="13" s="1"/>
  <c r="E4" i="13"/>
  <c r="E5" i="13"/>
  <c r="E6" i="13"/>
  <c r="E8" i="13"/>
  <c r="E32" i="13"/>
  <c r="E33" i="13"/>
  <c r="E34" i="13"/>
  <c r="E35" i="13"/>
  <c r="E36" i="13"/>
  <c r="E37" i="13"/>
  <c r="D4" i="13"/>
  <c r="D5" i="13"/>
  <c r="D6" i="13"/>
  <c r="D8" i="13"/>
  <c r="D32" i="13"/>
  <c r="D33" i="13"/>
  <c r="D34" i="13"/>
  <c r="D35" i="13"/>
  <c r="D36" i="13"/>
  <c r="D37" i="13"/>
  <c r="O5" i="13"/>
  <c r="L35" i="13"/>
  <c r="I35" i="13"/>
  <c r="L34" i="13"/>
  <c r="I34" i="13"/>
  <c r="L6" i="13"/>
  <c r="O6" i="13"/>
  <c r="I6" i="13"/>
  <c r="L36" i="13"/>
  <c r="O36" i="13"/>
  <c r="I36" i="13"/>
  <c r="L33" i="13"/>
  <c r="O33" i="13"/>
  <c r="I33" i="13"/>
  <c r="L8" i="13"/>
  <c r="L37" i="13"/>
  <c r="O37" i="13"/>
  <c r="L4" i="13"/>
  <c r="O4" i="13"/>
  <c r="I4" i="13"/>
  <c r="L32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N7" i="12"/>
  <c r="N9" i="12"/>
  <c r="N18" i="12"/>
  <c r="N20" i="12"/>
  <c r="N22" i="12"/>
  <c r="N36" i="12"/>
  <c r="N37" i="12"/>
  <c r="N41" i="12"/>
  <c r="N42" i="12"/>
  <c r="N43" i="12"/>
  <c r="N44" i="12"/>
  <c r="N48" i="12"/>
  <c r="N50" i="12"/>
  <c r="N51" i="12"/>
  <c r="N53" i="12"/>
  <c r="N54" i="12"/>
  <c r="K7" i="12"/>
  <c r="K9" i="12"/>
  <c r="K18" i="12"/>
  <c r="K20" i="12"/>
  <c r="K22" i="12"/>
  <c r="K36" i="12"/>
  <c r="K37" i="12"/>
  <c r="K41" i="12"/>
  <c r="K42" i="12"/>
  <c r="K43" i="12"/>
  <c r="K44" i="12"/>
  <c r="K48" i="12"/>
  <c r="K50" i="12"/>
  <c r="K51" i="12"/>
  <c r="K53" i="12"/>
  <c r="K54" i="12"/>
  <c r="H7" i="12"/>
  <c r="H9" i="12"/>
  <c r="H18" i="12"/>
  <c r="H20" i="12"/>
  <c r="H22" i="12"/>
  <c r="H36" i="12"/>
  <c r="H37" i="12"/>
  <c r="H41" i="12"/>
  <c r="H42" i="12"/>
  <c r="H43" i="12"/>
  <c r="H44" i="12"/>
  <c r="H48" i="12"/>
  <c r="H50" i="12"/>
  <c r="H51" i="12"/>
  <c r="H53" i="12"/>
  <c r="H54" i="12"/>
  <c r="H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K14" i="12" s="1"/>
  <c r="AI39" i="9"/>
  <c r="N14" i="12" s="1"/>
  <c r="AJ39" i="9"/>
  <c r="H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K16" i="12" s="1"/>
  <c r="AI51" i="9"/>
  <c r="N16" i="12" s="1"/>
  <c r="AJ51" i="9"/>
  <c r="H16" i="12" s="1"/>
  <c r="AG52" i="9"/>
  <c r="AH52" i="9"/>
  <c r="K56" i="12" s="1"/>
  <c r="AI52" i="9"/>
  <c r="N56" i="12" s="1"/>
  <c r="AJ52" i="9"/>
  <c r="H56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K34" i="12" s="1"/>
  <c r="AI58" i="9"/>
  <c r="N34" i="12" s="1"/>
  <c r="AJ58" i="9"/>
  <c r="H34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K28" i="12" s="1"/>
  <c r="AI81" i="9"/>
  <c r="N28" i="12" s="1"/>
  <c r="AJ81" i="9"/>
  <c r="H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K55" i="12" s="1"/>
  <c r="AI102" i="9"/>
  <c r="N55" i="12" s="1"/>
  <c r="AJ102" i="9"/>
  <c r="H55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K45" i="12" s="1"/>
  <c r="AI183" i="9"/>
  <c r="N45" i="12" s="1"/>
  <c r="AJ183" i="9"/>
  <c r="H45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K6" i="12" s="1"/>
  <c r="AI253" i="9"/>
  <c r="N6" i="12" s="1"/>
  <c r="AJ253" i="9"/>
  <c r="H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K8" i="12" s="1"/>
  <c r="AI259" i="9"/>
  <c r="N8" i="12" s="1"/>
  <c r="AJ259" i="9"/>
  <c r="H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K30" i="12" s="1"/>
  <c r="AI266" i="9"/>
  <c r="N30" i="12" s="1"/>
  <c r="AJ266" i="9"/>
  <c r="H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K32" i="12" s="1"/>
  <c r="AI325" i="9"/>
  <c r="N32" i="12" s="1"/>
  <c r="AJ325" i="9"/>
  <c r="H32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K11" i="12" s="1"/>
  <c r="AI364" i="9"/>
  <c r="N11" i="12" s="1"/>
  <c r="AJ364" i="9"/>
  <c r="H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K21" i="12" s="1"/>
  <c r="AI381" i="9"/>
  <c r="N21" i="12" s="1"/>
  <c r="AJ381" i="9"/>
  <c r="H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K47" i="12" s="1"/>
  <c r="AI436" i="9"/>
  <c r="N47" i="12" s="1"/>
  <c r="AJ436" i="9"/>
  <c r="H47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K33" i="12" s="1"/>
  <c r="AI467" i="9"/>
  <c r="N33" i="12" s="1"/>
  <c r="AJ467" i="9"/>
  <c r="H33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K46" i="12" s="1"/>
  <c r="AI476" i="9"/>
  <c r="N46" i="12" s="1"/>
  <c r="AJ476" i="9"/>
  <c r="H46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K4" i="12" s="1"/>
  <c r="AI481" i="9"/>
  <c r="N4" i="12" s="1"/>
  <c r="AJ481" i="9"/>
  <c r="H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K27" i="12" s="1"/>
  <c r="AI497" i="9"/>
  <c r="N27" i="12" s="1"/>
  <c r="AJ497" i="9"/>
  <c r="H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K3" i="12" s="1"/>
  <c r="AI502" i="9"/>
  <c r="N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K10" i="12" s="1"/>
  <c r="AI515" i="9"/>
  <c r="N10" i="12" s="1"/>
  <c r="AJ515" i="9"/>
  <c r="H10" i="12" s="1"/>
  <c r="AG516" i="9"/>
  <c r="AH516" i="9"/>
  <c r="K17" i="12" s="1"/>
  <c r="AI516" i="9"/>
  <c r="N17" i="12" s="1"/>
  <c r="AJ516" i="9"/>
  <c r="H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K39" i="12" s="1"/>
  <c r="AI527" i="9"/>
  <c r="N39" i="12" s="1"/>
  <c r="AJ527" i="9"/>
  <c r="H39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K52" i="12" s="1"/>
  <c r="AI564" i="9"/>
  <c r="N52" i="12" s="1"/>
  <c r="AJ564" i="9"/>
  <c r="H52" i="12" s="1"/>
  <c r="AG565" i="9"/>
  <c r="AH565" i="9"/>
  <c r="K12" i="12" s="1"/>
  <c r="AI565" i="9"/>
  <c r="N12" i="12" s="1"/>
  <c r="AJ565" i="9"/>
  <c r="H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K23" i="12" s="1"/>
  <c r="AI571" i="9"/>
  <c r="N23" i="12" s="1"/>
  <c r="AJ571" i="9"/>
  <c r="H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K15" i="12" s="1"/>
  <c r="AI575" i="9"/>
  <c r="N15" i="12" s="1"/>
  <c r="AJ575" i="9"/>
  <c r="H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K13" i="12" s="1"/>
  <c r="AI593" i="9"/>
  <c r="N13" i="12" s="1"/>
  <c r="AJ593" i="9"/>
  <c r="H13" i="12" s="1"/>
  <c r="AG594" i="9"/>
  <c r="AH594" i="9"/>
  <c r="K38" i="12" s="1"/>
  <c r="AI594" i="9"/>
  <c r="N38" i="12" s="1"/>
  <c r="AJ594" i="9"/>
  <c r="H38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K19" i="12" s="1"/>
  <c r="AI621" i="9"/>
  <c r="N19" i="12" s="1"/>
  <c r="AJ621" i="9"/>
  <c r="H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K26" i="12" s="1"/>
  <c r="AI648" i="9"/>
  <c r="N26" i="12" s="1"/>
  <c r="AJ648" i="9"/>
  <c r="H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K24" i="12" s="1"/>
  <c r="AI652" i="9"/>
  <c r="N24" i="12" s="1"/>
  <c r="AJ652" i="9"/>
  <c r="H24" i="12" s="1"/>
  <c r="AG653" i="9"/>
  <c r="AH653" i="9"/>
  <c r="AI653" i="9"/>
  <c r="AJ653" i="9"/>
  <c r="AG654" i="9"/>
  <c r="AH654" i="9"/>
  <c r="K29" i="12" s="1"/>
  <c r="AI654" i="9"/>
  <c r="N29" i="12" s="1"/>
  <c r="AJ654" i="9"/>
  <c r="H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K25" i="12" s="1"/>
  <c r="AI668" i="9"/>
  <c r="N25" i="12" s="1"/>
  <c r="AJ668" i="9"/>
  <c r="H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K49" i="12" s="1"/>
  <c r="AI678" i="9"/>
  <c r="N49" i="12" s="1"/>
  <c r="AJ678" i="9"/>
  <c r="H49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K2" i="12" s="1"/>
  <c r="AI683" i="9"/>
  <c r="N2" i="12" s="1"/>
  <c r="AJ683" i="9"/>
  <c r="H2" i="12" s="1"/>
  <c r="AG684" i="9"/>
  <c r="AH684" i="9"/>
  <c r="AI684" i="9"/>
  <c r="AJ684" i="9"/>
  <c r="AG685" i="9"/>
  <c r="AH685" i="9"/>
  <c r="AI685" i="9"/>
  <c r="AJ685" i="9"/>
  <c r="AG686" i="9"/>
  <c r="AH686" i="9"/>
  <c r="K5" i="12" s="1"/>
  <c r="AI686" i="9"/>
  <c r="N5" i="12" s="1"/>
  <c r="AJ686" i="9"/>
  <c r="H5" i="12" s="1"/>
  <c r="AG687" i="9"/>
  <c r="AH687" i="9"/>
  <c r="AI687" i="9"/>
  <c r="AJ687" i="9"/>
  <c r="AG688" i="9"/>
  <c r="AH688" i="9"/>
  <c r="K40" i="12" s="1"/>
  <c r="AI688" i="9"/>
  <c r="N40" i="12" s="1"/>
  <c r="AJ688" i="9"/>
  <c r="H40" i="12" s="1"/>
  <c r="AG689" i="9"/>
  <c r="AH689" i="9"/>
  <c r="K35" i="12" s="1"/>
  <c r="AI689" i="9"/>
  <c r="N35" i="12" s="1"/>
  <c r="AJ689" i="9"/>
  <c r="H35" i="12" s="1"/>
  <c r="AI2" i="9"/>
  <c r="AH2" i="9"/>
  <c r="AA475" i="10"/>
  <c r="AB475" i="10"/>
  <c r="L32" i="11" s="1"/>
  <c r="AC475" i="10"/>
  <c r="O32" i="11" s="1"/>
  <c r="AD475" i="10"/>
  <c r="I32" i="11" s="1"/>
  <c r="AA476" i="10"/>
  <c r="AB476" i="10"/>
  <c r="L3" i="11" s="1"/>
  <c r="AC476" i="10"/>
  <c r="O3" i="11" s="1"/>
  <c r="AD476" i="10"/>
  <c r="I3" i="11" s="1"/>
  <c r="AA477" i="10"/>
  <c r="AB477" i="10"/>
  <c r="L26" i="11" s="1"/>
  <c r="AC477" i="10"/>
  <c r="AD477" i="10"/>
  <c r="I26" i="11" s="1"/>
  <c r="AA478" i="10"/>
  <c r="AB478" i="10"/>
  <c r="L12" i="11" s="1"/>
  <c r="AC478" i="10"/>
  <c r="O12" i="11" s="1"/>
  <c r="AD478" i="10"/>
  <c r="I12" i="11" s="1"/>
  <c r="AA479" i="10"/>
  <c r="AB479" i="10"/>
  <c r="L20" i="11" s="1"/>
  <c r="AC479" i="10"/>
  <c r="O20" i="11" s="1"/>
  <c r="AD479" i="10"/>
  <c r="I20" i="11" s="1"/>
  <c r="AA480" i="10"/>
  <c r="AB480" i="10"/>
  <c r="L42" i="11" s="1"/>
  <c r="AC480" i="10"/>
  <c r="O42" i="11" s="1"/>
  <c r="AD480" i="10"/>
  <c r="I42" i="11" s="1"/>
  <c r="AA481" i="10"/>
  <c r="AB481" i="10"/>
  <c r="L30" i="11" s="1"/>
  <c r="AC481" i="10"/>
  <c r="AD481" i="10"/>
  <c r="I30" i="11" s="1"/>
  <c r="AA482" i="10"/>
  <c r="AB482" i="10"/>
  <c r="L41" i="11" s="1"/>
  <c r="AC482" i="10"/>
  <c r="O41" i="11" s="1"/>
  <c r="AD482" i="10"/>
  <c r="I41" i="11" s="1"/>
  <c r="AA483" i="10"/>
  <c r="AB483" i="10"/>
  <c r="L9" i="11" s="1"/>
  <c r="AC483" i="10"/>
  <c r="O9" i="11" s="1"/>
  <c r="AD483" i="10"/>
  <c r="I9" i="11" s="1"/>
  <c r="AA484" i="10"/>
  <c r="AB484" i="10"/>
  <c r="L10" i="11" s="1"/>
  <c r="AC484" i="10"/>
  <c r="O10" i="11" s="1"/>
  <c r="AD484" i="10"/>
  <c r="I10" i="11" s="1"/>
  <c r="AA485" i="10"/>
  <c r="AB485" i="10"/>
  <c r="L29" i="11" s="1"/>
  <c r="AC485" i="10"/>
  <c r="AD485" i="10"/>
  <c r="I29" i="11" s="1"/>
  <c r="AA486" i="10"/>
  <c r="AB486" i="10"/>
  <c r="L2" i="11" s="1"/>
  <c r="AC486" i="10"/>
  <c r="O2" i="11" s="1"/>
  <c r="AD486" i="10"/>
  <c r="I2" i="11" s="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D2" i="11"/>
  <c r="E2" i="11"/>
  <c r="F2" i="11" a="1"/>
  <c r="F2" i="11" s="1"/>
  <c r="G2" i="11"/>
  <c r="H2" i="11"/>
  <c r="J2" i="11"/>
  <c r="K2" i="11" s="1"/>
  <c r="M2" i="11"/>
  <c r="N2" i="11" s="1"/>
  <c r="Q42" i="11"/>
  <c r="R42" i="1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P42" i="11"/>
  <c r="D42" i="11"/>
  <c r="E42" i="11"/>
  <c r="F42" i="11" a="1"/>
  <c r="F42" i="11" s="1"/>
  <c r="G42" i="11"/>
  <c r="H42" i="11"/>
  <c r="J42" i="11"/>
  <c r="K42" i="11" s="1"/>
  <c r="M42" i="11"/>
  <c r="N42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I40" i="11" s="1"/>
  <c r="AA471" i="10"/>
  <c r="AB471" i="10"/>
  <c r="L15" i="11" s="1"/>
  <c r="AC471" i="10"/>
  <c r="O15" i="11" s="1"/>
  <c r="AD471" i="10"/>
  <c r="I15" i="11" s="1"/>
  <c r="AA472" i="10"/>
  <c r="AB472" i="10"/>
  <c r="AC472" i="10"/>
  <c r="AD472" i="10"/>
  <c r="AA473" i="10"/>
  <c r="AB473" i="10"/>
  <c r="AC473" i="10"/>
  <c r="AD473" i="10"/>
  <c r="AA474" i="10"/>
  <c r="AB474" i="10"/>
  <c r="L49" i="11" s="1"/>
  <c r="AC474" i="10"/>
  <c r="O49" i="11" s="1"/>
  <c r="AD474" i="10"/>
  <c r="I49" i="11" s="1"/>
  <c r="AA451" i="10"/>
  <c r="AB451" i="10"/>
  <c r="L46" i="11" s="1"/>
  <c r="AC451" i="10"/>
  <c r="O46" i="11" s="1"/>
  <c r="AD451" i="10"/>
  <c r="I46" i="11" s="1"/>
  <c r="AA452" i="10"/>
  <c r="AB452" i="10"/>
  <c r="L18" i="11" s="1"/>
  <c r="AC452" i="10"/>
  <c r="O18" i="11" s="1"/>
  <c r="AD452" i="10"/>
  <c r="I18" i="11" s="1"/>
  <c r="AA453" i="10"/>
  <c r="AB453" i="10"/>
  <c r="L43" i="11" s="1"/>
  <c r="AC453" i="10"/>
  <c r="O43" i="11" s="1"/>
  <c r="AD453" i="10"/>
  <c r="I43" i="11" s="1"/>
  <c r="AA454" i="10"/>
  <c r="AB454" i="10"/>
  <c r="AC454" i="10"/>
  <c r="AD454" i="10"/>
  <c r="AA455" i="10"/>
  <c r="AB455" i="10"/>
  <c r="AC455" i="10"/>
  <c r="AD455" i="10"/>
  <c r="AA456" i="10"/>
  <c r="AB456" i="10"/>
  <c r="L8" i="11" s="1"/>
  <c r="AC456" i="10"/>
  <c r="O8" i="11" s="1"/>
  <c r="AD456" i="10"/>
  <c r="I8" i="11" s="1"/>
  <c r="AA457" i="10"/>
  <c r="AB457" i="10"/>
  <c r="L48" i="11" s="1"/>
  <c r="AC457" i="10"/>
  <c r="O48" i="11" s="1"/>
  <c r="AD457" i="10"/>
  <c r="I48" i="11" s="1"/>
  <c r="AA458" i="10"/>
  <c r="AB458" i="10"/>
  <c r="L4" i="11" s="1"/>
  <c r="AC458" i="10"/>
  <c r="O4" i="11" s="1"/>
  <c r="AD458" i="10"/>
  <c r="I4" i="11" s="1"/>
  <c r="AA459" i="10"/>
  <c r="AB459" i="10"/>
  <c r="AC459" i="10"/>
  <c r="AD459" i="10"/>
  <c r="AA460" i="10"/>
  <c r="AB460" i="10"/>
  <c r="L7" i="11" s="1"/>
  <c r="AC460" i="10"/>
  <c r="O7" i="11" s="1"/>
  <c r="AD460" i="10"/>
  <c r="I7" i="11" s="1"/>
  <c r="AA461" i="10"/>
  <c r="AB461" i="10"/>
  <c r="L11" i="11" s="1"/>
  <c r="AC461" i="10"/>
  <c r="O11" i="11" s="1"/>
  <c r="AD461" i="10"/>
  <c r="I11" i="11" s="1"/>
  <c r="AA462" i="10"/>
  <c r="AB462" i="10"/>
  <c r="L27" i="11" s="1"/>
  <c r="AC462" i="10"/>
  <c r="O27" i="11" s="1"/>
  <c r="AD462" i="10"/>
  <c r="I27" i="11" s="1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O41" i="12"/>
  <c r="C41" i="12"/>
  <c r="D41" i="12"/>
  <c r="E41" i="12" a="1"/>
  <c r="E41" i="12" s="1"/>
  <c r="F41" i="12"/>
  <c r="G41" i="12"/>
  <c r="I41" i="12"/>
  <c r="J41" i="12" s="1"/>
  <c r="L41" i="12"/>
  <c r="M41" i="12" s="1"/>
  <c r="AA441" i="10"/>
  <c r="AB441" i="10"/>
  <c r="AC441" i="10"/>
  <c r="AD441" i="10"/>
  <c r="AA442" i="10"/>
  <c r="AB442" i="10"/>
  <c r="L6" i="11" s="1"/>
  <c r="AC442" i="10"/>
  <c r="O6" i="11" s="1"/>
  <c r="AD442" i="10"/>
  <c r="I6" i="11" s="1"/>
  <c r="AA443" i="10"/>
  <c r="AB443" i="10"/>
  <c r="AC443" i="10"/>
  <c r="AD443" i="10"/>
  <c r="AA444" i="10"/>
  <c r="AB444" i="10"/>
  <c r="AC444" i="10"/>
  <c r="AD444" i="10"/>
  <c r="AA445" i="10"/>
  <c r="AB445" i="10"/>
  <c r="L23" i="11" s="1"/>
  <c r="AC445" i="10"/>
  <c r="O23" i="11" s="1"/>
  <c r="AD445" i="10"/>
  <c r="I23" i="11" s="1"/>
  <c r="AA446" i="10"/>
  <c r="AB446" i="10"/>
  <c r="AC446" i="10"/>
  <c r="AD446" i="10"/>
  <c r="AA447" i="10"/>
  <c r="AB447" i="10"/>
  <c r="L14" i="11" s="1"/>
  <c r="AC447" i="10"/>
  <c r="O14" i="11" s="1"/>
  <c r="AD447" i="10"/>
  <c r="I14" i="11" s="1"/>
  <c r="AA448" i="10"/>
  <c r="AB448" i="10"/>
  <c r="AC448" i="10"/>
  <c r="AD448" i="10"/>
  <c r="AA449" i="10"/>
  <c r="AB449" i="10"/>
  <c r="AC449" i="10"/>
  <c r="AD449" i="10"/>
  <c r="AA450" i="10"/>
  <c r="AB450" i="10"/>
  <c r="L22" i="11" s="1"/>
  <c r="AC450" i="10"/>
  <c r="O22" i="11" s="1"/>
  <c r="AD450" i="10"/>
  <c r="I22" i="11" s="1"/>
  <c r="D47" i="11"/>
  <c r="E47" i="11"/>
  <c r="F47" i="11" a="1"/>
  <c r="F47" i="11" s="1"/>
  <c r="G47" i="11"/>
  <c r="H47" i="11"/>
  <c r="J47" i="11"/>
  <c r="K47" i="11" s="1"/>
  <c r="M47" i="11"/>
  <c r="N47" i="11" s="1"/>
  <c r="D38" i="11"/>
  <c r="E38" i="11"/>
  <c r="F38" i="11" a="1"/>
  <c r="F38" i="11" s="1"/>
  <c r="G38" i="11"/>
  <c r="H38" i="11"/>
  <c r="J38" i="11"/>
  <c r="K38" i="11" s="1"/>
  <c r="M38" i="11"/>
  <c r="N38" i="11" s="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Q38" i="11"/>
  <c r="R38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P38" i="11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O23" i="12"/>
  <c r="C23" i="12"/>
  <c r="D23" i="12"/>
  <c r="E23" i="12" a="1"/>
  <c r="E23" i="12" s="1"/>
  <c r="F23" i="12"/>
  <c r="G23" i="12"/>
  <c r="I23" i="12"/>
  <c r="J23" i="12" s="1"/>
  <c r="L23" i="12"/>
  <c r="M23" i="12" s="1"/>
  <c r="L2" i="12"/>
  <c r="O7" i="12"/>
  <c r="O6" i="12"/>
  <c r="P56" i="12"/>
  <c r="Q56" i="12"/>
  <c r="R56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O56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O55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O54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O53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O52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O51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O50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O49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O48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O47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O46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O45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O44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O43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O42" i="12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O40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O39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O38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O37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O36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O35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O34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O33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O32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O30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O29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O28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O27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O26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O25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O24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O22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O20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O19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O18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O17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6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O15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O14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O13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C15" i="12"/>
  <c r="D15" i="12"/>
  <c r="E15" i="12" a="1"/>
  <c r="E15" i="12" s="1"/>
  <c r="F15" i="12"/>
  <c r="G15" i="12"/>
  <c r="I15" i="12"/>
  <c r="J15" i="12" s="1"/>
  <c r="L15" i="12"/>
  <c r="M15" i="12" s="1"/>
  <c r="AA415" i="10"/>
  <c r="AB415" i="10"/>
  <c r="L39" i="11" s="1"/>
  <c r="AC415" i="10"/>
  <c r="O39" i="11" s="1"/>
  <c r="AD415" i="10"/>
  <c r="I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L33" i="11" s="1"/>
  <c r="AC435" i="10"/>
  <c r="O33" i="11" s="1"/>
  <c r="AD435" i="10"/>
  <c r="I33" i="11" s="1"/>
  <c r="AA436" i="10"/>
  <c r="AB436" i="10"/>
  <c r="L44" i="11" s="1"/>
  <c r="AC436" i="10"/>
  <c r="O44" i="11" s="1"/>
  <c r="AD436" i="10"/>
  <c r="I44" i="11" s="1"/>
  <c r="AA437" i="10"/>
  <c r="AB437" i="10"/>
  <c r="AC437" i="10"/>
  <c r="AD437" i="10"/>
  <c r="AA438" i="10"/>
  <c r="AB438" i="10"/>
  <c r="L47" i="11" s="1"/>
  <c r="AC438" i="10"/>
  <c r="O47" i="11" s="1"/>
  <c r="AD438" i="10"/>
  <c r="I47" i="11" s="1"/>
  <c r="AA439" i="10"/>
  <c r="AB439" i="10"/>
  <c r="AC439" i="10"/>
  <c r="AD439" i="10"/>
  <c r="AA440" i="10"/>
  <c r="AB440" i="10"/>
  <c r="AC440" i="10"/>
  <c r="AD440" i="10"/>
  <c r="P36" i="11"/>
  <c r="C24" i="12"/>
  <c r="D24" i="12"/>
  <c r="E24" i="12" a="1"/>
  <c r="E24" i="12" s="1"/>
  <c r="F24" i="12"/>
  <c r="G24" i="12"/>
  <c r="I24" i="12"/>
  <c r="J24" i="12" s="1"/>
  <c r="L24" i="12"/>
  <c r="M24" i="12" s="1"/>
  <c r="Q40" i="11"/>
  <c r="R40" i="1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P40" i="11"/>
  <c r="D40" i="11"/>
  <c r="E40" i="11"/>
  <c r="F40" i="11" a="1"/>
  <c r="F40" i="11" s="1"/>
  <c r="G40" i="11"/>
  <c r="H40" i="11"/>
  <c r="J40" i="11"/>
  <c r="K40" i="11" s="1"/>
  <c r="M40" i="11"/>
  <c r="N40" i="11" s="1"/>
  <c r="Q29" i="11"/>
  <c r="R29" i="1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P29" i="11"/>
  <c r="D29" i="11"/>
  <c r="E29" i="11"/>
  <c r="F29" i="11" a="1"/>
  <c r="F29" i="11" s="1"/>
  <c r="G29" i="11"/>
  <c r="H29" i="11"/>
  <c r="J29" i="11"/>
  <c r="K29" i="11" s="1"/>
  <c r="M29" i="11"/>
  <c r="N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L38" i="11" s="1"/>
  <c r="AC414" i="10"/>
  <c r="O38" i="11" s="1"/>
  <c r="AD414" i="10"/>
  <c r="I38" i="11" s="1"/>
  <c r="Q45" i="11"/>
  <c r="R45" i="11"/>
  <c r="S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P45" i="11"/>
  <c r="D45" i="11"/>
  <c r="E45" i="11"/>
  <c r="F45" i="11" a="1"/>
  <c r="F45" i="11" s="1"/>
  <c r="G45" i="11"/>
  <c r="H45" i="11"/>
  <c r="J45" i="11"/>
  <c r="K45" i="11" s="1"/>
  <c r="M45" i="11"/>
  <c r="N45" i="11" s="1"/>
  <c r="AA390" i="10"/>
  <c r="AB390" i="10"/>
  <c r="AC390" i="10"/>
  <c r="AD390" i="10"/>
  <c r="AA391" i="10"/>
  <c r="AB391" i="10"/>
  <c r="AC391" i="10"/>
  <c r="AD391" i="10"/>
  <c r="AA392" i="10"/>
  <c r="AB392" i="10"/>
  <c r="L35" i="11" s="1"/>
  <c r="AC392" i="10"/>
  <c r="O35" i="11" s="1"/>
  <c r="AD392" i="10"/>
  <c r="I35" i="11" s="1"/>
  <c r="AA393" i="10"/>
  <c r="AB393" i="10"/>
  <c r="L17" i="11" s="1"/>
  <c r="AC393" i="10"/>
  <c r="O17" i="11" s="1"/>
  <c r="AD393" i="10"/>
  <c r="I17" i="11" s="1"/>
  <c r="AA394" i="10"/>
  <c r="AB394" i="10"/>
  <c r="AC394" i="10"/>
  <c r="AD394" i="10"/>
  <c r="AA395" i="10"/>
  <c r="AB395" i="10"/>
  <c r="AC395" i="10"/>
  <c r="AD395" i="10"/>
  <c r="AA396" i="10"/>
  <c r="AB396" i="10"/>
  <c r="L45" i="11" s="1"/>
  <c r="AC396" i="10"/>
  <c r="O45" i="11" s="1"/>
  <c r="AD396" i="10"/>
  <c r="I45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P10" i="11"/>
  <c r="D10" i="11"/>
  <c r="E10" i="11"/>
  <c r="F10" i="11" a="1"/>
  <c r="F10" i="11" s="1"/>
  <c r="G10" i="11"/>
  <c r="H10" i="11"/>
  <c r="J10" i="11"/>
  <c r="K10" i="11" s="1"/>
  <c r="M10" i="11"/>
  <c r="N10" i="11" s="1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3" i="11"/>
  <c r="Y4" i="11"/>
  <c r="Y5" i="11"/>
  <c r="Y6" i="11"/>
  <c r="Y8" i="11"/>
  <c r="Y9" i="11"/>
  <c r="Y11" i="11"/>
  <c r="Y12" i="11"/>
  <c r="Y14" i="11"/>
  <c r="Y15" i="11"/>
  <c r="Y16" i="11"/>
  <c r="Y17" i="11"/>
  <c r="Y18" i="11"/>
  <c r="Y20" i="11"/>
  <c r="Y21" i="11"/>
  <c r="Y22" i="11"/>
  <c r="Y23" i="11"/>
  <c r="Y24" i="11"/>
  <c r="Y25" i="11"/>
  <c r="Y26" i="11"/>
  <c r="Y27" i="11"/>
  <c r="Y28" i="11"/>
  <c r="Y30" i="11"/>
  <c r="Y31" i="11"/>
  <c r="Y32" i="11"/>
  <c r="Y33" i="11"/>
  <c r="Y34" i="11"/>
  <c r="Y35" i="11"/>
  <c r="Y36" i="11"/>
  <c r="Y39" i="11"/>
  <c r="Y41" i="11"/>
  <c r="Y43" i="11"/>
  <c r="Y44" i="11"/>
  <c r="Y46" i="11"/>
  <c r="Y47" i="11"/>
  <c r="Y48" i="11"/>
  <c r="Y49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W7" i="12"/>
  <c r="W6" i="12"/>
  <c r="W5" i="12"/>
  <c r="W4" i="12"/>
  <c r="W3" i="12"/>
  <c r="I46" i="12"/>
  <c r="J46" i="12" s="1"/>
  <c r="L46" i="12"/>
  <c r="M46" i="12" s="1"/>
  <c r="F46" i="12"/>
  <c r="G46" i="12"/>
  <c r="C46" i="12"/>
  <c r="D46" i="12"/>
  <c r="E46" i="12" a="1"/>
  <c r="E46" i="12" s="1"/>
  <c r="AA377" i="10"/>
  <c r="AB377" i="10"/>
  <c r="AC377" i="10"/>
  <c r="AD377" i="10"/>
  <c r="AA361" i="10"/>
  <c r="AB361" i="10"/>
  <c r="L36" i="11" s="1"/>
  <c r="AC361" i="10"/>
  <c r="O36" i="11" s="1"/>
  <c r="AD361" i="10"/>
  <c r="I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47" i="11"/>
  <c r="R47" i="11"/>
  <c r="S47" i="11"/>
  <c r="T47" i="11"/>
  <c r="U47" i="11"/>
  <c r="V47" i="11"/>
  <c r="W47" i="11"/>
  <c r="X47" i="11"/>
  <c r="Z47" i="11"/>
  <c r="AA47" i="11"/>
  <c r="AB47" i="11"/>
  <c r="AC47" i="11"/>
  <c r="AD47" i="11"/>
  <c r="AE47" i="11"/>
  <c r="P47" i="11"/>
  <c r="C33" i="12"/>
  <c r="D33" i="12"/>
  <c r="E33" i="12" a="1"/>
  <c r="E33" i="12" s="1"/>
  <c r="F33" i="12"/>
  <c r="G33" i="12"/>
  <c r="I33" i="12"/>
  <c r="L33" i="12"/>
  <c r="M33" i="12" s="1"/>
  <c r="C34" i="12"/>
  <c r="D34" i="12"/>
  <c r="E34" i="12" a="1"/>
  <c r="E34" i="12" s="1"/>
  <c r="F34" i="12"/>
  <c r="G34" i="12"/>
  <c r="I34" i="12"/>
  <c r="J34" i="12" s="1"/>
  <c r="L34" i="12"/>
  <c r="M34" i="12" s="1"/>
  <c r="L40" i="11" l="1"/>
  <c r="O40" i="11"/>
  <c r="O29" i="11"/>
  <c r="O30" i="11"/>
  <c r="O26" i="11"/>
  <c r="M2" i="12"/>
  <c r="J33" i="12"/>
  <c r="I21" i="12"/>
  <c r="J21" i="12" s="1"/>
  <c r="L21" i="12"/>
  <c r="M21" i="12" s="1"/>
  <c r="F21" i="12"/>
  <c r="G21" i="12"/>
  <c r="C21" i="12"/>
  <c r="D21" i="12"/>
  <c r="E21" i="12" a="1"/>
  <c r="E21" i="12" s="1"/>
  <c r="F40" i="12"/>
  <c r="G40" i="12"/>
  <c r="I40" i="12"/>
  <c r="J40" i="12" s="1"/>
  <c r="L40" i="12"/>
  <c r="M40" i="12" s="1"/>
  <c r="C40" i="12"/>
  <c r="D40" i="12"/>
  <c r="E40" i="12" a="1"/>
  <c r="E40" i="12" s="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M3" i="11"/>
  <c r="N3" i="11" s="1"/>
  <c r="J3" i="11"/>
  <c r="K3" i="11" s="1"/>
  <c r="H3" i="11"/>
  <c r="G3" i="11"/>
  <c r="F3" i="11" a="1"/>
  <c r="F3" i="11" s="1"/>
  <c r="E3" i="11"/>
  <c r="D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M22" i="11"/>
  <c r="N22" i="11" s="1"/>
  <c r="J22" i="11"/>
  <c r="H22" i="11"/>
  <c r="G22" i="11"/>
  <c r="E22" i="11"/>
  <c r="D22" i="11"/>
  <c r="F22" i="11" a="1"/>
  <c r="F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J16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3" i="12"/>
  <c r="M43" i="12" s="1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M30" i="12"/>
  <c r="L32" i="12"/>
  <c r="M32" i="12" s="1"/>
  <c r="L35" i="12"/>
  <c r="M35" i="12" s="1"/>
  <c r="L36" i="12"/>
  <c r="M36" i="12" s="1"/>
  <c r="L37" i="12"/>
  <c r="M37" i="12" s="1"/>
  <c r="L38" i="12"/>
  <c r="M38" i="12" s="1"/>
  <c r="L39" i="12"/>
  <c r="M39" i="12" s="1"/>
  <c r="L42" i="12"/>
  <c r="M42" i="12" s="1"/>
  <c r="L44" i="12"/>
  <c r="M44" i="12" s="1"/>
  <c r="L45" i="12"/>
  <c r="M45" i="12" s="1"/>
  <c r="L47" i="12"/>
  <c r="M47" i="12" s="1"/>
  <c r="L48" i="12"/>
  <c r="M48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M55" i="12" s="1"/>
  <c r="L56" i="12"/>
  <c r="L3" i="12"/>
  <c r="M3" i="12" s="1"/>
  <c r="I4" i="12"/>
  <c r="J4" i="12" s="1"/>
  <c r="I5" i="12"/>
  <c r="J5" i="12" s="1"/>
  <c r="I6" i="12"/>
  <c r="J6" i="12" s="1"/>
  <c r="I7" i="12"/>
  <c r="J7" i="12" s="1"/>
  <c r="I8" i="12"/>
  <c r="J8" i="12" s="1"/>
  <c r="I9" i="12"/>
  <c r="J9" i="12" s="1"/>
  <c r="I10" i="12"/>
  <c r="J10" i="12" s="1"/>
  <c r="I11" i="12"/>
  <c r="J11" i="12" s="1"/>
  <c r="I13" i="12"/>
  <c r="J13" i="12" s="1"/>
  <c r="I43" i="12"/>
  <c r="I14" i="12"/>
  <c r="J14" i="12" s="1"/>
  <c r="I16" i="12"/>
  <c r="J16" i="12" s="1"/>
  <c r="I17" i="12"/>
  <c r="J17" i="12" s="1"/>
  <c r="I18" i="12"/>
  <c r="J18" i="12" s="1"/>
  <c r="I19" i="12"/>
  <c r="J19" i="12" s="1"/>
  <c r="I20" i="12"/>
  <c r="J20" i="12" s="1"/>
  <c r="I22" i="12"/>
  <c r="J22" i="12" s="1"/>
  <c r="I25" i="12"/>
  <c r="J25" i="12" s="1"/>
  <c r="I26" i="12"/>
  <c r="J26" i="12" s="1"/>
  <c r="I27" i="12"/>
  <c r="J27" i="12" s="1"/>
  <c r="I28" i="12"/>
  <c r="J28" i="12" s="1"/>
  <c r="I29" i="12"/>
  <c r="J29" i="12" s="1"/>
  <c r="I30" i="12"/>
  <c r="J30" i="12" s="1"/>
  <c r="I32" i="12"/>
  <c r="J32" i="12" s="1"/>
  <c r="I35" i="12"/>
  <c r="J35" i="12" s="1"/>
  <c r="I36" i="12"/>
  <c r="J36" i="12" s="1"/>
  <c r="I37" i="12"/>
  <c r="J37" i="12" s="1"/>
  <c r="I38" i="12"/>
  <c r="J38" i="12" s="1"/>
  <c r="I39" i="12"/>
  <c r="J39" i="12" s="1"/>
  <c r="I42" i="12"/>
  <c r="J42" i="12" s="1"/>
  <c r="I44" i="12"/>
  <c r="J44" i="12" s="1"/>
  <c r="I45" i="12"/>
  <c r="J45" i="12" s="1"/>
  <c r="I47" i="12"/>
  <c r="J47" i="12" s="1"/>
  <c r="I48" i="12"/>
  <c r="J48" i="12" s="1"/>
  <c r="I49" i="12"/>
  <c r="J49" i="12" s="1"/>
  <c r="I50" i="12"/>
  <c r="J50" i="12" s="1"/>
  <c r="I51" i="12"/>
  <c r="J51" i="12" s="1"/>
  <c r="I52" i="12"/>
  <c r="J52" i="12" s="1"/>
  <c r="I53" i="12"/>
  <c r="J53" i="12" s="1"/>
  <c r="I54" i="12"/>
  <c r="J54" i="12" s="1"/>
  <c r="I55" i="12"/>
  <c r="J55" i="12" s="1"/>
  <c r="I56" i="12"/>
  <c r="J56" i="12" s="1"/>
  <c r="I3" i="12"/>
  <c r="J3" i="12" s="1"/>
  <c r="G4" i="12"/>
  <c r="G5" i="12"/>
  <c r="G6" i="12"/>
  <c r="G7" i="12"/>
  <c r="G8" i="12"/>
  <c r="G9" i="12"/>
  <c r="G10" i="12"/>
  <c r="G11" i="12"/>
  <c r="G13" i="12"/>
  <c r="G43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2" i="12"/>
  <c r="G35" i="12"/>
  <c r="G36" i="12"/>
  <c r="G37" i="12"/>
  <c r="G38" i="12"/>
  <c r="G39" i="12"/>
  <c r="G42" i="12"/>
  <c r="G44" i="12"/>
  <c r="G45" i="12"/>
  <c r="G47" i="12"/>
  <c r="G48" i="12"/>
  <c r="G49" i="12"/>
  <c r="G50" i="12"/>
  <c r="G51" i="12"/>
  <c r="G52" i="12"/>
  <c r="G53" i="12"/>
  <c r="G54" i="12"/>
  <c r="G55" i="12"/>
  <c r="G56" i="12"/>
  <c r="G3" i="12"/>
  <c r="F43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2" i="12"/>
  <c r="F35" i="12"/>
  <c r="F36" i="12"/>
  <c r="F37" i="12"/>
  <c r="F38" i="12"/>
  <c r="F39" i="12"/>
  <c r="F42" i="12"/>
  <c r="F44" i="12"/>
  <c r="F45" i="12"/>
  <c r="F47" i="12"/>
  <c r="F48" i="12"/>
  <c r="F49" i="12"/>
  <c r="F50" i="12"/>
  <c r="F51" i="12"/>
  <c r="F52" i="12"/>
  <c r="F53" i="12"/>
  <c r="F54" i="12"/>
  <c r="F55" i="12"/>
  <c r="F56" i="12"/>
  <c r="F4" i="12"/>
  <c r="F5" i="12"/>
  <c r="F6" i="12"/>
  <c r="F7" i="12"/>
  <c r="F8" i="12"/>
  <c r="F9" i="12"/>
  <c r="F10" i="12"/>
  <c r="F11" i="12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43" i="12" a="1"/>
  <c r="E43" i="12" s="1"/>
  <c r="E14" i="12" a="1"/>
  <c r="E14" i="12" s="1"/>
  <c r="E16" i="12" a="1"/>
  <c r="E16" i="12" s="1"/>
  <c r="E17" i="12" a="1"/>
  <c r="E17" i="12" s="1"/>
  <c r="E18" i="12" a="1"/>
  <c r="E18" i="12" s="1"/>
  <c r="E19" i="12" a="1"/>
  <c r="E19" i="12" s="1"/>
  <c r="E20" i="12" a="1"/>
  <c r="E20" i="12" s="1"/>
  <c r="E22" i="12" a="1"/>
  <c r="E22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2" i="12" a="1"/>
  <c r="E32" i="12" s="1"/>
  <c r="E35" i="12" a="1"/>
  <c r="E35" i="12" s="1"/>
  <c r="E36" i="12" a="1"/>
  <c r="E36" i="12" s="1"/>
  <c r="E37" i="12" a="1"/>
  <c r="E37" i="12" s="1"/>
  <c r="E38" i="12" a="1"/>
  <c r="E38" i="12" s="1"/>
  <c r="E39" i="12" a="1"/>
  <c r="E39" i="12" s="1"/>
  <c r="E42" i="12" a="1"/>
  <c r="E42" i="12" s="1"/>
  <c r="E44" i="12" a="1"/>
  <c r="E44" i="12" s="1"/>
  <c r="E45" i="12" a="1"/>
  <c r="E45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54" i="12" a="1"/>
  <c r="E54" i="12" s="1"/>
  <c r="E55" i="12" a="1"/>
  <c r="E55" i="12" s="1"/>
  <c r="E56" i="12" a="1"/>
  <c r="E56" i="12" s="1"/>
  <c r="E3" i="12" a="1"/>
  <c r="E3" i="12" s="1"/>
  <c r="D43" i="12"/>
  <c r="D14" i="12"/>
  <c r="D16" i="12"/>
  <c r="D17" i="12"/>
  <c r="D18" i="12"/>
  <c r="D19" i="12"/>
  <c r="D20" i="12"/>
  <c r="D22" i="12"/>
  <c r="D25" i="12"/>
  <c r="D26" i="12"/>
  <c r="D27" i="12"/>
  <c r="D28" i="12"/>
  <c r="D29" i="12"/>
  <c r="D30" i="12"/>
  <c r="D32" i="12"/>
  <c r="D35" i="12"/>
  <c r="D36" i="12"/>
  <c r="D37" i="12"/>
  <c r="D38" i="12"/>
  <c r="D39" i="12"/>
  <c r="D42" i="12"/>
  <c r="D44" i="12"/>
  <c r="D45" i="12"/>
  <c r="D47" i="12"/>
  <c r="D48" i="12"/>
  <c r="D49" i="12"/>
  <c r="D50" i="12"/>
  <c r="D51" i="12"/>
  <c r="D52" i="12"/>
  <c r="D53" i="12"/>
  <c r="D54" i="12"/>
  <c r="D55" i="12"/>
  <c r="D56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43" i="12"/>
  <c r="C14" i="12"/>
  <c r="C16" i="12"/>
  <c r="C17" i="12"/>
  <c r="C18" i="12"/>
  <c r="C19" i="12"/>
  <c r="C20" i="12"/>
  <c r="C22" i="12"/>
  <c r="C25" i="12"/>
  <c r="C26" i="12"/>
  <c r="C27" i="12"/>
  <c r="C28" i="12"/>
  <c r="C29" i="12"/>
  <c r="C30" i="12"/>
  <c r="C32" i="12"/>
  <c r="C35" i="12"/>
  <c r="C36" i="12"/>
  <c r="C37" i="12"/>
  <c r="C38" i="12"/>
  <c r="C39" i="12"/>
  <c r="C42" i="12"/>
  <c r="C44" i="12"/>
  <c r="C45" i="12"/>
  <c r="C47" i="12"/>
  <c r="C48" i="12"/>
  <c r="C49" i="12"/>
  <c r="C50" i="12"/>
  <c r="C51" i="12"/>
  <c r="C52" i="12"/>
  <c r="C53" i="12"/>
  <c r="C54" i="12"/>
  <c r="C55" i="12"/>
  <c r="C56" i="12"/>
  <c r="C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9" i="11"/>
  <c r="R49" i="11"/>
  <c r="S49" i="11"/>
  <c r="T49" i="11"/>
  <c r="U49" i="11"/>
  <c r="V49" i="11"/>
  <c r="W49" i="11"/>
  <c r="X49" i="11"/>
  <c r="Z49" i="11"/>
  <c r="AA49" i="11"/>
  <c r="AB49" i="11"/>
  <c r="AC49" i="11"/>
  <c r="AD49" i="11"/>
  <c r="AE49" i="11"/>
  <c r="P49" i="11"/>
  <c r="Q48" i="11"/>
  <c r="R48" i="11"/>
  <c r="S48" i="11"/>
  <c r="T48" i="11"/>
  <c r="U48" i="11"/>
  <c r="V48" i="11"/>
  <c r="W48" i="11"/>
  <c r="X48" i="11"/>
  <c r="Z48" i="11"/>
  <c r="AA48" i="11"/>
  <c r="AB48" i="11"/>
  <c r="AC48" i="11"/>
  <c r="AD48" i="11"/>
  <c r="AE48" i="11"/>
  <c r="P48" i="11"/>
  <c r="Q46" i="11"/>
  <c r="R46" i="11"/>
  <c r="S46" i="11"/>
  <c r="T46" i="11"/>
  <c r="U46" i="11"/>
  <c r="V46" i="11"/>
  <c r="W46" i="11"/>
  <c r="X46" i="11"/>
  <c r="Z46" i="11"/>
  <c r="AA46" i="11"/>
  <c r="AB46" i="11"/>
  <c r="AC46" i="11"/>
  <c r="AD46" i="11"/>
  <c r="AE46" i="11"/>
  <c r="P46" i="11"/>
  <c r="Q44" i="11"/>
  <c r="R44" i="11"/>
  <c r="S44" i="11"/>
  <c r="T44" i="11"/>
  <c r="U44" i="11"/>
  <c r="V44" i="11"/>
  <c r="W44" i="11"/>
  <c r="X44" i="11"/>
  <c r="Z44" i="11"/>
  <c r="AA44" i="11"/>
  <c r="AB44" i="11"/>
  <c r="AC44" i="11"/>
  <c r="AD44" i="11"/>
  <c r="AE44" i="11"/>
  <c r="P44" i="11"/>
  <c r="Q43" i="11"/>
  <c r="R43" i="11"/>
  <c r="S43" i="11"/>
  <c r="T43" i="11"/>
  <c r="U43" i="11"/>
  <c r="V43" i="11"/>
  <c r="W43" i="11"/>
  <c r="X43" i="11"/>
  <c r="Z43" i="11"/>
  <c r="AA43" i="11"/>
  <c r="AB43" i="11"/>
  <c r="AC43" i="11"/>
  <c r="AD43" i="11"/>
  <c r="AE43" i="11"/>
  <c r="P43" i="11"/>
  <c r="Q41" i="11"/>
  <c r="R41" i="11"/>
  <c r="S41" i="11"/>
  <c r="T41" i="11"/>
  <c r="U41" i="11"/>
  <c r="V41" i="11"/>
  <c r="W41" i="11"/>
  <c r="X41" i="11"/>
  <c r="Z41" i="11"/>
  <c r="AA41" i="11"/>
  <c r="AB41" i="11"/>
  <c r="AC41" i="11"/>
  <c r="AD41" i="11"/>
  <c r="AE41" i="11"/>
  <c r="P41" i="11"/>
  <c r="Q39" i="11"/>
  <c r="R39" i="11"/>
  <c r="S39" i="11"/>
  <c r="T39" i="11"/>
  <c r="U39" i="11"/>
  <c r="V39" i="11"/>
  <c r="W39" i="11"/>
  <c r="X39" i="11"/>
  <c r="Z39" i="11"/>
  <c r="AA39" i="11"/>
  <c r="AB39" i="11"/>
  <c r="AC39" i="11"/>
  <c r="AD39" i="11"/>
  <c r="AE39" i="11"/>
  <c r="P39" i="11"/>
  <c r="Q36" i="11"/>
  <c r="R36" i="11"/>
  <c r="S36" i="11"/>
  <c r="T36" i="11"/>
  <c r="U36" i="11"/>
  <c r="V36" i="11"/>
  <c r="W36" i="11"/>
  <c r="X36" i="11"/>
  <c r="Z36" i="11"/>
  <c r="AA36" i="11"/>
  <c r="AB36" i="11"/>
  <c r="AC36" i="11"/>
  <c r="AD36" i="11"/>
  <c r="AE36" i="11"/>
  <c r="Q35" i="11"/>
  <c r="R35" i="11"/>
  <c r="S35" i="11"/>
  <c r="T35" i="11"/>
  <c r="U35" i="11"/>
  <c r="V35" i="11"/>
  <c r="W35" i="11"/>
  <c r="X35" i="11"/>
  <c r="Z35" i="11"/>
  <c r="AA35" i="11"/>
  <c r="AB35" i="11"/>
  <c r="AC35" i="11"/>
  <c r="AD35" i="11"/>
  <c r="AE35" i="11"/>
  <c r="P35" i="11"/>
  <c r="Q34" i="11"/>
  <c r="R34" i="11"/>
  <c r="S34" i="11"/>
  <c r="T34" i="11"/>
  <c r="U34" i="11"/>
  <c r="V34" i="11"/>
  <c r="W34" i="11"/>
  <c r="X34" i="11"/>
  <c r="Z34" i="11"/>
  <c r="AA34" i="11"/>
  <c r="AB34" i="11"/>
  <c r="AC34" i="11"/>
  <c r="AD34" i="11"/>
  <c r="AE34" i="11"/>
  <c r="P34" i="1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P33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7" i="11"/>
  <c r="R27" i="11"/>
  <c r="S27" i="11"/>
  <c r="T27" i="11"/>
  <c r="U27" i="11"/>
  <c r="V27" i="11"/>
  <c r="W27" i="11"/>
  <c r="X27" i="11"/>
  <c r="Z27" i="11"/>
  <c r="AA27" i="11"/>
  <c r="AB27" i="11"/>
  <c r="AC27" i="11"/>
  <c r="AD27" i="11"/>
  <c r="AE27" i="11"/>
  <c r="P27" i="11"/>
  <c r="Q26" i="11"/>
  <c r="R26" i="11"/>
  <c r="S26" i="11"/>
  <c r="T26" i="11"/>
  <c r="U26" i="11"/>
  <c r="V26" i="11"/>
  <c r="W26" i="11"/>
  <c r="X26" i="11"/>
  <c r="Z26" i="11"/>
  <c r="AA26" i="11"/>
  <c r="AB26" i="11"/>
  <c r="AC26" i="11"/>
  <c r="AD26" i="11"/>
  <c r="AE26" i="11"/>
  <c r="P26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9" i="11"/>
  <c r="R9" i="11"/>
  <c r="S9" i="11"/>
  <c r="T9" i="11"/>
  <c r="U9" i="11"/>
  <c r="V9" i="11"/>
  <c r="W9" i="11"/>
  <c r="X9" i="11"/>
  <c r="Z9" i="11"/>
  <c r="AA9" i="11"/>
  <c r="AB9" i="11"/>
  <c r="AC9" i="11"/>
  <c r="AD9" i="11"/>
  <c r="AE9" i="11"/>
  <c r="P9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P7" i="11"/>
  <c r="Q6" i="11"/>
  <c r="R6" i="11"/>
  <c r="S6" i="11"/>
  <c r="T6" i="11"/>
  <c r="U6" i="11"/>
  <c r="V6" i="11"/>
  <c r="W6" i="11"/>
  <c r="X6" i="11"/>
  <c r="Z6" i="11"/>
  <c r="AA6" i="11"/>
  <c r="AB6" i="11"/>
  <c r="AC6" i="11"/>
  <c r="AD6" i="11"/>
  <c r="AE6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M4" i="11"/>
  <c r="N4" i="11" s="1"/>
  <c r="J5" i="11"/>
  <c r="K5" i="11" s="1"/>
  <c r="J6" i="11"/>
  <c r="K6" i="11" s="1"/>
  <c r="J7" i="11"/>
  <c r="K7" i="11" s="1"/>
  <c r="J8" i="11"/>
  <c r="K8" i="11" s="1"/>
  <c r="J9" i="11"/>
  <c r="K9" i="11" s="1"/>
  <c r="J11" i="11"/>
  <c r="K11" i="11" s="1"/>
  <c r="J12" i="11"/>
  <c r="K12" i="11" s="1"/>
  <c r="J14" i="11"/>
  <c r="K14" i="11" s="1"/>
  <c r="J15" i="11"/>
  <c r="K15" i="11" s="1"/>
  <c r="J16" i="11"/>
  <c r="K16" i="11" s="1"/>
  <c r="J17" i="11"/>
  <c r="K17" i="11" s="1"/>
  <c r="J18" i="11"/>
  <c r="K18" i="11" s="1"/>
  <c r="J20" i="11"/>
  <c r="K20" i="11" s="1"/>
  <c r="J21" i="11"/>
  <c r="K21" i="11" s="1"/>
  <c r="J23" i="11"/>
  <c r="K23" i="11" s="1"/>
  <c r="J24" i="11"/>
  <c r="K24" i="11" s="1"/>
  <c r="J25" i="11"/>
  <c r="K25" i="11" s="1"/>
  <c r="J26" i="11"/>
  <c r="K26" i="11" s="1"/>
  <c r="J27" i="11"/>
  <c r="K27" i="11" s="1"/>
  <c r="J28" i="11"/>
  <c r="K28" i="11" s="1"/>
  <c r="J30" i="11"/>
  <c r="K30" i="11" s="1"/>
  <c r="J31" i="11"/>
  <c r="K31" i="11" s="1"/>
  <c r="J32" i="11"/>
  <c r="K32" i="11" s="1"/>
  <c r="J33" i="11"/>
  <c r="K33" i="11" s="1"/>
  <c r="J34" i="11"/>
  <c r="K34" i="11" s="1"/>
  <c r="J35" i="11"/>
  <c r="K35" i="11" s="1"/>
  <c r="J36" i="11"/>
  <c r="K36" i="11" s="1"/>
  <c r="J39" i="11"/>
  <c r="K39" i="11" s="1"/>
  <c r="J41" i="11"/>
  <c r="K41" i="11" s="1"/>
  <c r="J43" i="11"/>
  <c r="K43" i="11" s="1"/>
  <c r="J44" i="11"/>
  <c r="K44" i="11" s="1"/>
  <c r="J46" i="11"/>
  <c r="K46" i="11" s="1"/>
  <c r="J48" i="11"/>
  <c r="K48" i="11" s="1"/>
  <c r="J49" i="11"/>
  <c r="K49" i="11" s="1"/>
  <c r="J4" i="11"/>
  <c r="K4" i="11" s="1"/>
  <c r="H5" i="11"/>
  <c r="H6" i="11"/>
  <c r="H7" i="11"/>
  <c r="H8" i="11"/>
  <c r="H9" i="11"/>
  <c r="H11" i="11"/>
  <c r="H12" i="11"/>
  <c r="H14" i="11"/>
  <c r="H15" i="11"/>
  <c r="H16" i="11"/>
  <c r="H17" i="11"/>
  <c r="H18" i="11"/>
  <c r="H20" i="11"/>
  <c r="H21" i="11"/>
  <c r="H23" i="11"/>
  <c r="H24" i="11"/>
  <c r="H25" i="11"/>
  <c r="H26" i="11"/>
  <c r="H27" i="11"/>
  <c r="H28" i="11"/>
  <c r="H30" i="11"/>
  <c r="H31" i="11"/>
  <c r="H32" i="11"/>
  <c r="H33" i="11"/>
  <c r="H34" i="11"/>
  <c r="H35" i="11"/>
  <c r="H36" i="11"/>
  <c r="H39" i="11"/>
  <c r="H41" i="11"/>
  <c r="H43" i="11"/>
  <c r="H44" i="11"/>
  <c r="H46" i="11"/>
  <c r="H48" i="11"/>
  <c r="H49" i="11"/>
  <c r="H4" i="11"/>
  <c r="G5" i="11"/>
  <c r="G6" i="11"/>
  <c r="G7" i="11"/>
  <c r="G8" i="11"/>
  <c r="G9" i="11"/>
  <c r="G11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3" i="11"/>
  <c r="G44" i="11"/>
  <c r="G46" i="11"/>
  <c r="G48" i="11"/>
  <c r="G49" i="11"/>
  <c r="G4" i="11"/>
  <c r="M5" i="11"/>
  <c r="N5" i="11" s="1"/>
  <c r="M6" i="11"/>
  <c r="N6" i="11" s="1"/>
  <c r="M7" i="11"/>
  <c r="N7" i="11" s="1"/>
  <c r="M8" i="11"/>
  <c r="N8" i="11" s="1"/>
  <c r="M9" i="11"/>
  <c r="N9" i="11" s="1"/>
  <c r="M12" i="11"/>
  <c r="N12" i="11" s="1"/>
  <c r="M14" i="11"/>
  <c r="N14" i="11" s="1"/>
  <c r="M15" i="11"/>
  <c r="N15" i="11" s="1"/>
  <c r="M16" i="11"/>
  <c r="N16" i="11" s="1"/>
  <c r="M17" i="11"/>
  <c r="N17" i="11" s="1"/>
  <c r="M18" i="11"/>
  <c r="N18" i="11" s="1"/>
  <c r="M20" i="11"/>
  <c r="N20" i="11" s="1"/>
  <c r="M21" i="11"/>
  <c r="N21" i="11" s="1"/>
  <c r="M23" i="11"/>
  <c r="N23" i="11" s="1"/>
  <c r="M24" i="11"/>
  <c r="N24" i="11" s="1"/>
  <c r="M25" i="11"/>
  <c r="N25" i="11" s="1"/>
  <c r="M26" i="11"/>
  <c r="N26" i="11" s="1"/>
  <c r="M27" i="11"/>
  <c r="M28" i="11"/>
  <c r="N28" i="11" s="1"/>
  <c r="M30" i="11"/>
  <c r="N30" i="11" s="1"/>
  <c r="M31" i="11"/>
  <c r="N31" i="11" s="1"/>
  <c r="M32" i="11"/>
  <c r="N32" i="11" s="1"/>
  <c r="M33" i="11"/>
  <c r="N33" i="11" s="1"/>
  <c r="M34" i="11"/>
  <c r="N34" i="11" s="1"/>
  <c r="M35" i="11"/>
  <c r="N35" i="11" s="1"/>
  <c r="M36" i="11"/>
  <c r="N36" i="11" s="1"/>
  <c r="M39" i="11"/>
  <c r="N39" i="11" s="1"/>
  <c r="M41" i="11"/>
  <c r="N41" i="11" s="1"/>
  <c r="M43" i="11"/>
  <c r="N43" i="11" s="1"/>
  <c r="M44" i="11"/>
  <c r="N44" i="11" s="1"/>
  <c r="M46" i="11"/>
  <c r="N46" i="11" s="1"/>
  <c r="M48" i="11"/>
  <c r="N48" i="11" s="1"/>
  <c r="M49" i="11"/>
  <c r="N49" i="11" s="1"/>
  <c r="F12" i="11" a="1"/>
  <c r="F12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20" i="11" a="1"/>
  <c r="F20" i="11" s="1"/>
  <c r="F21" i="11" a="1"/>
  <c r="F21" i="11" s="1"/>
  <c r="F23" i="11" a="1"/>
  <c r="F23" i="11" s="1"/>
  <c r="F24" i="11" a="1"/>
  <c r="F24" i="11" s="1"/>
  <c r="F25" i="11" a="1"/>
  <c r="F25" i="11" s="1"/>
  <c r="F26" i="11" a="1"/>
  <c r="F26" i="11" s="1"/>
  <c r="F27" i="11" a="1"/>
  <c r="F27" i="11" s="1"/>
  <c r="F28" i="11" a="1"/>
  <c r="F28" i="11" s="1"/>
  <c r="F30" i="11" a="1"/>
  <c r="F30" i="11" s="1"/>
  <c r="F31" i="11" a="1"/>
  <c r="F31" i="11" s="1"/>
  <c r="F32" i="11" a="1"/>
  <c r="F32" i="11" s="1"/>
  <c r="F33" i="11" a="1"/>
  <c r="F33" i="11" s="1"/>
  <c r="F34" i="11" a="1"/>
  <c r="F34" i="11" s="1"/>
  <c r="F35" i="11" a="1"/>
  <c r="F35" i="11" s="1"/>
  <c r="F36" i="11" a="1"/>
  <c r="F36" i="11" s="1"/>
  <c r="F39" i="11" a="1"/>
  <c r="F39" i="11" s="1"/>
  <c r="F41" i="11" a="1"/>
  <c r="F41" i="11" s="1"/>
  <c r="F43" i="11" a="1"/>
  <c r="F43" i="11" s="1"/>
  <c r="F44" i="11" a="1"/>
  <c r="F44" i="11" s="1"/>
  <c r="F46" i="11" a="1"/>
  <c r="F46" i="11" s="1"/>
  <c r="F48" i="11" a="1"/>
  <c r="F48" i="11" s="1"/>
  <c r="F49" i="11" a="1"/>
  <c r="F49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9" i="11" a="1"/>
  <c r="F9" i="11" s="1"/>
  <c r="F11" i="11" a="1"/>
  <c r="F11" i="11" s="1"/>
  <c r="E4" i="11"/>
  <c r="E5" i="11"/>
  <c r="E6" i="11"/>
  <c r="E7" i="11"/>
  <c r="E8" i="11"/>
  <c r="E9" i="11"/>
  <c r="E12" i="11"/>
  <c r="E14" i="11"/>
  <c r="E15" i="11"/>
  <c r="E16" i="11"/>
  <c r="E17" i="11"/>
  <c r="E18" i="11"/>
  <c r="E20" i="11"/>
  <c r="E21" i="11"/>
  <c r="E23" i="11"/>
  <c r="E24" i="11"/>
  <c r="E25" i="11"/>
  <c r="E26" i="11"/>
  <c r="E27" i="11"/>
  <c r="E28" i="11"/>
  <c r="E30" i="11"/>
  <c r="E31" i="11"/>
  <c r="E32" i="11"/>
  <c r="E33" i="11"/>
  <c r="E34" i="11"/>
  <c r="E35" i="11"/>
  <c r="E36" i="11"/>
  <c r="E39" i="11"/>
  <c r="E41" i="11"/>
  <c r="E43" i="11"/>
  <c r="E44" i="11"/>
  <c r="E46" i="11"/>
  <c r="E48" i="11"/>
  <c r="E49" i="11"/>
  <c r="D11" i="11"/>
  <c r="D12" i="11"/>
  <c r="D14" i="11"/>
  <c r="D15" i="11"/>
  <c r="D16" i="11"/>
  <c r="D17" i="11"/>
  <c r="D18" i="11"/>
  <c r="D20" i="11"/>
  <c r="D21" i="11"/>
  <c r="D23" i="11"/>
  <c r="D24" i="11"/>
  <c r="D25" i="11"/>
  <c r="D26" i="11"/>
  <c r="D27" i="11"/>
  <c r="D28" i="11"/>
  <c r="D30" i="11"/>
  <c r="D31" i="11"/>
  <c r="D32" i="11"/>
  <c r="D33" i="11"/>
  <c r="D34" i="11"/>
  <c r="D35" i="11"/>
  <c r="D36" i="11"/>
  <c r="D39" i="11"/>
  <c r="D41" i="11"/>
  <c r="D43" i="11"/>
  <c r="D44" i="11"/>
  <c r="D46" i="11"/>
  <c r="D48" i="11"/>
  <c r="D49" i="11"/>
  <c r="D4" i="11"/>
  <c r="D5" i="11"/>
  <c r="D6" i="11"/>
  <c r="D7" i="11"/>
  <c r="D8" i="11"/>
  <c r="D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1" i="11"/>
  <c r="N11" i="11" s="1"/>
  <c r="E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I34" i="11" l="1"/>
  <c r="O34" i="11"/>
  <c r="L34" i="11"/>
  <c r="I16" i="11"/>
  <c r="O16" i="11"/>
  <c r="L16" i="11"/>
  <c r="I24" i="11"/>
  <c r="O24" i="11"/>
  <c r="L24" i="11"/>
  <c r="I31" i="11"/>
  <c r="O31" i="11"/>
  <c r="L31" i="11"/>
  <c r="I28" i="11"/>
  <c r="O28" i="11"/>
  <c r="L28" i="11"/>
  <c r="I21" i="11"/>
  <c r="O21" i="11"/>
  <c r="L21" i="11"/>
  <c r="I5" i="11"/>
  <c r="O5" i="11"/>
  <c r="L5" i="11"/>
  <c r="I25" i="11"/>
  <c r="O25" i="11"/>
  <c r="L25" i="11"/>
  <c r="K22" i="11"/>
  <c r="J43" i="12"/>
  <c r="N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<sst xmlns="http://schemas.openxmlformats.org/spreadsheetml/2006/main" count="3120" uniqueCount="166">
  <si>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</si>
  <si>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</si>
  <si>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</si>
  <si>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</si>
  <si>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</si>
  <si>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</si>
  <si>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</si>
  <si>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</si>
  <si>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</si>
  <si>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</si>
  <si>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</si>
  <si>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</si>
  <si>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</si>
  <si>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</si>
  <si>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</si>
  <si>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</si>
  <si>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</si>
  <si>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</si>
  <si>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</si>
  <si>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</si>
  <si>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</si>
  <si>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</si>
  <si>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</si>
  <si>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</si>
  <si>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</si>
  <si>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</si>
  <si>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</si>
  <si>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</si>
  <si>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</si>
  <si>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</si>
  <si>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</si>
  <si>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</si>
  <si>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</si>
  <si>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</si>
  <si>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</si>
  <si>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</si>
  <si>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</si>
  <si>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</si>
  <si>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</si>
  <si>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</si>
  <si>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</si>
  <si>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</si>
  <si>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</si>
  <si>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</si>
  <si>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</si>
  <si>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</si>
  <si>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</si>
  <si>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</si>
  <si>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</si>
  <si>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</si>
  <si>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</si>
  <si>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</si>
  <si>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</si>
  <si>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</si>
  <si>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</si>
  <si>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</si>
  <si>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</si>
  <si>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</si>
  <si>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</si>
  <si>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</si>
  <si>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</si>
  <si>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</si>
  <si>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</si>
  <si>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</si>
  <si>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</si>
  <si>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</si>
  <si>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</si>
  <si>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</si>
  <si>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</si>
  <si>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</si>
  <si>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</si>
  <si>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</si>
  <si>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</si>
  <si>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</si>
  <si>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</si>
  <si>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</si>
  <si>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</si>
  <si>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</si>
  <si>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</si>
  <si>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</si>
  <si>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</si>
  <si>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</si>
  <si>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</si>
  <si>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</si>
  <si>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</si>
  <si>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</si>
  <si>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</si>
  <si>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</si>
  <si>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</si>
  <si>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</si>
  <si>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</si>
  <si>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</si>
  <si>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</si>
  <si>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</si>
  <si>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</si>
  <si>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</si>
  <si>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</si>
  <si>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</si>
  <si>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</si>
  <si>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</si>
  <si>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</si>
  <si>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</si>
  <si>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</si>
  <si>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</si>
  <si>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</si>
  <si>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</si>
  <si>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</si>
  <si>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</si>
  <si>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</si>
  <si>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</si>
  <si>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</si>
  <si>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</si>
  <si>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</si>
  <si>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</si>
  <si>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</si>
  <si>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</si>
  <si>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</si>
  <si>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</si>
  <si>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</si>
  <si>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</si>
  <si>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</si>
  <si>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</si>
  <si>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</si>
  <si>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</si>
  <si>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</si>
  <si>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</si>
  <si>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</si>
  <si>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</si>
  <si>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</si>
  <si>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</si>
  <si>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</si>
  <si>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</si>
  <si>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</si>
  <si>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</si>
  <si>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</si>
  <si>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</si>
  <si>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</si>
  <si>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</si>
  <si>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</si>
  <si>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</si>
  <si>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</si>
  <si>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</si>
  <si>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</si>
  <si>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</si>
  <si>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</si>
  <si>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</si>
  <si>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</si>
  <si>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</si>
  <si>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</si>
  <si>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</si>
  <si>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</si>
  <si>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</si>
  <si>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</si>
  <si>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</si>
  <si>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</si>
  <si>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</si>
  <si>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</si>
  <si>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</si>
  <si>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Dreams</t>
  </si>
  <si>
    <t>HOpes</t>
  </si>
  <si>
    <t>🏆🏆🏅</t>
  </si>
  <si>
    <t>🏆🏅</t>
  </si>
  <si>
    <t>🏅</t>
  </si>
  <si>
    <t>👑</t>
  </si>
  <si>
    <t>👑👑</t>
  </si>
  <si>
    <t>Murkin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</si>
</sst>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1" sqref="F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style="1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History'!C:C,'OB History'!B:B,A2)</f>
        <v>56</v>
      </c>
      <c r="E2" s="4">
        <f>AVERAGEIFS('OB History'!C:C,'OB History'!B:B,A2)</f>
        <v>11.2</v>
      </c>
      <c r="F2" s="35">
        <f t="array" ref="F2">MAX(IF('OB History'!B:B=A2, 'OB History'!C:C))</f>
        <v>22</v>
      </c>
      <c r="G2" s="34">
        <f>COUNTIFS('OB History'!B:B,A2,'OB History'!D:D, 1)</f>
        <v>4</v>
      </c>
      <c r="H2" s="2">
        <f>COUNTIFS('OB History'!B:B,A2,'OB History'!D:D, 0)</f>
        <v>1</v>
      </c>
      <c r="I2" s="88">
        <f>LOOKUP(2, 1/('OB History'!$B:$B=A2), 'OB History'!$AD:$AD)</f>
        <v>0.8</v>
      </c>
      <c r="J2" s="34">
        <f>SUMIFS('OB History'!F:F,'OB History'!B:B,A2)</f>
        <v>13</v>
      </c>
      <c r="K2" s="2">
        <f>SUMIFS('OB History'!E:E,'OB History'!B:B,A2)-J2</f>
        <v>9</v>
      </c>
      <c r="L2" s="88">
        <f>LOOKUP(2, 1/('OB History'!$B:$B=A2), 'OB History'!$AB:$AB)</f>
        <v>0.59000000000000008</v>
      </c>
      <c r="M2" s="34">
        <f>SUMIFS('OB History'!H:H,'OB History'!B:B,A2)</f>
        <v>47</v>
      </c>
      <c r="N2" s="2">
        <f>SUMIFS('OB History'!G:G,'OB History'!B:B,A2)-M2</f>
        <v>42</v>
      </c>
      <c r="O2" s="88">
        <f>LOOKUP(2, 1/('OB History'!$B:$B=A2), 'OB History'!$AC:$AC)</f>
        <v>0.54</v>
      </c>
      <c r="P2" s="2">
        <f>COUNTIFS('OB History'!$B:$B,$A$2,'OB History'!K:K, 1)</f>
        <v>0</v>
      </c>
      <c r="Q2" s="2">
        <f>COUNTIFS('OB History'!$B:$B,$A$2,'OB History'!L:L, 1)</f>
        <v>1</v>
      </c>
      <c r="R2" s="2">
        <f>COUNTIFS('OB History'!$B:$B,$A$2,'OB History'!M:M, 1)</f>
        <v>0</v>
      </c>
      <c r="S2" s="2">
        <f>COUNTIFS('OB History'!$B:$B,$A$2,'OB History'!N:N, 1)</f>
        <v>2</v>
      </c>
      <c r="T2" s="2">
        <f>COUNTIFS('OB History'!$B:$B,$A$2,'OB History'!O:O, 1)</f>
        <v>0</v>
      </c>
      <c r="U2" s="2">
        <f>COUNTIFS('OB History'!$B:$B,$A$2,'OB History'!P:P, 1)</f>
        <v>1</v>
      </c>
      <c r="V2" s="2">
        <f>COUNTIFS('OB History'!$B:$B,$A$2,'OB History'!Q:Q, 1)</f>
        <v>0</v>
      </c>
      <c r="W2" s="2">
        <f>COUNTIFS('OB History'!$B:$B,$A$2,'OB History'!R:R, 1)</f>
        <v>1</v>
      </c>
      <c r="X2" s="2">
        <f>COUNTIFS('OB History'!$B:$B,$A$2,'OB History'!S:S, 1)</f>
        <v>0</v>
      </c>
      <c r="Y2" s="2">
        <f>COUNTIFS('OB History'!$B:$B,$A$2,'OB History'!T:T, 1)</f>
        <v>0</v>
      </c>
      <c r="Z2" s="2">
        <f>COUNTIFS('OB History'!$B:$B,$A$2,'OB History'!U:U, 1)</f>
        <v>1</v>
      </c>
      <c r="AA2" s="2">
        <f>COUNTIFS('OB History'!$B:$B,$A$2,'OB History'!V:V, 1)</f>
        <v>0</v>
      </c>
      <c r="AB2" s="2">
        <f>COUNTIFS('OB History'!$B:$B,$A$2,'OB History'!W:W, 1)</f>
        <v>1</v>
      </c>
      <c r="AC2" s="2">
        <f>COUNTIFS('OB History'!$B:$B,$A$2,'OB History'!X:X, 1)</f>
        <v>3</v>
      </c>
      <c r="AD2" s="2">
        <f>COUNTIFS('OB History'!$B:$B,$A$2,'OB History'!Y:Y, 1)</f>
        <v>3</v>
      </c>
      <c r="AE2" s="2">
        <f>COUNTIFS('OB History'!$B:$B,$A$2,'OB History'!Z:Z, 1)</f>
        <v>0</v>
      </c>
    </row>
    <row r="3" spans="1:31" x14ac:dyDescent="0.25">
      <c r="A3" s="2" t="s">
        <v>141</v>
      </c>
      <c r="B3" s="2" t="s">
        <v>79</v>
      </c>
      <c r="C3" s="2" t="s">
        <v>79</v>
      </c>
      <c r="D3" s="34">
        <f>SUMIFS('OB History'!C:C,'OB History'!B:B,A3)</f>
        <v>42</v>
      </c>
      <c r="E3" s="4">
        <f>AVERAGEIFS('OB History'!C:C,'OB History'!B:B,A3)</f>
        <v>10.5</v>
      </c>
      <c r="F3" s="35">
        <f t="array" ref="F3">MAX(IF('OB History'!B:B=A3, 'OB History'!C:C))</f>
        <v>19</v>
      </c>
      <c r="G3" s="34">
        <f>COUNTIFS('OB History'!B:B,A3,'OB History'!D:D, 1)</f>
        <v>3</v>
      </c>
      <c r="H3" s="2">
        <f>COUNTIFS('OB History'!B:B,A3,'OB History'!D:D, 0)</f>
        <v>1</v>
      </c>
      <c r="I3" s="88">
        <f>LOOKUP(2, 1/('OB History'!$B:$B=A3), 'OB History'!$AD:$AD)</f>
        <v>0.75</v>
      </c>
      <c r="J3" s="34">
        <f>SUMIFS('OB History'!F:F,'OB History'!B:B,A3)</f>
        <v>9</v>
      </c>
      <c r="K3" s="2">
        <f>SUMIFS('OB History'!E:E,'OB History'!B:B,A3)-J3</f>
        <v>8</v>
      </c>
      <c r="L3" s="88">
        <f>LOOKUP(2, 1/('OB History'!$B:$B=A3), 'OB History'!$AB:$AB)</f>
        <v>0.48749999999999999</v>
      </c>
      <c r="M3" s="34">
        <f>SUMIFS('OB History'!H:H,'OB History'!B:B,A3)</f>
        <v>35</v>
      </c>
      <c r="N3" s="2">
        <f>SUMIFS('OB History'!G:G,'OB History'!B:B,A3)-M3</f>
        <v>35</v>
      </c>
      <c r="O3" s="88">
        <f>LOOKUP(2, 1/('OB History'!$B:$B=A3), 'OB History'!$AC:$AC)</f>
        <v>0.46999999999999992</v>
      </c>
      <c r="P3" s="2">
        <f>COUNTIFS('OB History'!$B:$B,$A$3,'OB History'!K:K, 1)</f>
        <v>0</v>
      </c>
      <c r="Q3" s="2">
        <f>COUNTIFS('OB History'!$B:$B,$A$3,'OB History'!L:L, 1)</f>
        <v>1</v>
      </c>
      <c r="R3" s="2">
        <f>COUNTIFS('OB History'!$B:$B,$A$3,'OB History'!M:M, 1)</f>
        <v>0</v>
      </c>
      <c r="S3" s="2">
        <f>COUNTIFS('OB History'!$B:$B,$A$3,'OB History'!N:N, 1)</f>
        <v>2</v>
      </c>
      <c r="T3" s="2">
        <f>COUNTIFS('OB History'!$B:$B,$A$3,'OB History'!O:O, 1)</f>
        <v>0</v>
      </c>
      <c r="U3" s="2">
        <f>COUNTIFS('OB History'!$B:$B,$A$3,'OB History'!P:P, 1)</f>
        <v>2</v>
      </c>
      <c r="V3" s="2">
        <f>COUNTIFS('OB History'!$B:$B,$A$3,'OB History'!Q:Q, 1)</f>
        <v>0</v>
      </c>
      <c r="W3" s="2">
        <f>COUNTIFS('OB History'!$B:$B,$A$3,'OB History'!R:R, 1)</f>
        <v>0</v>
      </c>
      <c r="X3" s="2">
        <f>COUNTIFS('OB History'!$B:$B,$A$3,'OB History'!S:S, 1)</f>
        <v>0</v>
      </c>
      <c r="Y3" s="2">
        <f>COUNTIFS('OB History'!$B:$B,$A$3,'OB History'!T:T, 1)</f>
        <v>0</v>
      </c>
      <c r="Z3" s="2">
        <f>COUNTIFS('OB History'!$B:$B,$A$3,'OB History'!U:U, 1)</f>
        <v>0</v>
      </c>
      <c r="AA3" s="2">
        <f>COUNTIFS('OB History'!$B:$B,$A$3,'OB History'!V:V, 1)</f>
        <v>1</v>
      </c>
      <c r="AB3" s="2">
        <f>COUNTIFS('OB History'!$B:$B,$A$3,'OB History'!W:W, 1)</f>
        <v>0</v>
      </c>
      <c r="AC3" s="2">
        <f>COUNTIFS('OB History'!$B:$B,$A$3,'OB History'!X:X, 1)</f>
        <v>2</v>
      </c>
      <c r="AD3" s="2">
        <f>COUNTIFS('OB History'!$B:$B,$A$3,'OB History'!Y:Y, 1)</f>
        <v>1</v>
      </c>
      <c r="AE3" s="2">
        <f>COUNTIFS('OB History'!$B:$B,$A$3,'OB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History'!C:C,'OB History'!B:B,A4)</f>
        <v>388</v>
      </c>
      <c r="E4" s="4">
        <f>AVERAGEIFS('OB History'!C:C,'OB History'!B:B,A4)</f>
        <v>20.421052631578949</v>
      </c>
      <c r="F4" s="35">
        <f t="array" ref="F4">MAX(IF('OB History'!B:B=A4, 'OB History'!C:C))</f>
        <v>36</v>
      </c>
      <c r="G4" s="34">
        <f>COUNTIFS('OB History'!B:B,A4,'OB History'!D:D, 1)</f>
        <v>9</v>
      </c>
      <c r="H4" s="2">
        <f>COUNTIFS('OB History'!B:B,A4,'OB History'!D:D, 0)</f>
        <v>10</v>
      </c>
      <c r="I4" s="88">
        <f>LOOKUP(2, 1/('OB History'!$B:$B=A4), 'OB History'!$AD:$AD)</f>
        <v>0.47368421052631576</v>
      </c>
      <c r="J4" s="34">
        <f>SUMIFS('OB History'!F:F,'OB History'!B:B,A4)</f>
        <v>37</v>
      </c>
      <c r="K4" s="2">
        <f>SUMIFS('OB History'!E:E,'OB History'!B:B,A4)-J4</f>
        <v>42</v>
      </c>
      <c r="L4" s="88">
        <f>LOOKUP(2, 1/('OB History'!$B:$B=A4), 'OB History'!$AB:$AB)</f>
        <v>0.45789473684210524</v>
      </c>
      <c r="M4" s="34">
        <f>SUMIFS('OB History'!H:H,'OB History'!B:B,A4)</f>
        <v>155</v>
      </c>
      <c r="N4" s="2">
        <f>SUMIFS('OB History'!G:G,'OB History'!B:B,A4)-M4</f>
        <v>164</v>
      </c>
      <c r="O4" s="88">
        <f>LOOKUP(2, 1/('OB History'!$B:$B=A4), 'OB History'!$AC:$AC)</f>
        <v>0.47578947368421048</v>
      </c>
      <c r="P4" s="2">
        <f>COUNTIFS('OB History'!$B:$B,$A$4,'OB History'!K:K, 1)</f>
        <v>3</v>
      </c>
      <c r="Q4" s="2">
        <f>COUNTIFS('OB History'!$B:$B,$A$4,'OB History'!L:L, 1)</f>
        <v>2</v>
      </c>
      <c r="R4" s="2">
        <f>COUNTIFS('OB History'!$B:$B,$A$4,'OB History'!M:M, 1)</f>
        <v>1</v>
      </c>
      <c r="S4" s="2">
        <f>COUNTIFS('OB History'!$B:$B,$A$4,'OB History'!N:N, 1)</f>
        <v>6</v>
      </c>
      <c r="T4" s="2">
        <f>COUNTIFS('OB History'!$B:$B,$A$4,'OB History'!O:O, 1)</f>
        <v>1</v>
      </c>
      <c r="U4" s="2">
        <f>COUNTIFS('OB History'!$B:$B,$A$4,'OB History'!P:P, 1)</f>
        <v>4</v>
      </c>
      <c r="V4" s="2">
        <f>COUNTIFS('OB History'!$B:$B,$A$4,'OB History'!Q:Q, 1)</f>
        <v>0</v>
      </c>
      <c r="W4" s="2">
        <f>COUNTIFS('OB History'!$B:$B,$A$4,'OB History'!R:R, 1)</f>
        <v>1</v>
      </c>
      <c r="X4" s="2">
        <f>COUNTIFS('OB History'!$B:$B,$A$4,'OB History'!S:S, 1)</f>
        <v>0</v>
      </c>
      <c r="Y4" s="2">
        <f>COUNTIFS('OB History'!$B:$B,$A$4,'OB History'!T:T, 1)</f>
        <v>1</v>
      </c>
      <c r="Z4" s="2">
        <f>COUNTIFS('OB History'!$B:$B,$A$4,'OB History'!U:U, 1)</f>
        <v>0</v>
      </c>
      <c r="AA4" s="2">
        <f>COUNTIFS('OB History'!$B:$B,$A$4,'OB History'!V:V, 1)</f>
        <v>0</v>
      </c>
      <c r="AB4" s="2">
        <f>COUNTIFS('OB History'!$B:$B,$A$4,'OB History'!W:W, 1)</f>
        <v>1</v>
      </c>
      <c r="AC4" s="2">
        <f>COUNTIFS('OB History'!$B:$B,$A$4,'OB History'!X:X, 1)</f>
        <v>6</v>
      </c>
      <c r="AD4" s="2">
        <f>COUNTIFS('OB History'!$B:$B,$A$4,'OB History'!Y:Y, 1)</f>
        <v>3</v>
      </c>
      <c r="AE4" s="2">
        <f>COUNTIFS('OB History'!$B:$B,$A$4,'OB History'!Z:Z, 1)</f>
        <v>8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History'!C:C,'OB History'!B:B,A5)</f>
        <v>40</v>
      </c>
      <c r="E5" s="4">
        <f>AVERAGEIFS('OB History'!C:C,'OB History'!B:B,A5)</f>
        <v>10</v>
      </c>
      <c r="F5" s="35">
        <f t="array" ref="F5">MAX(IF('OB History'!B:B=A5, 'OB History'!C:C))</f>
        <v>18</v>
      </c>
      <c r="G5" s="34">
        <f>COUNTIFS('OB History'!B:B,A5,'OB History'!D:D, 1)</f>
        <v>4</v>
      </c>
      <c r="H5" s="2">
        <f>COUNTIFS('OB History'!B:B,A5,'OB History'!D:D, 0)</f>
        <v>0</v>
      </c>
      <c r="I5" s="88">
        <f>LOOKUP(2, 1/('OB History'!$B:$B=A5), 'OB History'!$AD:$AD)</f>
        <v>1</v>
      </c>
      <c r="J5" s="34">
        <f>SUMIFS('OB History'!F:F,'OB History'!B:B,A5)</f>
        <v>12</v>
      </c>
      <c r="K5" s="2">
        <f>SUMIFS('OB History'!E:E,'OB History'!B:B,A5)-J5</f>
        <v>3</v>
      </c>
      <c r="L5" s="88">
        <f>LOOKUP(2, 1/('OB History'!$B:$B=A5), 'OB History'!$AB:$AB)</f>
        <v>0.83750000000000002</v>
      </c>
      <c r="M5" s="34">
        <f>SUMIFS('OB History'!H:H,'OB History'!B:B,'Old Bow v2'!A5)</f>
        <v>39</v>
      </c>
      <c r="N5" s="2">
        <f>SUMIFS('OB History'!G:G,'OB History'!B:B,'Old Bow v2'!A5)-M5</f>
        <v>20</v>
      </c>
      <c r="O5" s="88">
        <f>LOOKUP(2, 1/('OB History'!$B:$B=A5), 'OB History'!$AC:$AC)</f>
        <v>0.69</v>
      </c>
      <c r="P5" s="2">
        <f>COUNTIFS('OB History'!$B:$B,$A$5,'OB History'!K:K, 1)</f>
        <v>0</v>
      </c>
      <c r="Q5" s="2">
        <f>COUNTIFS('OB History'!$B:$B,$A$5,'OB History'!L:L, 1)</f>
        <v>3</v>
      </c>
      <c r="R5" s="2">
        <f>COUNTIFS('OB History'!$B:$B,$A$5,'OB History'!M:M, 1)</f>
        <v>0</v>
      </c>
      <c r="S5" s="2">
        <f>COUNTIFS('OB History'!$B:$B,$A$5,'OB History'!N:N, 1)</f>
        <v>2</v>
      </c>
      <c r="T5" s="2">
        <f>COUNTIFS('OB History'!$B:$B,$A$5,'OB History'!O:O, 1)</f>
        <v>0</v>
      </c>
      <c r="U5" s="2">
        <f>COUNTIFS('OB History'!$B:$B,$A$5,'OB History'!P:P, 1)</f>
        <v>1</v>
      </c>
      <c r="V5" s="2">
        <f>COUNTIFS('OB History'!$B:$B,$A$5,'OB History'!Q:Q, 1)</f>
        <v>0</v>
      </c>
      <c r="W5" s="2">
        <f>COUNTIFS('OB History'!$B:$B,$A$5,'OB History'!R:R, 1)</f>
        <v>0</v>
      </c>
      <c r="X5" s="2">
        <f>COUNTIFS('OB History'!$B:$B,$A$5,'OB History'!S:S, 1)</f>
        <v>0</v>
      </c>
      <c r="Y5" s="2">
        <f>COUNTIFS('OB History'!$B:$B,$A$5,'OB History'!T:T, 1)</f>
        <v>0</v>
      </c>
      <c r="Z5" s="2">
        <f>COUNTIFS('OB History'!$B:$B,$A$5,'OB History'!U:U, 1)</f>
        <v>0</v>
      </c>
      <c r="AA5" s="2">
        <f>COUNTIFS('OB History'!$B:$B,$A$5,'OB History'!V:V, 1)</f>
        <v>0</v>
      </c>
      <c r="AB5" s="2">
        <f>COUNTIFS('OB History'!$B:$B,$A$5,'OB History'!W:W, 1)</f>
        <v>1</v>
      </c>
      <c r="AC5" s="2">
        <f>COUNTIFS('OB History'!$B:$B,$A$5,'OB History'!X:X, 1)</f>
        <v>3</v>
      </c>
      <c r="AD5" s="2">
        <f>COUNTIFS('OB History'!$B:$B,$A$5,'OB History'!Y:Y, 1)</f>
        <v>2</v>
      </c>
      <c r="AE5" s="2">
        <f>COUNTIFS('OB History'!$B:$B,$A$5,'OB History'!Z:Z,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History'!C:C,'OB History'!B:B,A6)</f>
        <v>238</v>
      </c>
      <c r="E6" s="4">
        <f>AVERAGEIFS('OB History'!C:C,'OB History'!B:B,A6)</f>
        <v>11.9</v>
      </c>
      <c r="F6" s="35">
        <f t="array" ref="F6">MAX(IF('OB History'!B:B=A6, 'OB History'!C:C))</f>
        <v>21</v>
      </c>
      <c r="G6" s="34">
        <f>COUNTIFS('OB History'!B:B,A6,'OB History'!D:D, 1)</f>
        <v>11</v>
      </c>
      <c r="H6" s="2">
        <f>COUNTIFS('OB History'!B:B,A6,'OB History'!D:D, 0)</f>
        <v>9</v>
      </c>
      <c r="I6" s="88">
        <f>LOOKUP(2, 1/('OB History'!$B:$B=A6), 'OB History'!$AD:$AD)</f>
        <v>0.55000000000000004</v>
      </c>
      <c r="J6" s="34">
        <f>SUMIFS('OB History'!F:F,'OB History'!B:B,A6)</f>
        <v>40</v>
      </c>
      <c r="K6" s="2">
        <f>SUMIFS('OB History'!E:E,'OB History'!B:B,A6)-J6</f>
        <v>42</v>
      </c>
      <c r="L6" s="88">
        <f>LOOKUP(2, 1/('OB History'!$B:$B=A6), 'OB History'!$AB:$AB)</f>
        <v>0.47000000000000003</v>
      </c>
      <c r="M6" s="34">
        <f>SUMIFS('OB History'!H:H,'OB History'!B:B,'Old Bow v2'!A6)</f>
        <v>164</v>
      </c>
      <c r="N6" s="2">
        <f>SUMIFS('OB History'!G:G,'OB History'!B:B,'Old Bow v2'!A6)-M6</f>
        <v>169</v>
      </c>
      <c r="O6" s="88">
        <f>LOOKUP(2, 1/('OB History'!$B:$B=A6), 'OB History'!$AC:$AC)</f>
        <v>0.4870000000000001</v>
      </c>
      <c r="P6" s="2">
        <f>COUNTIFS('OB History'!$B:$B,$A$6,'OB History'!K:K, 1)</f>
        <v>3</v>
      </c>
      <c r="Q6" s="2">
        <f>COUNTIFS('OB History'!$B:$B,$A$6,'OB History'!L:L, 1)</f>
        <v>4</v>
      </c>
      <c r="R6" s="2">
        <f>COUNTIFS('OB History'!$B:$B,$A$6,'OB History'!M:M, 1)</f>
        <v>1</v>
      </c>
      <c r="S6" s="2">
        <f>COUNTIFS('OB History'!$B:$B,$A$6,'OB History'!N:N, 1)</f>
        <v>4</v>
      </c>
      <c r="T6" s="2">
        <f>COUNTIFS('OB History'!$B:$B,$A$6,'OB History'!O:O, 1)</f>
        <v>0</v>
      </c>
      <c r="U6" s="2">
        <f>COUNTIFS('OB History'!$B:$B,$A$6,'OB History'!P:P, 1)</f>
        <v>6</v>
      </c>
      <c r="V6" s="2">
        <f>COUNTIFS('OB History'!$B:$B,$A$6,'OB History'!Q:Q, 1)</f>
        <v>0</v>
      </c>
      <c r="W6" s="2">
        <f>COUNTIFS('OB History'!$B:$B,$A$6,'OB History'!R:R, 1)</f>
        <v>2</v>
      </c>
      <c r="X6" s="2">
        <f>COUNTIFS('OB History'!$B:$B,$A$6,'OB History'!S:S, 1)</f>
        <v>0</v>
      </c>
      <c r="Y6" s="2">
        <f>COUNTIFS('OB History'!$B:$B,$A$6,'OB History'!T:T, 1)</f>
        <v>0</v>
      </c>
      <c r="Z6" s="2">
        <f>COUNTIFS('OB History'!$B:$B,$A$6,'OB History'!U:U, 1)</f>
        <v>0</v>
      </c>
      <c r="AA6" s="2">
        <f>COUNTIFS('OB History'!$B:$B,$A$6,'OB History'!V:V, 1)</f>
        <v>0</v>
      </c>
      <c r="AB6" s="2">
        <f>COUNTIFS('OB History'!$B:$B,$A$6,'OB History'!W:W, 1)</f>
        <v>6</v>
      </c>
      <c r="AC6" s="2">
        <f>COUNTIFS('OB History'!$B:$B,$A$6,'OB History'!X:X, 1)</f>
        <v>6</v>
      </c>
      <c r="AD6" s="2">
        <f>COUNTIFS('OB History'!$B:$B,$A$6,'OB History'!Y:Y, 1)</f>
        <v>3</v>
      </c>
      <c r="AE6" s="2">
        <f>COUNTIFS('OB History'!$B:$B,$A$6,'OB History'!Z:Z, 1)</f>
        <v>5</v>
      </c>
    </row>
    <row r="7" spans="1:31" x14ac:dyDescent="0.25">
      <c r="A7" s="2" t="s">
        <v>19</v>
      </c>
      <c r="B7" s="2" t="s">
        <v>79</v>
      </c>
      <c r="C7" s="2" t="s">
        <v>79</v>
      </c>
      <c r="D7" s="34">
        <f>SUMIFS('OB History'!C:C,'OB History'!B:B,A7)</f>
        <v>345</v>
      </c>
      <c r="E7" s="4">
        <f>AVERAGEIFS('OB History'!C:C,'OB History'!B:B,A7)</f>
        <v>11.5</v>
      </c>
      <c r="F7" s="35">
        <f t="array" ref="F7">MAX(IF('OB History'!B:B=A7, 'OB History'!C:C))</f>
        <v>26</v>
      </c>
      <c r="G7" s="34">
        <f>COUNTIFS('OB History'!B:B,A7,'OB History'!D:D, 1)</f>
        <v>12</v>
      </c>
      <c r="H7" s="2">
        <f>COUNTIFS('OB History'!B:B,A7,'OB History'!D:D, 0)</f>
        <v>18</v>
      </c>
      <c r="I7" s="88">
        <f>LOOKUP(2, 1/('OB History'!$B:$B=A7), 'OB History'!$AD:$AD)</f>
        <v>0.4</v>
      </c>
      <c r="J7" s="34">
        <f>SUMIFS('OB History'!F:F,'OB History'!B:B,A7)</f>
        <v>53</v>
      </c>
      <c r="K7" s="2">
        <f>SUMIFS('OB History'!E:E,'OB History'!B:B,A7)-J7</f>
        <v>71</v>
      </c>
      <c r="L7" s="88">
        <f>LOOKUP(2, 1/('OB History'!$B:$B=A7), 'OB History'!$AB:$AB)</f>
        <v>0.40333333333333332</v>
      </c>
      <c r="M7" s="34">
        <f>SUMIFS('OB History'!H:H,'OB History'!B:B,'Old Bow v2'!A7)</f>
        <v>235</v>
      </c>
      <c r="N7" s="2">
        <f>SUMIFS('OB History'!G:G,'OB History'!B:B,'Old Bow v2'!A7)-M7</f>
        <v>272</v>
      </c>
      <c r="O7" s="88">
        <f>LOOKUP(2, 1/('OB History'!$B:$B=A7), 'OB History'!$AC:$AC)</f>
        <v>0.44833333333333336</v>
      </c>
      <c r="P7" s="2">
        <f>COUNTIFS('OB History'!$B:$B,$A$7,'OB History'!K:K, 1)</f>
        <v>4</v>
      </c>
      <c r="Q7" s="2">
        <f>COUNTIFS('OB History'!$B:$B,$A$7,'OB History'!L:L, 1)</f>
        <v>2</v>
      </c>
      <c r="R7" s="2">
        <f>COUNTIFS('OB History'!$B:$B,$A$7,'OB History'!M:M, 1)</f>
        <v>1</v>
      </c>
      <c r="S7" s="2">
        <f>COUNTIFS('OB History'!$B:$B,$A$7,'OB History'!N:N, 1)</f>
        <v>6</v>
      </c>
      <c r="T7" s="2">
        <f>COUNTIFS('OB History'!$B:$B,$A$7,'OB History'!O:O, 1)</f>
        <v>1</v>
      </c>
      <c r="U7" s="2">
        <f>COUNTIFS('OB History'!$B:$B,$A$7,'OB History'!P:P, 1)</f>
        <v>8</v>
      </c>
      <c r="V7" s="2">
        <f>COUNTIFS('OB History'!$B:$B,$A$7,'OB History'!Q:Q, 1)</f>
        <v>1</v>
      </c>
      <c r="W7" s="2">
        <f>COUNTIFS('OB History'!$B:$B,$A$7,'OB History'!R:R, 1)</f>
        <v>0</v>
      </c>
      <c r="X7" s="2">
        <f>COUNTIFS('OB History'!$B:$B,$A$7,'OB History'!S:S, 1)</f>
        <v>1</v>
      </c>
      <c r="Y7" s="2">
        <f>COUNTIFS('OB History'!$B:$B,$A$7,'OB History'!T:T, 1)</f>
        <v>0</v>
      </c>
      <c r="Z7" s="2">
        <f>COUNTIFS('OB History'!$B:$B,$A$7,'OB History'!U:U, 1)</f>
        <v>1</v>
      </c>
      <c r="AA7" s="2">
        <f>COUNTIFS('OB History'!$B:$B,$A$7,'OB History'!V:V, 1)</f>
        <v>1</v>
      </c>
      <c r="AB7" s="2">
        <f>COUNTIFS('OB History'!$B:$B,$A$7,'OB History'!W:W, 1)</f>
        <v>4</v>
      </c>
      <c r="AC7" s="2">
        <f>COUNTIFS('OB History'!$B:$B,$A$7,'OB History'!X:X, 1)</f>
        <v>11</v>
      </c>
      <c r="AD7" s="2">
        <f>COUNTIFS('OB History'!$B:$B,$A$7,'OB History'!Y:Y, 1)</f>
        <v>1</v>
      </c>
      <c r="AE7" s="2">
        <f>COUNTIFS('OB History'!$B:$B,$A$7,'OB History'!Z:Z, 1)</f>
        <v>11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History'!C:C,'OB History'!B:B,A8)</f>
        <v>74</v>
      </c>
      <c r="E8" s="4">
        <f>AVERAGEIFS('OB History'!C:C,'OB History'!B:B,A8)</f>
        <v>10.571428571428571</v>
      </c>
      <c r="F8" s="35">
        <f t="array" ref="F8">MAX(IF('OB History'!B:B=A8, 'OB History'!C:C))</f>
        <v>29</v>
      </c>
      <c r="G8" s="34">
        <f>COUNTIFS('OB History'!B:B,A8,'OB History'!D:D, 1)</f>
        <v>2</v>
      </c>
      <c r="H8" s="2">
        <f>COUNTIFS('OB History'!B:B,A8,'OB History'!D:D, 0)</f>
        <v>5</v>
      </c>
      <c r="I8" s="88">
        <f>LOOKUP(2, 1/('OB History'!$B:$B=A8), 'OB History'!$AD:$AD)</f>
        <v>0.2857142857142857</v>
      </c>
      <c r="J8" s="34">
        <f>SUMIFS('OB History'!F:F,'OB History'!B:B,A8)</f>
        <v>10</v>
      </c>
      <c r="K8" s="2">
        <f>SUMIFS('OB History'!E:E,'OB History'!B:B,A8)-J8</f>
        <v>17</v>
      </c>
      <c r="L8" s="88">
        <f>LOOKUP(2, 1/('OB History'!$B:$B=A8), 'OB History'!$AB:$AB)</f>
        <v>0.34285714285714286</v>
      </c>
      <c r="M8" s="34">
        <f>SUMIFS('OB History'!H:H,'OB History'!B:B,'Old Bow v2'!A8)</f>
        <v>45</v>
      </c>
      <c r="N8" s="2">
        <f>SUMIFS('OB History'!G:G,'OB History'!B:B,'Old Bow v2'!A8)-M8</f>
        <v>62</v>
      </c>
      <c r="O8" s="88">
        <f>LOOKUP(2, 1/('OB History'!$B:$B=A8), 'OB History'!$AC:$AC)</f>
        <v>0.40857142857142864</v>
      </c>
      <c r="P8" s="2">
        <f>COUNTIFS('OB History'!$B:$B,$A$8,'OB History'!K:K, 1)</f>
        <v>1</v>
      </c>
      <c r="Q8" s="2">
        <f>COUNTIFS('OB History'!$B:$B,$A$8,'OB History'!L:L, 1)</f>
        <v>2</v>
      </c>
      <c r="R8" s="2">
        <f>COUNTIFS('OB History'!$B:$B,$A$8,'OB History'!M:M, 1)</f>
        <v>1</v>
      </c>
      <c r="S8" s="2">
        <f>COUNTIFS('OB History'!$B:$B,$A$8,'OB History'!N:N, 1)</f>
        <v>0</v>
      </c>
      <c r="T8" s="2">
        <f>COUNTIFS('OB History'!$B:$B,$A$8,'OB History'!O:O, 1)</f>
        <v>1</v>
      </c>
      <c r="U8" s="2">
        <f>COUNTIFS('OB History'!$B:$B,$A$8,'OB History'!P:P, 1)</f>
        <v>0</v>
      </c>
      <c r="V8" s="2">
        <f>COUNTIFS('OB History'!$B:$B,$A$8,'OB History'!Q:Q, 1)</f>
        <v>0</v>
      </c>
      <c r="W8" s="2">
        <f>COUNTIFS('OB History'!$B:$B,$A$8,'OB History'!R:R, 1)</f>
        <v>0</v>
      </c>
      <c r="X8" s="2">
        <f>COUNTIFS('OB History'!$B:$B,$A$8,'OB History'!S:S, 1)</f>
        <v>0</v>
      </c>
      <c r="Y8" s="2">
        <f>COUNTIFS('OB History'!$B:$B,$A$8,'OB History'!T:T, 1)</f>
        <v>0</v>
      </c>
      <c r="Z8" s="2">
        <f>COUNTIFS('OB History'!$B:$B,$A$8,'OB History'!U:U, 1)</f>
        <v>0</v>
      </c>
      <c r="AA8" s="2">
        <f>COUNTIFS('OB History'!$B:$B,$A$8,'OB History'!V:V, 1)</f>
        <v>1</v>
      </c>
      <c r="AB8" s="2">
        <f>COUNTIFS('OB History'!$B:$B,$A$8,'OB History'!W:W, 1)</f>
        <v>2</v>
      </c>
      <c r="AC8" s="2">
        <f>COUNTIFS('OB History'!$B:$B,$A$8,'OB History'!X:X, 1)</f>
        <v>0</v>
      </c>
      <c r="AD8" s="2">
        <f>COUNTIFS('OB History'!$B:$B,$A$8,'OB History'!Y:Y, 1)</f>
        <v>1</v>
      </c>
      <c r="AE8" s="2">
        <f>COUNTIFS('OB History'!$B:$B,$A$8,'OB History'!Z:Z, 1)</f>
        <v>1</v>
      </c>
    </row>
    <row r="9" spans="1:31" x14ac:dyDescent="0.25">
      <c r="A9" s="2" t="s">
        <v>25</v>
      </c>
      <c r="B9" s="2" t="s">
        <v>79</v>
      </c>
      <c r="C9" s="2" t="s">
        <v>79</v>
      </c>
      <c r="D9" s="34">
        <f>SUMIFS('OB History'!C:C,'OB History'!B:B,A9)</f>
        <v>294</v>
      </c>
      <c r="E9" s="4">
        <f>AVERAGEIFS('OB History'!C:C,'OB History'!B:B,A9)</f>
        <v>16.333333333333332</v>
      </c>
      <c r="F9" s="35">
        <f t="array" ref="F9">MAX(IF('OB History'!B:B=A9, 'OB History'!C:C))</f>
        <v>31</v>
      </c>
      <c r="G9" s="34">
        <f>COUNTIFS('OB History'!B:B,A9,'OB History'!D:D, 1)</f>
        <v>10</v>
      </c>
      <c r="H9" s="2">
        <f>COUNTIFS('OB History'!B:B,A9,'OB History'!D:D, 0)</f>
        <v>8</v>
      </c>
      <c r="I9" s="88">
        <f>LOOKUP(2, 1/('OB History'!$B:$B=A9), 'OB History'!$AD:$AD)</f>
        <v>0.55555555555555558</v>
      </c>
      <c r="J9" s="34">
        <f>SUMIFS('OB History'!F:F,'OB History'!B:B,A9)</f>
        <v>42</v>
      </c>
      <c r="K9" s="2">
        <f>SUMIFS('OB History'!E:E,'OB History'!B:B,A9)-J9</f>
        <v>32</v>
      </c>
      <c r="L9" s="88">
        <f>LOOKUP(2, 1/('OB History'!$B:$B=A9), 'OB History'!$AB:$AB)</f>
        <v>0.60000000000000009</v>
      </c>
      <c r="M9" s="34">
        <f>SUMIFS('OB History'!H:H,'OB History'!B:B,'Old Bow v2'!A9)</f>
        <v>160</v>
      </c>
      <c r="N9" s="2">
        <f>SUMIFS('OB History'!G:G,'OB History'!B:B,'Old Bow v2'!A9)-M9</f>
        <v>143</v>
      </c>
      <c r="O9" s="88">
        <f>LOOKUP(2, 1/('OB History'!$B:$B=A9), 'OB History'!$AC:$AC)</f>
        <v>0.54222222222222216</v>
      </c>
      <c r="P9" s="2">
        <f>COUNTIFS('OB History'!$B:$B,$A$9,'OB History'!K:K, 1)</f>
        <v>3</v>
      </c>
      <c r="Q9" s="2">
        <f>COUNTIFS('OB History'!$B:$B,$A$9,'OB History'!L:L, 1)</f>
        <v>1</v>
      </c>
      <c r="R9" s="2">
        <f>COUNTIFS('OB History'!$B:$B,$A$9,'OB History'!M:M, 1)</f>
        <v>0</v>
      </c>
      <c r="S9" s="2">
        <f>COUNTIFS('OB History'!$B:$B,$A$9,'OB History'!N:N, 1)</f>
        <v>6</v>
      </c>
      <c r="T9" s="2">
        <f>COUNTIFS('OB History'!$B:$B,$A$9,'OB History'!O:O, 1)</f>
        <v>0</v>
      </c>
      <c r="U9" s="2">
        <f>COUNTIFS('OB History'!$B:$B,$A$9,'OB History'!P:P, 1)</f>
        <v>4</v>
      </c>
      <c r="V9" s="2">
        <f>COUNTIFS('OB History'!$B:$B,$A$9,'OB History'!Q:Q, 1)</f>
        <v>3</v>
      </c>
      <c r="W9" s="2">
        <f>COUNTIFS('OB History'!$B:$B,$A$9,'OB History'!R:R, 1)</f>
        <v>2</v>
      </c>
      <c r="X9" s="2">
        <f>COUNTIFS('OB History'!$B:$B,$A$9,'OB History'!S:S, 1)</f>
        <v>0</v>
      </c>
      <c r="Y9" s="2">
        <f>COUNTIFS('OB History'!$B:$B,$A$9,'OB History'!T:T, 1)</f>
        <v>1</v>
      </c>
      <c r="Z9" s="2">
        <f>COUNTIFS('OB History'!$B:$B,$A$9,'OB History'!U:U, 1)</f>
        <v>0</v>
      </c>
      <c r="AA9" s="2">
        <f>COUNTIFS('OB History'!$B:$B,$A$9,'OB History'!V:V, 1)</f>
        <v>1</v>
      </c>
      <c r="AB9" s="2">
        <f>COUNTIFS('OB History'!$B:$B,$A$9,'OB History'!W:W, 1)</f>
        <v>3</v>
      </c>
      <c r="AC9" s="2">
        <f>COUNTIFS('OB History'!$B:$B,$A$9,'OB History'!X:X, 1)</f>
        <v>7</v>
      </c>
      <c r="AD9" s="2">
        <f>COUNTIFS('OB History'!$B:$B,$A$9,'OB History'!Y:Y, 1)</f>
        <v>4</v>
      </c>
      <c r="AE9" s="2">
        <f>COUNTIFS('OB History'!$B:$B,$A$9,'OB History'!Z:Z, 1)</f>
        <v>7</v>
      </c>
    </row>
    <row r="10" spans="1:31" x14ac:dyDescent="0.25">
      <c r="A10" s="2" t="s">
        <v>147</v>
      </c>
      <c r="B10" s="2" t="s">
        <v>79</v>
      </c>
      <c r="C10" s="2" t="s">
        <v>79</v>
      </c>
      <c r="D10" s="34">
        <f>SUMIFS('OB History'!C:C,'OB History'!B:B,A10)</f>
        <v>82</v>
      </c>
      <c r="E10" s="4">
        <f>AVERAGEIFS('OB History'!C:C,'OB History'!B:B,A10)</f>
        <v>13.666666666666666</v>
      </c>
      <c r="F10" s="35">
        <f t="array" ref="F10">MAX(IF('OB History'!B:B=A10, 'OB History'!C:C))</f>
        <v>21</v>
      </c>
      <c r="G10" s="34">
        <f>COUNTIFS('OB History'!B:B,A10,'OB History'!D:D, 1)</f>
        <v>2</v>
      </c>
      <c r="H10" s="2">
        <f>COUNTIFS('OB History'!B:B,A10,'OB History'!D:D, 0)</f>
        <v>4</v>
      </c>
      <c r="I10" s="88">
        <f>LOOKUP(2, 1/('OB History'!$B:$B=A10), 'OB History'!$AD:$AD)</f>
        <v>0.33333333333333331</v>
      </c>
      <c r="J10" s="34">
        <f>SUMIFS('OB History'!F:F,'OB History'!B:B,A10)</f>
        <v>12</v>
      </c>
      <c r="K10" s="2">
        <f>SUMIFS('OB History'!E:E,'OB History'!B:B,A10)-J10</f>
        <v>16</v>
      </c>
      <c r="L10" s="88">
        <f>LOOKUP(2, 1/('OB History'!$B:$B=A10), 'OB History'!$AB:$AB)</f>
        <v>0.41666666666666669</v>
      </c>
      <c r="M10" s="34">
        <f>SUMIFS('OB History'!H:H,'OB History'!B:B,'Old Bow v2'!A10)</f>
        <v>54</v>
      </c>
      <c r="N10" s="2">
        <f>SUMIFS('OB History'!G:G,'OB History'!B:B,'Old Bow v2'!A10)-M10</f>
        <v>61</v>
      </c>
      <c r="O10" s="88">
        <f>LOOKUP(2, 1/('OB History'!$B:$B=A10), 'OB History'!$AC:$AC)</f>
        <v>0.46500000000000002</v>
      </c>
      <c r="P10" s="2">
        <f>COUNTIFS('OB History'!$B:$B,$A$10,'OB History'!K:K, 1)</f>
        <v>1</v>
      </c>
      <c r="Q10" s="2">
        <f>COUNTIFS('OB History'!$B:$B,$A$10,'OB History'!L:L, 1)</f>
        <v>0</v>
      </c>
      <c r="R10" s="2">
        <f>COUNTIFS('OB History'!$B:$B,$A$10,'OB History'!M:M, 1)</f>
        <v>1</v>
      </c>
      <c r="S10" s="2">
        <f>COUNTIFS('OB History'!$B:$B,$A$10,'OB History'!N:N, 1)</f>
        <v>1</v>
      </c>
      <c r="T10" s="2">
        <f>COUNTIFS('OB History'!$B:$B,$A$10,'OB History'!O:O, 1)</f>
        <v>0</v>
      </c>
      <c r="U10" s="2">
        <f>COUNTIFS('OB History'!$B:$B,$A$10,'OB History'!P:P, 1)</f>
        <v>1</v>
      </c>
      <c r="V10" s="2">
        <f>COUNTIFS('OB History'!$B:$B,$A$10,'OB History'!Q:Q, 1)</f>
        <v>0</v>
      </c>
      <c r="W10" s="2">
        <f>COUNTIFS('OB History'!$B:$B,$A$10,'OB History'!R:R, 1)</f>
        <v>1</v>
      </c>
      <c r="X10" s="2">
        <f>COUNTIFS('OB History'!$B:$B,$A$10,'OB History'!S:S, 1)</f>
        <v>0</v>
      </c>
      <c r="Y10" s="2">
        <f>COUNTIFS('OB History'!$B:$B,$A$10,'OB History'!T:T, 1)</f>
        <v>0</v>
      </c>
      <c r="Z10" s="2">
        <f>COUNTIFS('OB History'!$B:$B,$A$10,'OB History'!U:U, 1)</f>
        <v>0</v>
      </c>
      <c r="AA10" s="2">
        <f>COUNTIFS('OB History'!$B:$B,$A$10,'OB History'!V:V, 1)</f>
        <v>1</v>
      </c>
      <c r="AB10" s="2">
        <f>COUNTIFS('OB History'!$B:$B,$A$10,'OB History'!W:W, 1)</f>
        <v>0</v>
      </c>
      <c r="AC10" s="2">
        <f>COUNTIFS('OB History'!$B:$B,$A$10,'OB History'!X:X, 1)</f>
        <v>5</v>
      </c>
      <c r="AD10" s="2">
        <f>COUNTIFS('OB History'!$B:$B,$A$10,'OB History'!Y:Y, 1)</f>
        <v>1</v>
      </c>
      <c r="AE10" s="2">
        <f>COUNTIFS('OB History'!$B:$B,$A$10,'OB History'!Z:Z, 1)</f>
        <v>0</v>
      </c>
    </row>
    <row r="11" spans="1:31" x14ac:dyDescent="0.25">
      <c r="A11" s="2" t="s">
        <v>27</v>
      </c>
      <c r="B11" s="6" t="s">
        <v>76</v>
      </c>
      <c r="C11" s="6" t="s">
        <v>79</v>
      </c>
      <c r="D11" s="34">
        <f>SUMIFS('OB History'!C:C,'OB History'!B:B,A11)</f>
        <v>285</v>
      </c>
      <c r="E11" s="4">
        <f>AVERAGEIFS('OB History'!C:C,'OB History'!B:B,A11)</f>
        <v>13.571428571428571</v>
      </c>
      <c r="F11" s="35">
        <f t="array" ref="F11">MAX(IF('OB History'!B:B=A11, 'OB History'!C:C))</f>
        <v>29</v>
      </c>
      <c r="G11" s="34">
        <f>COUNTIFS('OB History'!B:B,A11,'OB History'!D:D, 1)</f>
        <v>12</v>
      </c>
      <c r="H11" s="2">
        <f>COUNTIFS('OB History'!B:B,A11,'OB History'!D:D, 0)</f>
        <v>9</v>
      </c>
      <c r="I11" s="88">
        <f>LOOKUP(2, 1/('OB History'!$B:$B=A11), 'OB History'!$AD:$AD)</f>
        <v>0.5714285714285714</v>
      </c>
      <c r="J11" s="34">
        <f>SUMIFS('OB History'!F:F,'OB History'!B:B,A11)</f>
        <v>44</v>
      </c>
      <c r="K11" s="2">
        <f>SUMIFS('OB History'!E:E,'OB History'!B:B,A11)-J11</f>
        <v>42</v>
      </c>
      <c r="L11" s="88">
        <f>LOOKUP(2, 1/('OB History'!$B:$B=A11), 'OB History'!$AB:$AB)</f>
        <v>0.50238095238095237</v>
      </c>
      <c r="M11" s="34">
        <f>SUMIFS('OB History'!H:H,'OB History'!B:B,'Old Bow v2'!A11)</f>
        <v>177</v>
      </c>
      <c r="N11" s="2">
        <f>SUMIFS('OB History'!G:G,'OB History'!B:B,'Old Bow v2'!A11)-M11</f>
        <v>171</v>
      </c>
      <c r="O11" s="88">
        <f>LOOKUP(2, 1/('OB History'!$B:$B=A11), 'OB History'!$AC:$AC)</f>
        <v>0.50809523809523816</v>
      </c>
      <c r="P11" s="2">
        <f>COUNTIFS('OB History'!$B:$B,$A$11,'OB History'!K:K, 1)</f>
        <v>0</v>
      </c>
      <c r="Q11" s="2">
        <f>COUNTIFS('OB History'!$B:$B,$A$11,'OB History'!L:L, 1)</f>
        <v>2</v>
      </c>
      <c r="R11" s="2">
        <f>COUNTIFS('OB History'!$B:$B,$A$11,'OB History'!M:M, 1)</f>
        <v>2</v>
      </c>
      <c r="S11" s="2">
        <f>COUNTIFS('OB History'!$B:$B,$A$11,'OB History'!N:N, 1)</f>
        <v>3</v>
      </c>
      <c r="T11" s="2">
        <f>COUNTIFS('OB History'!$B:$B,$A$11,'OB History'!O:O, 1)</f>
        <v>3</v>
      </c>
      <c r="U11" s="2">
        <f>COUNTIFS('OB History'!$B:$B,$A$11,'OB History'!P:P, 1)</f>
        <v>6</v>
      </c>
      <c r="V11" s="2">
        <f>COUNTIFS('OB History'!$B:$B,$A$11,'OB History'!Q:Q, 1)</f>
        <v>2</v>
      </c>
      <c r="W11" s="2">
        <f>COUNTIFS('OB History'!$B:$B,$A$11,'OB History'!R:R, 1)</f>
        <v>1</v>
      </c>
      <c r="X11" s="2">
        <f>COUNTIFS('OB History'!$B:$B,$A$11,'OB History'!S:S, 1)</f>
        <v>0</v>
      </c>
      <c r="Y11" s="2">
        <f>COUNTIFS('OB History'!$B:$B,$A$11,'OB History'!T:T, 1)</f>
        <v>0</v>
      </c>
      <c r="Z11" s="2">
        <f>COUNTIFS('OB History'!$B:$B,$A$11,'OB History'!U:U, 1)</f>
        <v>1</v>
      </c>
      <c r="AA11" s="2">
        <f>COUNTIFS('OB History'!$B:$B,$A$11,'OB History'!V:V, 1)</f>
        <v>1</v>
      </c>
      <c r="AB11" s="2">
        <f>COUNTIFS('OB History'!$B:$B,$A$11,'OB History'!W:W, 1)</f>
        <v>5</v>
      </c>
      <c r="AC11" s="2">
        <f>COUNTIFS('OB History'!$B:$B,$A$11,'OB History'!X:X, 1)</f>
        <v>9</v>
      </c>
      <c r="AD11" s="2">
        <f>COUNTIFS('OB History'!$B:$B,$A$11,'OB History'!Y:Y, 1)</f>
        <v>4</v>
      </c>
      <c r="AE11" s="2">
        <f>COUNTIFS('OB History'!$B:$B,$A$11,'OB History'!Z:Z, 1)</f>
        <v>5</v>
      </c>
    </row>
    <row r="12" spans="1:31" x14ac:dyDescent="0.25">
      <c r="A12" s="2" t="s">
        <v>26</v>
      </c>
      <c r="B12" s="6" t="s">
        <v>124</v>
      </c>
      <c r="C12" s="6" t="s">
        <v>79</v>
      </c>
      <c r="D12" s="34">
        <f>SUMIFS('OB History'!C:C,'OB History'!B:B,A12)</f>
        <v>291</v>
      </c>
      <c r="E12" s="4">
        <f>AVERAGEIFS('OB History'!C:C,'OB History'!B:B,A12)</f>
        <v>11.64</v>
      </c>
      <c r="F12" s="35">
        <f t="array" ref="F12">MAX(IF('OB History'!B:B=A12, 'OB History'!C:C))</f>
        <v>24</v>
      </c>
      <c r="G12" s="34">
        <f>COUNTIFS('OB History'!B:B,A12,'OB History'!D:D, 1)</f>
        <v>18</v>
      </c>
      <c r="H12" s="2">
        <f>COUNTIFS('OB History'!B:B,A12,'OB History'!D:D, 0)</f>
        <v>7</v>
      </c>
      <c r="I12" s="88">
        <f>LOOKUP(2, 1/('OB History'!$B:$B=A12), 'OB History'!$AD:$AD)</f>
        <v>0.72</v>
      </c>
      <c r="J12" s="34">
        <f>SUMIFS('OB History'!F:F,'OB History'!B:B,A12)</f>
        <v>64</v>
      </c>
      <c r="K12" s="2">
        <f>SUMIFS('OB History'!E:E,'OB History'!B:B,A12)-J12</f>
        <v>39</v>
      </c>
      <c r="L12" s="88">
        <f>LOOKUP(2, 1/('OB History'!$B:$B=A12), 'OB History'!$AB:$AB)</f>
        <v>0.64800000000000002</v>
      </c>
      <c r="M12" s="34">
        <f>SUMIFS('OB History'!H:H,'OB History'!B:B,'Old Bow v2'!A12)</f>
        <v>235</v>
      </c>
      <c r="N12" s="2">
        <f>SUMIFS('OB History'!G:G,'OB History'!B:B,'Old Bow v2'!A12)-M12</f>
        <v>185</v>
      </c>
      <c r="O12" s="88">
        <f>LOOKUP(2, 1/('OB History'!$B:$B=A12), 'OB History'!$AC:$AC)</f>
        <v>0.57239999999999991</v>
      </c>
      <c r="P12" s="2">
        <f>COUNTIFS('OB History'!$B:$B,$A$12,'OB History'!K:K, 1)</f>
        <v>1</v>
      </c>
      <c r="Q12" s="2">
        <f>COUNTIFS('OB History'!$B:$B,$A$12,'OB History'!L:L, 1)</f>
        <v>5</v>
      </c>
      <c r="R12" s="2">
        <f>COUNTIFS('OB History'!$B:$B,$A$12,'OB History'!M:M, 1)</f>
        <v>3</v>
      </c>
      <c r="S12" s="2">
        <f>COUNTIFS('OB History'!$B:$B,$A$12,'OB History'!N:N, 1)</f>
        <v>9</v>
      </c>
      <c r="T12" s="2">
        <f>COUNTIFS('OB History'!$B:$B,$A$12,'OB History'!O:O, 1)</f>
        <v>4</v>
      </c>
      <c r="U12" s="2">
        <f>COUNTIFS('OB History'!$B:$B,$A$12,'OB History'!P:P, 1)</f>
        <v>10</v>
      </c>
      <c r="V12" s="2">
        <f>COUNTIFS('OB History'!$B:$B,$A$12,'OB History'!Q:Q, 1)</f>
        <v>4</v>
      </c>
      <c r="W12" s="2">
        <f>COUNTIFS('OB History'!$B:$B,$A$12,'OB History'!R:R, 1)</f>
        <v>2</v>
      </c>
      <c r="X12" s="2">
        <f>COUNTIFS('OB History'!$B:$B,$A$12,'OB History'!S:S, 1)</f>
        <v>1</v>
      </c>
      <c r="Y12" s="2">
        <f>COUNTIFS('OB History'!$B:$B,$A$12,'OB History'!T:T, 1)</f>
        <v>1</v>
      </c>
      <c r="Z12" s="2">
        <f>COUNTIFS('OB History'!$B:$B,$A$12,'OB History'!U:U, 1)</f>
        <v>1</v>
      </c>
      <c r="AA12" s="2">
        <f>COUNTIFS('OB History'!$B:$B,$A$12,'OB History'!V:V, 1)</f>
        <v>2</v>
      </c>
      <c r="AB12" s="2">
        <f>COUNTIFS('OB History'!$B:$B,$A$12,'OB History'!W:W, 1)</f>
        <v>5</v>
      </c>
      <c r="AC12" s="2">
        <f>COUNTIFS('OB History'!$B:$B,$A$12,'OB History'!X:X, 1)</f>
        <v>7</v>
      </c>
      <c r="AD12" s="2">
        <f>COUNTIFS('OB History'!$B:$B,$A$12,'OB History'!Y:Y, 1)</f>
        <v>2</v>
      </c>
      <c r="AE12" s="2">
        <f>COUNTIFS('OB History'!$B:$B,$A$12,'OB History'!Z:Z, 1)</f>
        <v>7</v>
      </c>
    </row>
    <row r="13" spans="1:31" x14ac:dyDescent="0.25">
      <c r="A13" s="2" t="s">
        <v>153</v>
      </c>
      <c r="B13" s="6" t="s">
        <v>79</v>
      </c>
      <c r="C13" s="6" t="s">
        <v>79</v>
      </c>
      <c r="D13" s="34">
        <f>SUMIFS('OB History'!C:C,'OB History'!B:B,A13)</f>
        <v>37</v>
      </c>
      <c r="E13" s="4">
        <f>AVERAGEIFS('OB History'!C:C,'OB History'!B:B,A13)</f>
        <v>18.5</v>
      </c>
      <c r="F13" s="35">
        <f t="array" ref="F13">MAX(IF('OB History'!B:B=A13, 'OB History'!C:C))</f>
        <v>19</v>
      </c>
      <c r="G13" s="34">
        <f>COUNTIFS('OB History'!B:B,A13,'OB History'!D:D, 1)</f>
        <v>0</v>
      </c>
      <c r="H13" s="2">
        <f>COUNTIFS('OB History'!B:B,A13,'OB History'!D:D, 0)</f>
        <v>2</v>
      </c>
      <c r="I13" s="88">
        <f>LOOKUP(2, 1/('OB History'!$B:$B=A13), 'OB History'!$AD:$AD)</f>
        <v>0</v>
      </c>
      <c r="J13" s="34">
        <f>SUMIFS('OB History'!F:F,'OB History'!B:B,A13)</f>
        <v>4</v>
      </c>
      <c r="K13" s="2">
        <f>SUMIFS('OB History'!E:E,'OB History'!B:B,A13)-J13</f>
        <v>6</v>
      </c>
      <c r="L13" s="88">
        <f>LOOKUP(2, 1/('OB History'!$B:$B=A13), 'OB History'!$AB:$AB)</f>
        <v>0.4</v>
      </c>
      <c r="M13" s="34">
        <f>SUMIFS('OB History'!H:H,'OB History'!B:B,'Old Bow v2'!A13)</f>
        <v>19</v>
      </c>
      <c r="N13" s="2">
        <f>SUMIFS('OB History'!G:G,'OB History'!B:B,'Old Bow v2'!A13)-M13</f>
        <v>24</v>
      </c>
      <c r="O13" s="88">
        <f>LOOKUP(2, 1/('OB History'!$B:$B=A13), 'OB History'!$AC:$AC)</f>
        <v>0.44</v>
      </c>
      <c r="P13" s="2">
        <f>COUNTIFS('OB History'!$B:$B,$A$13,'OB History'!K:K, 1)</f>
        <v>0</v>
      </c>
      <c r="Q13" s="2">
        <f>COUNTIFS('OB History'!$B:$B,$A$13,'OB History'!L:L, 1)</f>
        <v>0</v>
      </c>
      <c r="R13" s="2">
        <f>COUNTIFS('OB History'!$B:$B,$A$13,'OB History'!M:M, 1)</f>
        <v>1</v>
      </c>
      <c r="S13" s="2">
        <f>COUNTIFS('OB History'!$B:$B,$A$13,'OB History'!N:N, 1)</f>
        <v>0</v>
      </c>
      <c r="T13" s="2">
        <f>COUNTIFS('OB History'!$B:$B,$A$13,'OB History'!O:O, 1)</f>
        <v>0</v>
      </c>
      <c r="U13" s="2">
        <f>COUNTIFS('OB History'!$B:$B,$A$13,'OB History'!P:P, 1)</f>
        <v>1</v>
      </c>
      <c r="V13" s="2">
        <f>COUNTIFS('OB History'!$B:$B,$A$13,'OB History'!Q:Q, 1)</f>
        <v>1</v>
      </c>
      <c r="W13" s="2">
        <f>COUNTIFS('OB History'!$B:$B,$A$13,'OB History'!R:R, 1)</f>
        <v>0</v>
      </c>
      <c r="X13" s="2">
        <f>COUNTIFS('OB History'!$B:$B,$A$13,'OB History'!S:S, 1)</f>
        <v>0</v>
      </c>
      <c r="Y13" s="2">
        <f>COUNTIFS('OB History'!$B:$B,$A$13,'OB History'!T:T, 1)</f>
        <v>0</v>
      </c>
      <c r="Z13" s="2">
        <f>COUNTIFS('OB History'!$B:$B,$A$13,'OB History'!U:U, 1)</f>
        <v>0</v>
      </c>
      <c r="AA13" s="2">
        <f>COUNTIFS('OB History'!$B:$B,$A$13,'OB History'!V:V, 1)</f>
        <v>0</v>
      </c>
      <c r="AB13" s="2">
        <f>COUNTIFS('OB History'!$B:$B,$A$13,'OB History'!W:W, 1)</f>
        <v>0</v>
      </c>
      <c r="AC13" s="2">
        <f>COUNTIFS('OB History'!$B:$B,$A$13,'OB History'!X:X, 1)</f>
        <v>1</v>
      </c>
      <c r="AD13" s="2">
        <f>COUNTIFS('OB History'!$B:$B,$A$13,'OB History'!Y:Y, 1)</f>
        <v>0</v>
      </c>
      <c r="AE13" s="2">
        <f>COUNTIFS('OB History'!$B:$B,$A$13,'OB History'!Z:Z, 1)</f>
        <v>0</v>
      </c>
    </row>
    <row r="14" spans="1:31" ht="15.75" x14ac:dyDescent="0.25">
      <c r="A14" s="1" t="s">
        <v>45</v>
      </c>
      <c r="B14" s="80" t="s">
        <v>60</v>
      </c>
      <c r="C14" s="2" t="s">
        <v>79</v>
      </c>
      <c r="D14" s="34">
        <f>SUMIFS('OB History'!C:C,'OB History'!B:B,A14)</f>
        <v>258</v>
      </c>
      <c r="E14" s="4">
        <f>AVERAGEIFS('OB History'!C:C,'OB History'!B:B,A14)</f>
        <v>12.9</v>
      </c>
      <c r="F14" s="35">
        <f t="array" ref="F14">MAX(IF('OB History'!B:B=A14, 'OB History'!C:C))</f>
        <v>26</v>
      </c>
      <c r="G14" s="34">
        <f>COUNTIFS('OB History'!B:B,A14,'OB History'!D:D, 1)</f>
        <v>8</v>
      </c>
      <c r="H14" s="2">
        <f>COUNTIFS('OB History'!B:B,A14,'OB History'!D:D, 0)</f>
        <v>12</v>
      </c>
      <c r="I14" s="88">
        <f>LOOKUP(2, 1/('OB History'!$B:$B=A14), 'OB History'!$AD:$AD)</f>
        <v>0.4</v>
      </c>
      <c r="J14" s="34">
        <f>SUMIFS('OB History'!F:F,'OB History'!B:B,A14)</f>
        <v>39</v>
      </c>
      <c r="K14" s="2">
        <f>SUMIFS('OB History'!E:E,'OB History'!B:B,A14)-J14</f>
        <v>45</v>
      </c>
      <c r="L14" s="88">
        <f>LOOKUP(2, 1/('OB History'!$B:$B=A14), 'OB History'!$AB:$AB)</f>
        <v>0.46000000000000008</v>
      </c>
      <c r="M14" s="34">
        <f>SUMIFS('OB History'!H:H,'OB History'!B:B,'Old Bow v2'!A14)</f>
        <v>166</v>
      </c>
      <c r="N14" s="2">
        <f>SUMIFS('OB History'!G:G,'OB History'!B:B,'Old Bow v2'!A14)-M14</f>
        <v>174</v>
      </c>
      <c r="O14" s="88">
        <f>LOOKUP(2, 1/('OB History'!$B:$B=A14), 'OB History'!$AC:$AC)</f>
        <v>0.48650000000000004</v>
      </c>
      <c r="P14" s="2">
        <f>COUNTIFS('OB History'!$B:$B,$A$14,'OB History'!K:K, 1)</f>
        <v>1</v>
      </c>
      <c r="Q14" s="2">
        <f>COUNTIFS('OB History'!$B:$B,$A$14,'OB History'!L:L, 1)</f>
        <v>3</v>
      </c>
      <c r="R14" s="2">
        <f>COUNTIFS('OB History'!$B:$B,$A$14,'OB History'!M:M, 1)</f>
        <v>1</v>
      </c>
      <c r="S14" s="2">
        <f>COUNTIFS('OB History'!$B:$B,$A$14,'OB History'!N:N, 1)</f>
        <v>7</v>
      </c>
      <c r="T14" s="2">
        <f>COUNTIFS('OB History'!$B:$B,$A$14,'OB History'!O:O, 1)</f>
        <v>0</v>
      </c>
      <c r="U14" s="2">
        <f>COUNTIFS('OB History'!$B:$B,$A$14,'OB History'!P:P, 1)</f>
        <v>5</v>
      </c>
      <c r="V14" s="2">
        <f>COUNTIFS('OB History'!$B:$B,$A$14,'OB History'!Q:Q, 1)</f>
        <v>0</v>
      </c>
      <c r="W14" s="2">
        <f>COUNTIFS('OB History'!$B:$B,$A$14,'OB History'!R:R, 1)</f>
        <v>0</v>
      </c>
      <c r="X14" s="2">
        <f>COUNTIFS('OB History'!$B:$B,$A$14,'OB History'!S:S, 1)</f>
        <v>0</v>
      </c>
      <c r="Y14" s="2">
        <f>COUNTIFS('OB History'!$B:$B,$A$14,'OB History'!T:T, 1)</f>
        <v>1</v>
      </c>
      <c r="Z14" s="2">
        <f>COUNTIFS('OB History'!$B:$B,$A$14,'OB History'!U:U, 1)</f>
        <v>0</v>
      </c>
      <c r="AA14" s="2">
        <f>COUNTIFS('OB History'!$B:$B,$A$14,'OB History'!V:V, 1)</f>
        <v>0</v>
      </c>
      <c r="AB14" s="2">
        <f>COUNTIFS('OB History'!$B:$B,$A$14,'OB History'!W:W, 1)</f>
        <v>2</v>
      </c>
      <c r="AC14" s="2">
        <f>COUNTIFS('OB History'!$B:$B,$A$14,'OB History'!X:X, 1)</f>
        <v>7</v>
      </c>
      <c r="AD14" s="2">
        <f>COUNTIFS('OB History'!$B:$B,$A$14,'OB History'!Y:Y, 1)</f>
        <v>5</v>
      </c>
      <c r="AE14" s="2">
        <f>COUNTIFS('OB History'!$B:$B,$A$14,'OB History'!Z:Z, 1)</f>
        <v>7</v>
      </c>
    </row>
    <row r="15" spans="1:31" x14ac:dyDescent="0.25">
      <c r="A15" s="2" t="s">
        <v>50</v>
      </c>
      <c r="B15" s="2" t="s">
        <v>79</v>
      </c>
      <c r="C15" s="2" t="s">
        <v>79</v>
      </c>
      <c r="D15" s="34">
        <f>SUMIFS('OB History'!C:C,'OB History'!B:B,A15)</f>
        <v>43</v>
      </c>
      <c r="E15" s="4">
        <f>AVERAGEIFS('OB History'!C:C,'OB History'!B:B,A15)</f>
        <v>14.333333333333334</v>
      </c>
      <c r="F15" s="35">
        <f t="array" ref="F15">MAX(IF('OB History'!B:B=A15, 'OB History'!C:C))</f>
        <v>17</v>
      </c>
      <c r="G15" s="34">
        <f>COUNTIFS('OB History'!B:B,A15,'OB History'!D:D, 1)</f>
        <v>0</v>
      </c>
      <c r="H15" s="2">
        <f>COUNTIFS('OB History'!B:B,A15,'OB History'!D:D, 0)</f>
        <v>3</v>
      </c>
      <c r="I15" s="88">
        <f>LOOKUP(2, 1/('OB History'!$B:$B=A15), 'OB History'!$AD:$AD)</f>
        <v>0</v>
      </c>
      <c r="J15" s="34">
        <f>SUMIFS('OB History'!F:F,'OB History'!B:B,A15)</f>
        <v>4</v>
      </c>
      <c r="K15" s="2">
        <f>SUMIFS('OB History'!E:E,'OB History'!B:B,A15)-J15</f>
        <v>9</v>
      </c>
      <c r="L15" s="88">
        <f>LOOKUP(2, 1/('OB History'!$B:$B=A15), 'OB History'!$AB:$AB)</f>
        <v>0.3</v>
      </c>
      <c r="M15" s="34">
        <f>SUMIFS('OB History'!H:H,'OB History'!B:B,'Old Bow v2'!A15)</f>
        <v>24</v>
      </c>
      <c r="N15" s="2">
        <f>SUMIFS('OB History'!G:G,'OB History'!B:B,'Old Bow v2'!A15)-M15</f>
        <v>32</v>
      </c>
      <c r="O15" s="88">
        <f>LOOKUP(2, 1/('OB History'!$B:$B=A15), 'OB History'!$AC:$AC)</f>
        <v>0.41666666666666669</v>
      </c>
      <c r="P15" s="2">
        <f>COUNTIFS('OB History'!$B:$B,$A$15,'OB History'!K:K, 1)</f>
        <v>1</v>
      </c>
      <c r="Q15" s="2">
        <f>COUNTIFS('OB History'!$B:$B,$A$15,'OB History'!L:L, 1)</f>
        <v>0</v>
      </c>
      <c r="R15" s="2">
        <f>COUNTIFS('OB History'!$B:$B,$A$15,'OB History'!M:M, 1)</f>
        <v>0</v>
      </c>
      <c r="S15" s="2">
        <f>COUNTIFS('OB History'!$B:$B,$A$15,'OB History'!N:N, 1)</f>
        <v>0</v>
      </c>
      <c r="T15" s="2">
        <f>COUNTIFS('OB History'!$B:$B,$A$15,'OB History'!O:O, 1)</f>
        <v>0</v>
      </c>
      <c r="U15" s="2">
        <f>COUNTIFS('OB History'!$B:$B,$A$15,'OB History'!P:P, 1)</f>
        <v>2</v>
      </c>
      <c r="V15" s="2">
        <f>COUNTIFS('OB History'!$B:$B,$A$15,'OB History'!Q:Q, 1)</f>
        <v>0</v>
      </c>
      <c r="W15" s="2">
        <f>COUNTIFS('OB History'!$B:$B,$A$15,'OB History'!R:R, 1)</f>
        <v>0</v>
      </c>
      <c r="X15" s="2">
        <f>COUNTIFS('OB History'!$B:$B,$A$15,'OB History'!S:S, 1)</f>
        <v>0</v>
      </c>
      <c r="Y15" s="2">
        <f>COUNTIFS('OB History'!$B:$B,$A$15,'OB History'!T:T, 1)</f>
        <v>0</v>
      </c>
      <c r="Z15" s="2">
        <f>COUNTIFS('OB History'!$B:$B,$A$15,'OB History'!U:U, 1)</f>
        <v>0</v>
      </c>
      <c r="AA15" s="2">
        <f>COUNTIFS('OB History'!$B:$B,$A$15,'OB History'!V:V, 1)</f>
        <v>0</v>
      </c>
      <c r="AB15" s="2">
        <f>COUNTIFS('OB History'!$B:$B,$A$15,'OB History'!W:W, 1)</f>
        <v>1</v>
      </c>
      <c r="AC15" s="2">
        <f>COUNTIFS('OB History'!$B:$B,$A$15,'OB History'!X:X, 1)</f>
        <v>0</v>
      </c>
      <c r="AD15" s="2">
        <f>COUNTIFS('OB History'!$B:$B,$A$15,'OB History'!Y:Y, 1)</f>
        <v>0</v>
      </c>
      <c r="AE15" s="2">
        <f>COUNTIFS('OB History'!$B:$B,$A$15,'OB History'!Z:Z, 1)</f>
        <v>0</v>
      </c>
    </row>
    <row r="16" spans="1:31" x14ac:dyDescent="0.25">
      <c r="A16" s="2" t="s">
        <v>52</v>
      </c>
      <c r="B16" s="2" t="s">
        <v>79</v>
      </c>
      <c r="C16" s="2" t="s">
        <v>79</v>
      </c>
      <c r="D16" s="34">
        <f>SUMIFS('OB History'!C:C,'OB History'!B:B,A16)</f>
        <v>39</v>
      </c>
      <c r="E16" s="4">
        <f>AVERAGEIFS('OB History'!C:C,'OB History'!B:B,A16)</f>
        <v>19.5</v>
      </c>
      <c r="F16" s="35">
        <f t="array" ref="F16">MAX(IF('OB History'!B:B=A16, 'OB History'!C:C))</f>
        <v>34</v>
      </c>
      <c r="G16" s="34">
        <f>COUNTIFS('OB History'!B:B,A16,'OB History'!D:D, 1)</f>
        <v>0</v>
      </c>
      <c r="H16" s="2">
        <f>COUNTIFS('OB History'!B:B,A16,'OB History'!D:D, 0)</f>
        <v>2</v>
      </c>
      <c r="I16" s="88">
        <f>LOOKUP(2, 1/('OB History'!$B:$B=A16), 'OB History'!$AD:$AD)</f>
        <v>0</v>
      </c>
      <c r="J16" s="34">
        <f>SUMIFS('OB History'!F:F,'OB History'!B:B,A16)</f>
        <v>2</v>
      </c>
      <c r="K16" s="2">
        <f>SUMIFS('OB History'!E:E,'OB History'!B:B,A16)-J16</f>
        <v>6</v>
      </c>
      <c r="L16" s="88">
        <f>LOOKUP(2, 1/('OB History'!$B:$B=A16), 'OB History'!$AB:$AB)</f>
        <v>0.2</v>
      </c>
      <c r="M16" s="34">
        <f>SUMIFS('OB History'!H:H,'OB History'!B:B,'Old Bow v2'!A16)</f>
        <v>12</v>
      </c>
      <c r="N16" s="2">
        <f>SUMIFS('OB History'!G:G,'OB History'!B:B,'Old Bow v2'!A16)-M16</f>
        <v>22</v>
      </c>
      <c r="O16" s="88">
        <f>LOOKUP(2, 1/('OB History'!$B:$B=A16), 'OB History'!$AC:$AC)</f>
        <v>0.34499999999999997</v>
      </c>
      <c r="P16" s="2">
        <f>COUNTIFS('OB History'!$B:$B,$A$16,'OB History'!K:K, 1)</f>
        <v>0</v>
      </c>
      <c r="Q16" s="2">
        <f>COUNTIFS('OB History'!$B:$B,$A$16,'OB History'!L:L, 1)</f>
        <v>0</v>
      </c>
      <c r="R16" s="2">
        <f>COUNTIFS('OB History'!$B:$B,$A$16,'OB History'!M:M, 1)</f>
        <v>0</v>
      </c>
      <c r="S16" s="2">
        <f>COUNTIFS('OB History'!$B:$B,$A$16,'OB History'!N:N, 1)</f>
        <v>0</v>
      </c>
      <c r="T16" s="2">
        <f>COUNTIFS('OB History'!$B:$B,$A$16,'OB History'!O:O, 1)</f>
        <v>0</v>
      </c>
      <c r="U16" s="2">
        <f>COUNTIFS('OB History'!$B:$B,$A$16,'OB History'!P:P, 1)</f>
        <v>1</v>
      </c>
      <c r="V16" s="2">
        <f>COUNTIFS('OB History'!$B:$B,$A$16,'OB History'!Q:Q, 1)</f>
        <v>0</v>
      </c>
      <c r="W16" s="2">
        <f>COUNTIFS('OB History'!$B:$B,$A$16,'OB History'!R:R, 1)</f>
        <v>0</v>
      </c>
      <c r="X16" s="2">
        <f>COUNTIFS('OB History'!$B:$B,$A$16,'OB History'!S:S, 1)</f>
        <v>0</v>
      </c>
      <c r="Y16" s="2">
        <f>COUNTIFS('OB History'!$B:$B,$A$16,'OB History'!T:T, 1)</f>
        <v>0</v>
      </c>
      <c r="Z16" s="2">
        <f>COUNTIFS('OB History'!$B:$B,$A$16,'OB History'!U:U, 1)</f>
        <v>0</v>
      </c>
      <c r="AA16" s="2">
        <f>COUNTIFS('OB History'!$B:$B,$A$16,'OB History'!V:V, 1)</f>
        <v>0</v>
      </c>
      <c r="AB16" s="2">
        <f>COUNTIFS('OB History'!$B:$B,$A$16,'OB History'!W:W, 1)</f>
        <v>0</v>
      </c>
      <c r="AC16" s="2">
        <f>COUNTIFS('OB History'!$B:$B,$A$16,'OB History'!X:X, 1)</f>
        <v>1</v>
      </c>
      <c r="AD16" s="2">
        <f>COUNTIFS('OB History'!$B:$B,$A$16,'OB History'!Y:Y, 1)</f>
        <v>0</v>
      </c>
      <c r="AE16" s="2">
        <f>COUNTIFS('OB History'!$B:$B,$A$16,'OB History'!Z:Z, 1)</f>
        <v>0</v>
      </c>
    </row>
    <row r="17" spans="1:31" x14ac:dyDescent="0.25">
      <c r="A17" s="1" t="s">
        <v>44</v>
      </c>
      <c r="B17" s="2" t="s">
        <v>79</v>
      </c>
      <c r="C17" s="2" t="s">
        <v>79</v>
      </c>
      <c r="D17" s="34">
        <f>SUMIFS('OB History'!C:C,'OB History'!B:B,A17)</f>
        <v>57</v>
      </c>
      <c r="E17" s="4">
        <f>AVERAGEIFS('OB History'!C:C,'OB History'!B:B,A17)</f>
        <v>19</v>
      </c>
      <c r="F17" s="35">
        <f t="array" ref="F17">MAX(IF('OB History'!B:B=A17, 'OB History'!C:C))</f>
        <v>28</v>
      </c>
      <c r="G17" s="34">
        <f>COUNTIFS('OB History'!B:B,A17,'OB History'!D:D, 1)</f>
        <v>3</v>
      </c>
      <c r="H17" s="2">
        <f>COUNTIFS('OB History'!B:B,A17,'OB History'!D:D, 0)</f>
        <v>0</v>
      </c>
      <c r="I17" s="88">
        <f>LOOKUP(2, 1/('OB History'!$B:$B=A17), 'OB History'!$AD:$AD)</f>
        <v>1</v>
      </c>
      <c r="J17" s="34">
        <f>SUMIFS('OB History'!F:F,'OB History'!B:B,A17)</f>
        <v>9</v>
      </c>
      <c r="K17" s="2">
        <f>SUMIFS('OB History'!E:E,'OB History'!B:B,A17)-J17</f>
        <v>4</v>
      </c>
      <c r="L17" s="88">
        <f>LOOKUP(2, 1/('OB History'!$B:$B=A17), 'OB History'!$AB:$AB)</f>
        <v>0.73333333333333339</v>
      </c>
      <c r="M17" s="34">
        <f>SUMIFS('OB History'!H:H,'OB History'!B:B,'Old Bow v2'!A17)</f>
        <v>32</v>
      </c>
      <c r="N17" s="2">
        <f>SUMIFS('OB History'!G:G,'OB History'!B:B,'Old Bow v2'!A17)-M17</f>
        <v>23</v>
      </c>
      <c r="O17" s="88">
        <f>LOOKUP(2, 1/('OB History'!$B:$B=A17), 'OB History'!$AC:$AC)</f>
        <v>0.59333333333333327</v>
      </c>
      <c r="P17" s="2">
        <f>COUNTIFS('OB History'!$B:$B,$A$17,'OB History'!K:K, 1)</f>
        <v>0</v>
      </c>
      <c r="Q17" s="2">
        <f>COUNTIFS('OB History'!$B:$B,$A$17,'OB History'!L:L, 1)</f>
        <v>1</v>
      </c>
      <c r="R17" s="2">
        <f>COUNTIFS('OB History'!$B:$B,$A$17,'OB History'!M:M, 1)</f>
        <v>1</v>
      </c>
      <c r="S17" s="2">
        <f>COUNTIFS('OB History'!$B:$B,$A$17,'OB History'!N:N, 1)</f>
        <v>0</v>
      </c>
      <c r="T17" s="2">
        <f>COUNTIFS('OB History'!$B:$B,$A$17,'OB History'!O:O, 1)</f>
        <v>0</v>
      </c>
      <c r="U17" s="2">
        <f>COUNTIFS('OB History'!$B:$B,$A$17,'OB History'!P:P, 1)</f>
        <v>1</v>
      </c>
      <c r="V17" s="2">
        <f>COUNTIFS('OB History'!$B:$B,$A$17,'OB History'!Q:Q, 1)</f>
        <v>0</v>
      </c>
      <c r="W17" s="2">
        <f>COUNTIFS('OB History'!$B:$B,$A$17,'OB History'!R:R, 1)</f>
        <v>1</v>
      </c>
      <c r="X17" s="2">
        <f>COUNTIFS('OB History'!$B:$B,$A$17,'OB History'!S:S, 1)</f>
        <v>0</v>
      </c>
      <c r="Y17" s="2">
        <f>COUNTIFS('OB History'!$B:$B,$A$17,'OB History'!T:T, 1)</f>
        <v>0</v>
      </c>
      <c r="Z17" s="2">
        <f>COUNTIFS('OB History'!$B:$B,$A$17,'OB History'!U:U, 1)</f>
        <v>0</v>
      </c>
      <c r="AA17" s="2">
        <f>COUNTIFS('OB History'!$B:$B,$A$17,'OB History'!V:V, 1)</f>
        <v>0</v>
      </c>
      <c r="AB17" s="2">
        <f>COUNTIFS('OB History'!$B:$B,$A$17,'OB History'!W:W, 1)</f>
        <v>0</v>
      </c>
      <c r="AC17" s="2">
        <f>COUNTIFS('OB History'!$B:$B,$A$17,'OB History'!X:X, 1)</f>
        <v>3</v>
      </c>
      <c r="AD17" s="2">
        <f>COUNTIFS('OB History'!$B:$B,$A$17,'OB History'!Y:Y, 1)</f>
        <v>1</v>
      </c>
      <c r="AE17" s="2">
        <f>COUNTIFS('OB History'!$B:$B,$A$17,'OB History'!Z:Z, 1)</f>
        <v>1</v>
      </c>
    </row>
    <row r="18" spans="1:31" x14ac:dyDescent="0.25">
      <c r="A18" s="2" t="s">
        <v>1</v>
      </c>
      <c r="B18" s="6" t="s">
        <v>124</v>
      </c>
      <c r="C18" s="2" t="s">
        <v>79</v>
      </c>
      <c r="D18" s="34">
        <f>SUMIFS('OB History'!C:C,'OB History'!B:B,A18)</f>
        <v>285</v>
      </c>
      <c r="E18" s="4">
        <f>AVERAGEIFS('OB History'!C:C,'OB History'!B:B,A18)</f>
        <v>23.75</v>
      </c>
      <c r="F18" s="35">
        <f t="array" ref="F18">MAX(IF('OB History'!B:B=A18, 'OB History'!C:C))</f>
        <v>37</v>
      </c>
      <c r="G18" s="34">
        <f>COUNTIFS('OB History'!B:B,A18,'OB History'!D:D, 1)</f>
        <v>7</v>
      </c>
      <c r="H18" s="2">
        <f>COUNTIFS('OB History'!B:B,A18,'OB History'!D:D, 0)</f>
        <v>5</v>
      </c>
      <c r="I18" s="88">
        <f>LOOKUP(2, 1/('OB History'!$B:$B=A18), 'OB History'!$AD:$AD)</f>
        <v>0.58333333333333337</v>
      </c>
      <c r="J18" s="34">
        <f>SUMIFS('OB History'!F:F,'OB History'!B:B,A18)</f>
        <v>27</v>
      </c>
      <c r="K18" s="2">
        <f>SUMIFS('OB History'!E:E,'OB History'!B:B,A18)-J18</f>
        <v>25</v>
      </c>
      <c r="L18" s="88">
        <f>LOOKUP(2, 1/('OB History'!$B:$B=A18), 'OB History'!$AB:$AB)</f>
        <v>0.51666666666666672</v>
      </c>
      <c r="M18" s="34">
        <f>SUMIFS('OB History'!H:H,'OB History'!B:B,'Old Bow v2'!A18)</f>
        <v>105</v>
      </c>
      <c r="N18" s="2">
        <f>SUMIFS('OB History'!G:G,'OB History'!B:B,'Old Bow v2'!A18)-M18</f>
        <v>110</v>
      </c>
      <c r="O18" s="88">
        <f>LOOKUP(2, 1/('OB History'!$B:$B=A18), 'OB History'!$AC:$AC)</f>
        <v>0.48249999999999998</v>
      </c>
      <c r="P18" s="2">
        <f>COUNTIFS('OB History'!$B:$B,$A$18,'OB History'!K:K, 1)</f>
        <v>0</v>
      </c>
      <c r="Q18" s="2">
        <f>COUNTIFS('OB History'!$B:$B,$A$18,'OB History'!L:L, 1)</f>
        <v>3</v>
      </c>
      <c r="R18" s="2">
        <f>COUNTIFS('OB History'!$B:$B,$A$18,'OB History'!M:M, 1)</f>
        <v>4</v>
      </c>
      <c r="S18" s="2">
        <f>COUNTIFS('OB History'!$B:$B,$A$18,'OB History'!N:N, 1)</f>
        <v>1</v>
      </c>
      <c r="T18" s="2">
        <f>COUNTIFS('OB History'!$B:$B,$A$18,'OB History'!O:O, 1)</f>
        <v>2</v>
      </c>
      <c r="U18" s="2">
        <f>COUNTIFS('OB History'!$B:$B,$A$18,'OB History'!P:P, 1)</f>
        <v>1</v>
      </c>
      <c r="V18" s="2">
        <f>COUNTIFS('OB History'!$B:$B,$A$18,'OB History'!Q:Q, 1)</f>
        <v>0</v>
      </c>
      <c r="W18" s="2">
        <f>COUNTIFS('OB History'!$B:$B,$A$18,'OB History'!R:R, 1)</f>
        <v>1</v>
      </c>
      <c r="X18" s="2">
        <f>COUNTIFS('OB History'!$B:$B,$A$18,'OB History'!S:S, 1)</f>
        <v>0</v>
      </c>
      <c r="Y18" s="2">
        <f>COUNTIFS('OB History'!$B:$B,$A$18,'OB History'!T:T, 1)</f>
        <v>0</v>
      </c>
      <c r="Z18" s="2">
        <f>COUNTIFS('OB History'!$B:$B,$A$18,'OB History'!U:U, 1)</f>
        <v>0</v>
      </c>
      <c r="AA18" s="2">
        <f>COUNTIFS('OB History'!$B:$B,$A$18,'OB History'!V:V, 1)</f>
        <v>0</v>
      </c>
      <c r="AB18" s="2">
        <f>COUNTIFS('OB History'!$B:$B,$A$18,'OB History'!W:W, 1)</f>
        <v>3</v>
      </c>
      <c r="AC18" s="2">
        <f>COUNTIFS('OB History'!$B:$B,$A$18,'OB History'!X:X, 1)</f>
        <v>4</v>
      </c>
      <c r="AD18" s="2">
        <f>COUNTIFS('OB History'!$B:$B,$A$18,'OB History'!Y:Y, 1)</f>
        <v>3</v>
      </c>
      <c r="AE18" s="2">
        <f>COUNTIFS('OB History'!$B:$B,$A$18,'OB History'!Z:Z, 1)</f>
        <v>5</v>
      </c>
    </row>
    <row r="19" spans="1:31" x14ac:dyDescent="0.25">
      <c r="A19" s="2" t="s">
        <v>151</v>
      </c>
      <c r="B19" s="6" t="s">
        <v>79</v>
      </c>
      <c r="C19" s="2" t="s">
        <v>79</v>
      </c>
      <c r="D19" s="34">
        <f>SUMIFS('OB History'!C:C,'OB History'!B:B,A19)</f>
        <v>38</v>
      </c>
      <c r="E19" s="4">
        <f>AVERAGEIFS('OB History'!C:C,'OB History'!B:B,A19)</f>
        <v>12.666666666666666</v>
      </c>
      <c r="F19" s="35">
        <f t="array" ref="F19">MAX(IF('OB History'!B:B=A19, 'OB History'!C:C))</f>
        <v>15</v>
      </c>
      <c r="G19" s="34">
        <f>COUNTIFS('OB History'!B:B,A19,'OB History'!D:D, 1)</f>
        <v>3</v>
      </c>
      <c r="H19" s="2">
        <f>COUNTIFS('OB History'!B:B,A19,'OB History'!D:D, 0)</f>
        <v>0</v>
      </c>
      <c r="I19" s="88">
        <f>LOOKUP(2, 1/('OB History'!$B:$B=A19), 'OB History'!$AD:$AD)</f>
        <v>1</v>
      </c>
      <c r="J19" s="34">
        <f>SUMIFS('OB History'!F:F,'OB History'!B:B,A19)</f>
        <v>9</v>
      </c>
      <c r="K19" s="2">
        <f>SUMIFS('OB History'!E:E,'OB History'!B:B,A19)-J19</f>
        <v>4</v>
      </c>
      <c r="L19" s="88">
        <f>LOOKUP(2, 1/('OB History'!$B:$B=A19), 'OB History'!$AB:$AB)</f>
        <v>0.70000000000000007</v>
      </c>
      <c r="M19" s="34">
        <f>SUMIFS('OB History'!H:H,'OB History'!B:B,'Old Bow v2'!A19)</f>
        <v>31</v>
      </c>
      <c r="N19" s="2">
        <f>SUMIFS('OB History'!G:G,'OB History'!B:B,'Old Bow v2'!A19)-M19</f>
        <v>15</v>
      </c>
      <c r="O19" s="88">
        <f>LOOKUP(2, 1/('OB History'!$B:$B=A19), 'OB History'!$AC:$AC)</f>
        <v>0.67333333333333334</v>
      </c>
      <c r="P19" s="2">
        <f>COUNTIFS('OB History'!$B:$B,$A$19,'OB History'!K:K, 1)</f>
        <v>0</v>
      </c>
      <c r="Q19" s="2">
        <f>COUNTIFS('OB History'!$B:$B,$A$19,'OB History'!L:L, 1)</f>
        <v>0</v>
      </c>
      <c r="R19" s="2">
        <f>COUNTIFS('OB History'!$B:$B,$A$19,'OB History'!M:M, 1)</f>
        <v>0</v>
      </c>
      <c r="S19" s="2">
        <f>COUNTIFS('OB History'!$B:$B,$A$19,'OB History'!N:N, 1)</f>
        <v>1</v>
      </c>
      <c r="T19" s="2">
        <f>COUNTIFS('OB History'!$B:$B,$A$19,'OB History'!O:O, 1)</f>
        <v>0</v>
      </c>
      <c r="U19" s="2">
        <f>COUNTIFS('OB History'!$B:$B,$A$19,'OB History'!P:P, 1)</f>
        <v>1</v>
      </c>
      <c r="V19" s="2">
        <f>COUNTIFS('OB History'!$B:$B,$A$19,'OB History'!Q:Q, 1)</f>
        <v>0</v>
      </c>
      <c r="W19" s="2">
        <f>COUNTIFS('OB History'!$B:$B,$A$19,'OB History'!R:R, 1)</f>
        <v>1</v>
      </c>
      <c r="X19" s="2">
        <f>COUNTIFS('OB History'!$B:$B,$A$19,'OB History'!S:S, 1)</f>
        <v>0</v>
      </c>
      <c r="Y19" s="2">
        <f>COUNTIFS('OB History'!$B:$B,$A$19,'OB History'!T:T, 1)</f>
        <v>0</v>
      </c>
      <c r="Z19" s="2">
        <f>COUNTIFS('OB History'!$B:$B,$A$19,'OB History'!U:U, 1)</f>
        <v>1</v>
      </c>
      <c r="AA19" s="2">
        <f>COUNTIFS('OB History'!$B:$B,$A$19,'OB History'!V:V, 1)</f>
        <v>0</v>
      </c>
      <c r="AB19" s="2">
        <f>COUNTIFS('OB History'!$B:$B,$A$19,'OB History'!W:W, 1)</f>
        <v>1</v>
      </c>
      <c r="AC19" s="2">
        <f>COUNTIFS('OB History'!$B:$B,$A$19,'OB History'!X:X, 1)</f>
        <v>2</v>
      </c>
      <c r="AD19" s="2">
        <f>COUNTIFS('OB History'!$B:$B,$A$19,'OB History'!Y:Y, 1)</f>
        <v>2</v>
      </c>
      <c r="AE19" s="2">
        <f>COUNTIFS('OB History'!$B:$B,$A$19,'OB History'!Z:Z, 1)</f>
        <v>0</v>
      </c>
    </row>
    <row r="20" spans="1:31" x14ac:dyDescent="0.25">
      <c r="A20" s="2" t="s">
        <v>29</v>
      </c>
      <c r="B20" s="6" t="s">
        <v>157</v>
      </c>
      <c r="C20" s="2" t="s">
        <v>79</v>
      </c>
      <c r="D20" s="34">
        <f>SUMIFS('OB History'!C:C,'OB History'!B:B,A20)</f>
        <v>333</v>
      </c>
      <c r="E20" s="4">
        <f>AVERAGEIFS('OB History'!C:C,'OB History'!B:B,A20)</f>
        <v>10.40625</v>
      </c>
      <c r="F20" s="35">
        <f t="array" ref="F20">MAX(IF('OB History'!B:B=A20, 'OB History'!C:C))</f>
        <v>21</v>
      </c>
      <c r="G20" s="34">
        <f>COUNTIFS('OB History'!B:B,A20,'OB History'!D:D, 1)</f>
        <v>15</v>
      </c>
      <c r="H20" s="2">
        <f>COUNTIFS('OB History'!B:B,A20,'OB History'!D:D, 0)</f>
        <v>17</v>
      </c>
      <c r="I20" s="88">
        <f>LOOKUP(2, 1/('OB History'!$B:$B=A20), 'OB History'!$AD:$AD)</f>
        <v>0.46875</v>
      </c>
      <c r="J20" s="34">
        <f>SUMIFS('OB History'!F:F,'OB History'!B:B,A20)</f>
        <v>65</v>
      </c>
      <c r="K20" s="2">
        <f>SUMIFS('OB History'!E:E,'OB History'!B:B,A20)-J20</f>
        <v>66</v>
      </c>
      <c r="L20" s="88">
        <f>LOOKUP(2, 1/('OB History'!$B:$B=A20), 'OB History'!$AB:$AB)</f>
        <v>0.49531250000000004</v>
      </c>
      <c r="M20" s="34">
        <f>SUMIFS('OB History'!H:H,'OB History'!B:B,'Old Bow v2'!A20)</f>
        <v>270</v>
      </c>
      <c r="N20" s="2">
        <f>SUMIFS('OB History'!G:G,'OB History'!B:B,'Old Bow v2'!A20)-M20</f>
        <v>269</v>
      </c>
      <c r="O20" s="88">
        <f>LOOKUP(2, 1/('OB History'!$B:$B=A20), 'OB History'!$AC:$AC)</f>
        <v>0.50750000000000006</v>
      </c>
      <c r="P20" s="2">
        <f>COUNTIFS('OB History'!$B:$B,$A$20,'OB History'!K:K, 1)</f>
        <v>3</v>
      </c>
      <c r="Q20" s="2">
        <f>COUNTIFS('OB History'!$B:$B,$A$20,'OB History'!L:L, 1)</f>
        <v>6</v>
      </c>
      <c r="R20" s="2">
        <f>COUNTIFS('OB History'!$B:$B,$A$20,'OB History'!M:M, 1)</f>
        <v>2</v>
      </c>
      <c r="S20" s="2">
        <f>COUNTIFS('OB History'!$B:$B,$A$20,'OB History'!N:N, 1)</f>
        <v>9</v>
      </c>
      <c r="T20" s="2">
        <f>COUNTIFS('OB History'!$B:$B,$A$20,'OB History'!O:O, 1)</f>
        <v>2</v>
      </c>
      <c r="U20" s="2">
        <f>COUNTIFS('OB History'!$B:$B,$A$20,'OB History'!P:P, 1)</f>
        <v>5</v>
      </c>
      <c r="V20" s="2">
        <f>COUNTIFS('OB History'!$B:$B,$A$20,'OB History'!Q:Q, 1)</f>
        <v>1</v>
      </c>
      <c r="W20" s="2">
        <f>COUNTIFS('OB History'!$B:$B,$A$20,'OB History'!R:R, 1)</f>
        <v>0</v>
      </c>
      <c r="X20" s="2">
        <f>COUNTIFS('OB History'!$B:$B,$A$20,'OB History'!S:S, 1)</f>
        <v>0</v>
      </c>
      <c r="Y20" s="2">
        <f>COUNTIFS('OB History'!$B:$B,$A$20,'OB History'!T:T, 1)</f>
        <v>0</v>
      </c>
      <c r="Z20" s="2">
        <f>COUNTIFS('OB History'!$B:$B,$A$20,'OB History'!U:U, 1)</f>
        <v>0</v>
      </c>
      <c r="AA20" s="2">
        <f>COUNTIFS('OB History'!$B:$B,$A$20,'OB History'!V:V, 1)</f>
        <v>2</v>
      </c>
      <c r="AB20" s="2">
        <f>COUNTIFS('OB History'!$B:$B,$A$20,'OB History'!W:W, 1)</f>
        <v>8</v>
      </c>
      <c r="AC20" s="2">
        <f>COUNTIFS('OB History'!$B:$B,$A$20,'OB History'!X:X, 1)</f>
        <v>13</v>
      </c>
      <c r="AD20" s="2">
        <f>COUNTIFS('OB History'!$B:$B,$A$20,'OB History'!Y:Y, 1)</f>
        <v>5</v>
      </c>
      <c r="AE20" s="2">
        <f>COUNTIFS('OB History'!$B:$B,$A$20,'OB History'!Z:Z, 1)</f>
        <v>9</v>
      </c>
    </row>
    <row r="21" spans="1:31" x14ac:dyDescent="0.25">
      <c r="A21" s="2" t="s">
        <v>46</v>
      </c>
      <c r="B21" s="2" t="s">
        <v>79</v>
      </c>
      <c r="C21" s="2" t="s">
        <v>79</v>
      </c>
      <c r="D21" s="34">
        <f>SUMIFS('OB History'!C:C,'OB History'!B:B,A21)</f>
        <v>183</v>
      </c>
      <c r="E21" s="4">
        <f>AVERAGEIFS('OB History'!C:C,'OB History'!B:B,A21)</f>
        <v>20.333333333333332</v>
      </c>
      <c r="F21" s="35">
        <f t="array" ref="F21">MAX(IF('OB History'!B:B=A21, 'OB History'!C:C))</f>
        <v>36</v>
      </c>
      <c r="G21" s="34">
        <f>COUNTIFS('OB History'!B:B,A21,'OB History'!D:D, 1)</f>
        <v>4</v>
      </c>
      <c r="H21" s="2">
        <f>COUNTIFS('OB History'!B:B,A21,'OB History'!D:D, 0)</f>
        <v>5</v>
      </c>
      <c r="I21" s="88">
        <f>LOOKUP(2, 1/('OB History'!$B:$B=A21), 'OB History'!$AD:$AD)</f>
        <v>0.44444444444444442</v>
      </c>
      <c r="J21" s="34">
        <f>SUMIFS('OB History'!F:F,'OB History'!B:B,A21)</f>
        <v>16</v>
      </c>
      <c r="K21" s="2">
        <f>SUMIFS('OB History'!E:E,'OB History'!B:B,A21)-J21</f>
        <v>20</v>
      </c>
      <c r="L21" s="88">
        <f>LOOKUP(2, 1/('OB History'!$B:$B=A21), 'OB History'!$AB:$AB)</f>
        <v>0.41666666666666669</v>
      </c>
      <c r="M21" s="34">
        <f>SUMIFS('OB History'!H:H,'OB History'!B:B,'Old Bow v2'!A21)</f>
        <v>70</v>
      </c>
      <c r="N21" s="2">
        <f>SUMIFS('OB History'!G:G,'OB History'!B:B,'Old Bow v2'!A21)-M21</f>
        <v>83</v>
      </c>
      <c r="O21" s="88">
        <f>LOOKUP(2, 1/('OB History'!$B:$B=A21), 'OB History'!$AC:$AC)</f>
        <v>0.44999999999999996</v>
      </c>
      <c r="P21" s="2">
        <f>COUNTIFS('OB History'!$B:$B,$A$21,'OB History'!K:K, 1)</f>
        <v>0</v>
      </c>
      <c r="Q21" s="2">
        <f>COUNTIFS('OB History'!$B:$B,$A$21,'OB History'!L:L, 1)</f>
        <v>1</v>
      </c>
      <c r="R21" s="2">
        <f>COUNTIFS('OB History'!$B:$B,$A$21,'OB History'!M:M, 1)</f>
        <v>1</v>
      </c>
      <c r="S21" s="2">
        <f>COUNTIFS('OB History'!$B:$B,$A$21,'OB History'!N:N, 1)</f>
        <v>1</v>
      </c>
      <c r="T21" s="2">
        <f>COUNTIFS('OB History'!$B:$B,$A$21,'OB History'!O:O, 1)</f>
        <v>0</v>
      </c>
      <c r="U21" s="2">
        <f>COUNTIFS('OB History'!$B:$B,$A$21,'OB History'!P:P, 1)</f>
        <v>5</v>
      </c>
      <c r="V21" s="2">
        <f>COUNTIFS('OB History'!$B:$B,$A$21,'OB History'!Q:Q, 1)</f>
        <v>0</v>
      </c>
      <c r="W21" s="2">
        <f>COUNTIFS('OB History'!$B:$B,$A$21,'OB History'!R:R, 1)</f>
        <v>1</v>
      </c>
      <c r="X21" s="2">
        <f>COUNTIFS('OB History'!$B:$B,$A$21,'OB History'!S:S, 1)</f>
        <v>0</v>
      </c>
      <c r="Y21" s="2">
        <f>COUNTIFS('OB History'!$B:$B,$A$21,'OB History'!T:T, 1)</f>
        <v>0</v>
      </c>
      <c r="Z21" s="2">
        <f>COUNTIFS('OB History'!$B:$B,$A$21,'OB History'!U:U, 1)</f>
        <v>0</v>
      </c>
      <c r="AA21" s="2">
        <f>COUNTIFS('OB History'!$B:$B,$A$21,'OB History'!V:V, 1)</f>
        <v>0</v>
      </c>
      <c r="AB21" s="2">
        <f>COUNTIFS('OB History'!$B:$B,$A$21,'OB History'!W:W, 1)</f>
        <v>1</v>
      </c>
      <c r="AC21" s="2">
        <f>COUNTIFS('OB History'!$B:$B,$A$21,'OB History'!X:X, 1)</f>
        <v>3</v>
      </c>
      <c r="AD21" s="2">
        <f>COUNTIFS('OB History'!$B:$B,$A$21,'OB History'!Y:Y, 1)</f>
        <v>1</v>
      </c>
      <c r="AE21" s="2">
        <f>COUNTIFS('OB History'!$B:$B,$A$21,'OB History'!Z:Z, 1)</f>
        <v>2</v>
      </c>
    </row>
    <row r="22" spans="1:31" x14ac:dyDescent="0.25">
      <c r="A22" s="2" t="s">
        <v>140</v>
      </c>
      <c r="B22" s="2" t="s">
        <v>79</v>
      </c>
      <c r="C22" s="2" t="s">
        <v>79</v>
      </c>
      <c r="D22" s="34">
        <f>SUMIFS('OB History'!C:C,'OB History'!B:B,A22)</f>
        <v>111</v>
      </c>
      <c r="E22" s="4">
        <f>AVERAGEIFS('OB History'!C:C,'OB History'!B:B,A22)</f>
        <v>10.090909090909092</v>
      </c>
      <c r="F22" s="35">
        <f t="array" ref="F22">MAX(IF('OB History'!B:B=A22, 'OB History'!C:C))</f>
        <v>17</v>
      </c>
      <c r="G22" s="34">
        <f>COUNTIFS('OB History'!B:B,A22,'OB History'!D:D, 1)</f>
        <v>7</v>
      </c>
      <c r="H22" s="2">
        <f>COUNTIFS('OB History'!B:B,A22,'OB History'!D:D, 0)</f>
        <v>4</v>
      </c>
      <c r="I22" s="88">
        <f>LOOKUP(2, 1/('OB History'!$B:$B=A22), 'OB History'!$AD:$AD)</f>
        <v>0.63636363636363635</v>
      </c>
      <c r="J22" s="34">
        <f>SUMIFS('OB History'!F:F,'OB History'!B:B,A22)</f>
        <v>27</v>
      </c>
      <c r="K22" s="2">
        <f>SUMIFS('OB History'!E:E,'OB History'!B:B,A22)-J22</f>
        <v>21</v>
      </c>
      <c r="L22" s="88">
        <f>LOOKUP(2, 1/('OB History'!$B:$B=A22), 'OB History'!$AB:$AB)</f>
        <v>0.57727272727272727</v>
      </c>
      <c r="M22" s="34">
        <f>SUMIFS('OB History'!H:H,'OB History'!B:B,'Old Bow v2'!A22)</f>
        <v>101</v>
      </c>
      <c r="N22" s="2">
        <f>SUMIFS('OB History'!G:G,'OB History'!B:B,'Old Bow v2'!A22)-M22</f>
        <v>87</v>
      </c>
      <c r="O22" s="88">
        <f>LOOKUP(2, 1/('OB History'!$B:$B=A22), 'OB History'!$AC:$AC)</f>
        <v>0.54363636363636358</v>
      </c>
      <c r="P22" s="2">
        <f>COUNTIFS('OB History'!$B:$B,$A$22,'OB History'!K:K, 1)</f>
        <v>1</v>
      </c>
      <c r="Q22" s="2">
        <f>COUNTIFS('OB History'!$B:$B,$A$22,'OB History'!L:L, 1)</f>
        <v>2</v>
      </c>
      <c r="R22" s="2">
        <f>COUNTIFS('OB History'!$B:$B,$A$22,'OB History'!M:M, 1)</f>
        <v>1</v>
      </c>
      <c r="S22" s="2">
        <f>COUNTIFS('OB History'!$B:$B,$A$22,'OB History'!N:N, 1)</f>
        <v>2</v>
      </c>
      <c r="T22" s="2">
        <f>COUNTIFS('OB History'!$B:$B,$A$22,'OB History'!O:O, 1)</f>
        <v>0</v>
      </c>
      <c r="U22" s="2">
        <f>COUNTIFS('OB History'!$B:$B,$A$22,'OB History'!P:P, 1)</f>
        <v>2</v>
      </c>
      <c r="V22" s="2">
        <f>COUNTIFS('OB History'!$B:$B,$A$22,'OB History'!Q:Q, 1)</f>
        <v>1</v>
      </c>
      <c r="W22" s="2">
        <f>COUNTIFS('OB History'!$B:$B,$A$22,'OB History'!R:R, 1)</f>
        <v>2</v>
      </c>
      <c r="X22" s="2">
        <f>COUNTIFS('OB History'!$B:$B,$A$22,'OB History'!S:S, 1)</f>
        <v>0</v>
      </c>
      <c r="Y22" s="2">
        <f>COUNTIFS('OB History'!$B:$B,$A$22,'OB History'!T:T, 1)</f>
        <v>0</v>
      </c>
      <c r="Z22" s="2">
        <f>COUNTIFS('OB History'!$B:$B,$A$22,'OB History'!U:U, 1)</f>
        <v>0</v>
      </c>
      <c r="AA22" s="2">
        <f>COUNTIFS('OB History'!$B:$B,$A$22,'OB History'!V:V, 1)</f>
        <v>2</v>
      </c>
      <c r="AB22" s="2">
        <f>COUNTIFS('OB History'!$B:$B,$A$22,'OB History'!W:W, 1)</f>
        <v>0</v>
      </c>
      <c r="AC22" s="2">
        <f>COUNTIFS('OB History'!$B:$B,$A$22,'OB History'!X:X, 1)</f>
        <v>7</v>
      </c>
      <c r="AD22" s="2">
        <f>COUNTIFS('OB History'!$B:$B,$A$22,'OB History'!Y:Y, 1)</f>
        <v>4</v>
      </c>
      <c r="AE22" s="2">
        <f>COUNTIFS('OB History'!$B:$B,$A$22,'OB History'!Z:Z, 1)</f>
        <v>3</v>
      </c>
    </row>
    <row r="23" spans="1:31" x14ac:dyDescent="0.25">
      <c r="A23" s="2" t="s">
        <v>28</v>
      </c>
      <c r="B23" s="6" t="s">
        <v>60</v>
      </c>
      <c r="C23" s="2" t="s">
        <v>79</v>
      </c>
      <c r="D23" s="34">
        <f>SUMIFS('OB History'!C:C,'OB History'!B:B,A23)</f>
        <v>279</v>
      </c>
      <c r="E23" s="4">
        <f>AVERAGEIFS('OB History'!C:C,'OB History'!B:B,A23)</f>
        <v>13.285714285714286</v>
      </c>
      <c r="F23" s="35">
        <f t="array" ref="F23">MAX(IF('OB History'!B:B=A23, 'OB History'!C:C))</f>
        <v>27</v>
      </c>
      <c r="G23" s="34">
        <f>COUNTIFS('OB History'!B:B,A23,'OB History'!D:D, 1)</f>
        <v>8</v>
      </c>
      <c r="H23" s="2">
        <f>COUNTIFS('OB History'!B:B,A23,'OB History'!D:D, 0)</f>
        <v>13</v>
      </c>
      <c r="I23" s="88">
        <f>LOOKUP(2, 1/('OB History'!$B:$B=A23), 'OB History'!$AD:$AD)</f>
        <v>0.38095238095238093</v>
      </c>
      <c r="J23" s="34">
        <f>SUMIFS('OB History'!F:F,'OB History'!B:B,A23)</f>
        <v>37</v>
      </c>
      <c r="K23" s="2">
        <f>SUMIFS('OB History'!E:E,'OB History'!B:B,A23)-J23</f>
        <v>51</v>
      </c>
      <c r="L23" s="88">
        <f>LOOKUP(2, 1/('OB History'!$B:$B=A23), 'OB History'!$AB:$AB)</f>
        <v>0.39285714285714285</v>
      </c>
      <c r="M23" s="34">
        <f>SUMIFS('OB History'!H:H,'OB History'!B:B,'Old Bow v2'!A23)</f>
        <v>170</v>
      </c>
      <c r="N23" s="2">
        <f>SUMIFS('OB History'!G:G,'OB History'!B:B,'Old Bow v2'!A23)-M23</f>
        <v>196</v>
      </c>
      <c r="O23" s="88">
        <f>LOOKUP(2, 1/('OB History'!$B:$B=A23), 'OB History'!$AC:$AC)</f>
        <v>0.45095238095238105</v>
      </c>
      <c r="P23" s="2">
        <f>COUNTIFS('OB History'!$B:$B,$A$23,'OB History'!K:K, 1)</f>
        <v>4</v>
      </c>
      <c r="Q23" s="2">
        <f>COUNTIFS('OB History'!$B:$B,$A$23,'OB History'!L:L, 1)</f>
        <v>2</v>
      </c>
      <c r="R23" s="2">
        <f>COUNTIFS('OB History'!$B:$B,$A$23,'OB History'!M:M, 1)</f>
        <v>1</v>
      </c>
      <c r="S23" s="2">
        <f>COUNTIFS('OB History'!$B:$B,$A$23,'OB History'!N:N, 1)</f>
        <v>2</v>
      </c>
      <c r="T23" s="2">
        <f>COUNTIFS('OB History'!$B:$B,$A$23,'OB History'!O:O, 1)</f>
        <v>1</v>
      </c>
      <c r="U23" s="2">
        <f>COUNTIFS('OB History'!$B:$B,$A$23,'OB History'!P:P, 1)</f>
        <v>4</v>
      </c>
      <c r="V23" s="2">
        <f>COUNTIFS('OB History'!$B:$B,$A$23,'OB History'!Q:Q, 1)</f>
        <v>2</v>
      </c>
      <c r="W23" s="2">
        <f>COUNTIFS('OB History'!$B:$B,$A$23,'OB History'!R:R, 1)</f>
        <v>1</v>
      </c>
      <c r="X23" s="2">
        <f>COUNTIFS('OB History'!$B:$B,$A$23,'OB History'!S:S, 1)</f>
        <v>1</v>
      </c>
      <c r="Y23" s="2">
        <f>COUNTIFS('OB History'!$B:$B,$A$23,'OB History'!T:T, 1)</f>
        <v>0</v>
      </c>
      <c r="Z23" s="2">
        <f>COUNTIFS('OB History'!$B:$B,$A$23,'OB History'!U:U, 1)</f>
        <v>1</v>
      </c>
      <c r="AA23" s="2">
        <f>COUNTIFS('OB History'!$B:$B,$A$23,'OB History'!V:V, 1)</f>
        <v>1</v>
      </c>
      <c r="AB23" s="2">
        <f>COUNTIFS('OB History'!$B:$B,$A$23,'OB History'!W:W, 1)</f>
        <v>1</v>
      </c>
      <c r="AC23" s="2">
        <f>COUNTIFS('OB History'!$B:$B,$A$23,'OB History'!X:X, 1)</f>
        <v>6</v>
      </c>
      <c r="AD23" s="2">
        <f>COUNTIFS('OB History'!$B:$B,$A$23,'OB History'!Y:Y, 1)</f>
        <v>2</v>
      </c>
      <c r="AE23" s="2">
        <f>COUNTIFS('OB History'!$B:$B,$A$23,'OB History'!Z:Z, 1)</f>
        <v>8</v>
      </c>
    </row>
    <row r="24" spans="1:31" x14ac:dyDescent="0.25">
      <c r="A24" s="2" t="s">
        <v>53</v>
      </c>
      <c r="B24" s="6" t="s">
        <v>60</v>
      </c>
      <c r="C24" s="6" t="s">
        <v>79</v>
      </c>
      <c r="D24" s="34">
        <f>SUMIFS('OB History'!C:C,'OB History'!B:B,A24)</f>
        <v>43</v>
      </c>
      <c r="E24" s="4">
        <f>AVERAGEIFS('OB History'!C:C,'OB History'!B:B,A24)</f>
        <v>14.333333333333334</v>
      </c>
      <c r="F24" s="35">
        <f t="array" ref="F24">MAX(IF('OB History'!B:B=A24, 'OB History'!C:C))</f>
        <v>25</v>
      </c>
      <c r="G24" s="34">
        <f>COUNTIFS('OB History'!B:B,A24,'OB History'!D:D, 1)</f>
        <v>2</v>
      </c>
      <c r="H24" s="2">
        <f>COUNTIFS('OB History'!B:B,A24,'OB History'!D:D, 0)</f>
        <v>1</v>
      </c>
      <c r="I24" s="88">
        <f>LOOKUP(2, 1/('OB History'!$B:$B=A24), 'OB History'!$AD:$AD)</f>
        <v>0.66666666666666663</v>
      </c>
      <c r="J24" s="34">
        <f>SUMIFS('OB History'!F:F,'OB History'!B:B,A24)</f>
        <v>6</v>
      </c>
      <c r="K24" s="2">
        <f>SUMIFS('OB History'!E:E,'OB History'!B:B,A24)-J24</f>
        <v>7</v>
      </c>
      <c r="L24" s="88">
        <f>LOOKUP(2, 1/('OB History'!$B:$B=A24), 'OB History'!$AB:$AB)</f>
        <v>0.39999999999999997</v>
      </c>
      <c r="M24" s="34">
        <f>SUMIFS('OB History'!H:H,'OB History'!B:B,'Old Bow v2'!A24)</f>
        <v>27</v>
      </c>
      <c r="N24" s="2">
        <f>SUMIFS('OB History'!G:G,'OB History'!B:B,'Old Bow v2'!A24)-M24</f>
        <v>26</v>
      </c>
      <c r="O24" s="88">
        <f>LOOKUP(2, 1/('OB History'!$B:$B=A24), 'OB History'!$AC:$AC)</f>
        <v>0.48666666666666664</v>
      </c>
      <c r="P24" s="2">
        <f>COUNTIFS('OB History'!$B:$B,$A$24,'OB History'!K:K, 1)</f>
        <v>0</v>
      </c>
      <c r="Q24" s="2">
        <f>COUNTIFS('OB History'!$B:$B,$A$24,'OB History'!L:L, 1)</f>
        <v>0</v>
      </c>
      <c r="R24" s="2">
        <f>COUNTIFS('OB History'!$B:$B,$A$24,'OB History'!M:M, 1)</f>
        <v>0</v>
      </c>
      <c r="S24" s="2">
        <f>COUNTIFS('OB History'!$B:$B,$A$24,'OB History'!N:N, 1)</f>
        <v>1</v>
      </c>
      <c r="T24" s="2">
        <f>COUNTIFS('OB History'!$B:$B,$A$24,'OB History'!O:O, 1)</f>
        <v>2</v>
      </c>
      <c r="U24" s="2">
        <f>COUNTIFS('OB History'!$B:$B,$A$24,'OB History'!P:P, 1)</f>
        <v>1</v>
      </c>
      <c r="V24" s="2">
        <f>COUNTIFS('OB History'!$B:$B,$A$24,'OB History'!Q:Q, 1)</f>
        <v>2</v>
      </c>
      <c r="W24" s="2">
        <f>COUNTIFS('OB History'!$B:$B,$A$24,'OB History'!R:R, 1)</f>
        <v>0</v>
      </c>
      <c r="X24" s="2">
        <f>COUNTIFS('OB History'!$B:$B,$A$24,'OB History'!S:S, 1)</f>
        <v>0</v>
      </c>
      <c r="Y24" s="2">
        <f>COUNTIFS('OB History'!$B:$B,$A$24,'OB History'!T:T, 1)</f>
        <v>0</v>
      </c>
      <c r="Z24" s="2">
        <f>COUNTIFS('OB History'!$B:$B,$A$24,'OB History'!U:U, 1)</f>
        <v>0</v>
      </c>
      <c r="AA24" s="2">
        <f>COUNTIFS('OB History'!$B:$B,$A$24,'OB History'!V:V, 1)</f>
        <v>0</v>
      </c>
      <c r="AB24" s="2">
        <f>COUNTIFS('OB History'!$B:$B,$A$24,'OB History'!W:W, 1)</f>
        <v>0</v>
      </c>
      <c r="AC24" s="2">
        <f>COUNTIFS('OB History'!$B:$B,$A$24,'OB History'!X:X, 1)</f>
        <v>0</v>
      </c>
      <c r="AD24" s="2">
        <f>COUNTIFS('OB History'!$B:$B,$A$24,'OB History'!Y:Y, 1)</f>
        <v>0</v>
      </c>
      <c r="AE24" s="2">
        <f>COUNTIFS('OB History'!$B:$B,$A$24,'OB History'!Z:Z, 1)</f>
        <v>0</v>
      </c>
    </row>
    <row r="25" spans="1:31" x14ac:dyDescent="0.25">
      <c r="A25" s="2" t="s">
        <v>51</v>
      </c>
      <c r="B25" s="2" t="s">
        <v>79</v>
      </c>
      <c r="C25" s="2" t="s">
        <v>79</v>
      </c>
      <c r="D25" s="34">
        <f>SUMIFS('OB History'!C:C,'OB History'!B:B,A25)</f>
        <v>180</v>
      </c>
      <c r="E25" s="4">
        <f>AVERAGEIFS('OB History'!C:C,'OB History'!B:B,A25)</f>
        <v>13.846153846153847</v>
      </c>
      <c r="F25" s="35">
        <f t="array" ref="F25">MAX(IF('OB History'!B:B=A25, 'OB History'!C:C))</f>
        <v>22</v>
      </c>
      <c r="G25" s="34">
        <f>COUNTIFS('OB History'!B:B,A25,'OB History'!D:D, 1)</f>
        <v>7</v>
      </c>
      <c r="H25" s="2">
        <f>COUNTIFS('OB History'!B:B,A25,'OB History'!D:D, 0)</f>
        <v>6</v>
      </c>
      <c r="I25" s="88">
        <f>LOOKUP(2, 1/('OB History'!$B:$B=A25), 'OB History'!$AD:$AD)</f>
        <v>0.53846153846153844</v>
      </c>
      <c r="J25" s="34">
        <f>SUMIFS('OB History'!F:F,'OB History'!B:B,A25)</f>
        <v>29</v>
      </c>
      <c r="K25" s="2">
        <f>SUMIFS('OB History'!E:E,'OB History'!B:B,A25)-J25</f>
        <v>26</v>
      </c>
      <c r="L25" s="88">
        <f>LOOKUP(2, 1/('OB History'!$B:$B=A25), 'OB History'!$AB:$AB)</f>
        <v>0.53846153846153855</v>
      </c>
      <c r="M25" s="34">
        <f>SUMIFS('OB History'!H:H,'OB History'!B:B,'Old Bow v2'!A25)</f>
        <v>111</v>
      </c>
      <c r="N25" s="2">
        <f>SUMIFS('OB History'!G:G,'OB History'!B:B,'Old Bow v2'!A25)-M25</f>
        <v>111</v>
      </c>
      <c r="O25" s="88">
        <f>LOOKUP(2, 1/('OB History'!$B:$B=A25), 'OB History'!$AC:$AC)</f>
        <v>0.50461538461538469</v>
      </c>
      <c r="P25" s="2">
        <f>COUNTIFS('OB History'!$B:$B,$A$25,'OB History'!K:K, 1)</f>
        <v>4</v>
      </c>
      <c r="Q25" s="2">
        <f>COUNTIFS('OB History'!$B:$B,$A$25,'OB History'!L:L, 1)</f>
        <v>1</v>
      </c>
      <c r="R25" s="2">
        <f>COUNTIFS('OB History'!$B:$B,$A$25,'OB History'!M:M, 1)</f>
        <v>0</v>
      </c>
      <c r="S25" s="2">
        <f>COUNTIFS('OB History'!$B:$B,$A$25,'OB History'!N:N, 1)</f>
        <v>3</v>
      </c>
      <c r="T25" s="2">
        <f>COUNTIFS('OB History'!$B:$B,$A$25,'OB History'!O:O, 1)</f>
        <v>0</v>
      </c>
      <c r="U25" s="2">
        <f>COUNTIFS('OB History'!$B:$B,$A$25,'OB History'!P:P, 1)</f>
        <v>3</v>
      </c>
      <c r="V25" s="2">
        <f>COUNTIFS('OB History'!$B:$B,$A$25,'OB History'!Q:Q, 1)</f>
        <v>0</v>
      </c>
      <c r="W25" s="2">
        <f>COUNTIFS('OB History'!$B:$B,$A$25,'OB History'!R:R, 1)</f>
        <v>1</v>
      </c>
      <c r="X25" s="2">
        <f>COUNTIFS('OB History'!$B:$B,$A$25,'OB History'!S:S, 1)</f>
        <v>0</v>
      </c>
      <c r="Y25" s="2">
        <f>COUNTIFS('OB History'!$B:$B,$A$25,'OB History'!T:T, 1)</f>
        <v>0</v>
      </c>
      <c r="Z25" s="2">
        <f>COUNTIFS('OB History'!$B:$B,$A$25,'OB History'!U:U, 1)</f>
        <v>0</v>
      </c>
      <c r="AA25" s="2">
        <f>COUNTIFS('OB History'!$B:$B,$A$25,'OB History'!V:V, 1)</f>
        <v>2</v>
      </c>
      <c r="AB25" s="2">
        <f>COUNTIFS('OB History'!$B:$B,$A$25,'OB History'!W:W, 1)</f>
        <v>5</v>
      </c>
      <c r="AC25" s="2">
        <f>COUNTIFS('OB History'!$B:$B,$A$25,'OB History'!X:X, 1)</f>
        <v>4</v>
      </c>
      <c r="AD25" s="2">
        <f>COUNTIFS('OB History'!$B:$B,$A$25,'OB History'!Y:Y, 1)</f>
        <v>3</v>
      </c>
      <c r="AE25" s="2">
        <f>COUNTIFS('OB History'!$B:$B,$A$25,'OB History'!Z:Z, 1)</f>
        <v>3</v>
      </c>
    </row>
    <row r="26" spans="1:31" ht="15.75" x14ac:dyDescent="0.25">
      <c r="A26" s="2" t="s">
        <v>20</v>
      </c>
      <c r="B26" s="80" t="s">
        <v>60</v>
      </c>
      <c r="C26" s="2" t="s">
        <v>79</v>
      </c>
      <c r="D26" s="34">
        <f>SUMIFS('OB History'!C:C,'OB History'!B:B,A26)</f>
        <v>371</v>
      </c>
      <c r="E26" s="4">
        <f>AVERAGEIFS('OB History'!C:C,'OB History'!B:B,A26)</f>
        <v>13.74074074074074</v>
      </c>
      <c r="F26" s="35">
        <f t="array" ref="F26">MAX(IF('OB History'!B:B=A26, 'OB History'!C:C))</f>
        <v>28</v>
      </c>
      <c r="G26" s="34">
        <f>COUNTIFS('OB History'!B:B,A26,'OB History'!D:D, 1)</f>
        <v>12</v>
      </c>
      <c r="H26" s="2">
        <f>COUNTIFS('OB History'!B:B,A26,'OB History'!D:D, 0)</f>
        <v>15</v>
      </c>
      <c r="I26" s="88">
        <f>LOOKUP(2, 1/('OB History'!$B:$B=A26), 'OB History'!$AD:$AD)</f>
        <v>0.44444444444444442</v>
      </c>
      <c r="J26" s="34">
        <f>SUMIFS('OB History'!F:F,'OB History'!B:B,A26)</f>
        <v>56</v>
      </c>
      <c r="K26" s="2">
        <f>SUMIFS('OB History'!E:E,'OB History'!B:B,A26)-J26</f>
        <v>58</v>
      </c>
      <c r="L26" s="88">
        <f>LOOKUP(2, 1/('OB History'!$B:$B=A26), 'OB History'!$AB:$AB)</f>
        <v>0.49074074074074076</v>
      </c>
      <c r="M26" s="34">
        <f>SUMIFS('OB History'!H:H,'OB History'!B:B,'Old Bow v2'!A26)</f>
        <v>239</v>
      </c>
      <c r="N26" s="2">
        <f>SUMIFS('OB History'!G:G,'OB History'!B:B,'Old Bow v2'!A26)-M26</f>
        <v>237</v>
      </c>
      <c r="O26" s="88">
        <f>LOOKUP(2, 1/('OB History'!$B:$B=A26), 'OB History'!$AC:$AC)</f>
        <v>0.50185185185185199</v>
      </c>
      <c r="P26" s="2">
        <f>COUNTIFS('OB History'!$B:$B,$A$26,'OB History'!K:K, 1)</f>
        <v>2</v>
      </c>
      <c r="Q26" s="2">
        <f>COUNTIFS('OB History'!$B:$B,$A$26,'OB History'!L:L, 1)</f>
        <v>5</v>
      </c>
      <c r="R26" s="2">
        <f>COUNTIFS('OB History'!$B:$B,$A$26,'OB History'!M:M, 1)</f>
        <v>0</v>
      </c>
      <c r="S26" s="2">
        <f>COUNTIFS('OB History'!$B:$B,$A$26,'OB History'!N:N, 1)</f>
        <v>13</v>
      </c>
      <c r="T26" s="2">
        <f>COUNTIFS('OB History'!$B:$B,$A$26,'OB History'!O:O, 1)</f>
        <v>0</v>
      </c>
      <c r="U26" s="2">
        <f>COUNTIFS('OB History'!$B:$B,$A$26,'OB History'!P:P, 1)</f>
        <v>5</v>
      </c>
      <c r="V26" s="2">
        <f>COUNTIFS('OB History'!$B:$B,$A$26,'OB History'!Q:Q, 1)</f>
        <v>2</v>
      </c>
      <c r="W26" s="2">
        <f>COUNTIFS('OB History'!$B:$B,$A$26,'OB History'!R:R, 1)</f>
        <v>2</v>
      </c>
      <c r="X26" s="2">
        <f>COUNTIFS('OB History'!$B:$B,$A$26,'OB History'!S:S, 1)</f>
        <v>0</v>
      </c>
      <c r="Y26" s="2">
        <f>COUNTIFS('OB History'!$B:$B,$A$26,'OB History'!T:T, 1)</f>
        <v>1</v>
      </c>
      <c r="Z26" s="2">
        <f>COUNTIFS('OB History'!$B:$B,$A$26,'OB History'!U:U, 1)</f>
        <v>0</v>
      </c>
      <c r="AA26" s="2">
        <f>COUNTIFS('OB History'!$B:$B,$A$26,'OB History'!V:V, 1)</f>
        <v>2</v>
      </c>
      <c r="AB26" s="2">
        <f>COUNTIFS('OB History'!$B:$B,$A$26,'OB History'!W:W, 1)</f>
        <v>8</v>
      </c>
      <c r="AC26" s="2">
        <f>COUNTIFS('OB History'!$B:$B,$A$26,'OB History'!X:X, 1)</f>
        <v>7</v>
      </c>
      <c r="AD26" s="2">
        <f>COUNTIFS('OB History'!$B:$B,$A$26,'OB History'!Y:Y, 1)</f>
        <v>3</v>
      </c>
      <c r="AE26" s="2">
        <f>COUNTIFS('OB History'!$B:$B,$A$26,'OB History'!Z:Z, 1)</f>
        <v>6</v>
      </c>
    </row>
    <row r="27" spans="1:31" x14ac:dyDescent="0.25">
      <c r="A27" s="1" t="s">
        <v>47</v>
      </c>
      <c r="B27" s="2" t="s">
        <v>79</v>
      </c>
      <c r="C27" s="2" t="s">
        <v>79</v>
      </c>
      <c r="D27" s="34">
        <f>SUMIFS('OB History'!C:C,'OB History'!B:B,A27)</f>
        <v>78</v>
      </c>
      <c r="E27" s="4">
        <f>AVERAGEIFS('OB History'!C:C,'OB History'!B:B,A27)</f>
        <v>7.8</v>
      </c>
      <c r="F27" s="35">
        <f t="array" ref="F27">MAX(IF('OB History'!B:B=A27, 'OB History'!C:C))</f>
        <v>14</v>
      </c>
      <c r="G27" s="34">
        <f>COUNTIFS('OB History'!B:B,A27,'OB History'!D:D, 1)</f>
        <v>5</v>
      </c>
      <c r="H27" s="2">
        <f>COUNTIFS('OB History'!B:B,A27,'OB History'!D:D, 0)</f>
        <v>5</v>
      </c>
      <c r="I27" s="88">
        <f>LOOKUP(2, 1/('OB History'!$B:$B=A27), 'OB History'!$AD:$AD)</f>
        <v>0.5</v>
      </c>
      <c r="J27" s="34">
        <f>SUMIFS('OB History'!F:F,'OB History'!B:B,A27)</f>
        <v>22</v>
      </c>
      <c r="K27" s="2">
        <f>SUMIFS('OB History'!E:E,'OB History'!B:B,A27)-J27</f>
        <v>22</v>
      </c>
      <c r="L27" s="88">
        <f>LOOKUP(2, 1/('OB History'!$B:$B=A27), 'OB History'!$AB:$AB)</f>
        <v>0.5</v>
      </c>
      <c r="M27" s="34">
        <f>SUMIFS('OB History'!H:H,'OB History'!B:B,'Old Bow v2'!A27)</f>
        <v>93</v>
      </c>
      <c r="N27" s="2">
        <f>SUMIFS('OB History'!G:G,'OB History'!B:B,'Old Bow v2'!A27)-M27</f>
        <v>94</v>
      </c>
      <c r="O27" s="88">
        <f>LOOKUP(2, 1/('OB History'!$B:$B=A27), 'OB History'!$AC:$AC)</f>
        <v>0.49299999999999999</v>
      </c>
      <c r="P27" s="2">
        <f>COUNTIFS('OB History'!$B:$B,$A$27,'OB History'!K:K, 1)</f>
        <v>1</v>
      </c>
      <c r="Q27" s="2">
        <f>COUNTIFS('OB History'!$B:$B,$A$27,'OB History'!L:L, 1)</f>
        <v>1</v>
      </c>
      <c r="R27" s="2">
        <f>COUNTIFS('OB History'!$B:$B,$A$27,'OB History'!M:M, 1)</f>
        <v>1</v>
      </c>
      <c r="S27" s="2">
        <f>COUNTIFS('OB History'!$B:$B,$A$27,'OB History'!N:N, 1)</f>
        <v>4</v>
      </c>
      <c r="T27" s="2">
        <f>COUNTIFS('OB History'!$B:$B,$A$27,'OB History'!O:O, 1)</f>
        <v>1</v>
      </c>
      <c r="U27" s="2">
        <f>COUNTIFS('OB History'!$B:$B,$A$27,'OB History'!P:P, 1)</f>
        <v>2</v>
      </c>
      <c r="V27" s="2">
        <f>COUNTIFS('OB History'!$B:$B,$A$27,'OB History'!Q:Q, 1)</f>
        <v>0</v>
      </c>
      <c r="W27" s="2">
        <f>COUNTIFS('OB History'!$B:$B,$A$27,'OB History'!R:R, 1)</f>
        <v>0</v>
      </c>
      <c r="X27" s="2">
        <f>COUNTIFS('OB History'!$B:$B,$A$27,'OB History'!S:S, 1)</f>
        <v>0</v>
      </c>
      <c r="Y27" s="2">
        <f>COUNTIFS('OB History'!$B:$B,$A$27,'OB History'!T:T, 1)</f>
        <v>0</v>
      </c>
      <c r="Z27" s="2">
        <f>COUNTIFS('OB History'!$B:$B,$A$27,'OB History'!U:U, 1)</f>
        <v>0</v>
      </c>
      <c r="AA27" s="2">
        <f>COUNTIFS('OB History'!$B:$B,$A$27,'OB History'!V:V, 1)</f>
        <v>1</v>
      </c>
      <c r="AB27" s="2">
        <f>COUNTIFS('OB History'!$B:$B,$A$27,'OB History'!W:W, 1)</f>
        <v>4</v>
      </c>
      <c r="AC27" s="2">
        <f>COUNTIFS('OB History'!$B:$B,$A$27,'OB History'!X:X, 1)</f>
        <v>2</v>
      </c>
      <c r="AD27" s="2">
        <f>COUNTIFS('OB History'!$B:$B,$A$27,'OB History'!Y:Y, 1)</f>
        <v>0</v>
      </c>
      <c r="AE27" s="2">
        <f>COUNTIFS('OB History'!$B:$B,$A$27,'OB History'!Z:Z, 1)</f>
        <v>5</v>
      </c>
    </row>
    <row r="28" spans="1:31" x14ac:dyDescent="0.25">
      <c r="A28" s="2" t="s">
        <v>3</v>
      </c>
      <c r="B28" s="6" t="s">
        <v>60</v>
      </c>
      <c r="C28" s="1" t="s">
        <v>163</v>
      </c>
      <c r="D28" s="34">
        <f>SUMIFS('OB History'!C:C,'OB History'!B:B,A28)</f>
        <v>230</v>
      </c>
      <c r="E28" s="4">
        <f>AVERAGEIFS('OB History'!C:C,'OB History'!B:B,A28)</f>
        <v>23</v>
      </c>
      <c r="F28" s="35">
        <f t="array" ref="F28">MAX(IF('OB History'!B:B=A28, 'OB History'!C:C))</f>
        <v>44</v>
      </c>
      <c r="G28" s="34">
        <f>COUNTIFS('OB History'!B:B,A28,'OB History'!D:D, 1)</f>
        <v>6</v>
      </c>
      <c r="H28" s="2">
        <f>COUNTIFS('OB History'!B:B,A28,'OB History'!D:D, 0)</f>
        <v>4</v>
      </c>
      <c r="I28" s="88">
        <f>LOOKUP(2, 1/('OB History'!$B:$B=A28), 'OB History'!$AD:$AD)</f>
        <v>0.6</v>
      </c>
      <c r="J28" s="34">
        <f>SUMIFS('OB History'!F:F,'OB History'!B:B,A28)</f>
        <v>22</v>
      </c>
      <c r="K28" s="2">
        <f>SUMIFS('OB History'!E:E,'OB History'!B:B,A28)-J28</f>
        <v>21</v>
      </c>
      <c r="L28" s="88">
        <f>LOOKUP(2, 1/('OB History'!$B:$B=A28), 'OB History'!$AB:$AB)</f>
        <v>0.495</v>
      </c>
      <c r="M28" s="34">
        <f>SUMIFS('OB History'!H:H,'OB History'!B:B,'Old Bow v2'!A28)</f>
        <v>87</v>
      </c>
      <c r="N28" s="2">
        <f>SUMIFS('OB History'!G:G,'OB History'!B:B,'Old Bow v2'!A28)-M28</f>
        <v>88</v>
      </c>
      <c r="O28" s="88">
        <f>LOOKUP(2, 1/('OB History'!$B:$B=A28), 'OB History'!$AC:$AC)</f>
        <v>0.48999999999999994</v>
      </c>
      <c r="P28" s="2">
        <f>COUNTIFS('OB History'!$B:$B,$A$28,'OB History'!K:K, 1)</f>
        <v>2</v>
      </c>
      <c r="Q28" s="2">
        <f>COUNTIFS('OB History'!$B:$B,$A$28,'OB History'!L:L, 1)</f>
        <v>3</v>
      </c>
      <c r="R28" s="2">
        <f>COUNTIFS('OB History'!$B:$B,$A$28,'OB History'!M:M, 1)</f>
        <v>1</v>
      </c>
      <c r="S28" s="2">
        <f>COUNTIFS('OB History'!$B:$B,$A$28,'OB History'!N:N, 1)</f>
        <v>1</v>
      </c>
      <c r="T28" s="2">
        <f>COUNTIFS('OB History'!$B:$B,$A$28,'OB History'!O:O, 1)</f>
        <v>2</v>
      </c>
      <c r="U28" s="2">
        <f>COUNTIFS('OB History'!$B:$B,$A$28,'OB History'!P:P, 1)</f>
        <v>2</v>
      </c>
      <c r="V28" s="2">
        <f>COUNTIFS('OB History'!$B:$B,$A$28,'OB History'!Q:Q, 1)</f>
        <v>3</v>
      </c>
      <c r="W28" s="2">
        <f>COUNTIFS('OB History'!$B:$B,$A$28,'OB History'!R:R, 1)</f>
        <v>0</v>
      </c>
      <c r="X28" s="2">
        <f>COUNTIFS('OB History'!$B:$B,$A$28,'OB History'!S:S, 1)</f>
        <v>0</v>
      </c>
      <c r="Y28" s="2">
        <f>COUNTIFS('OB History'!$B:$B,$A$28,'OB History'!T:T, 1)</f>
        <v>0</v>
      </c>
      <c r="Z28" s="2">
        <f>COUNTIFS('OB History'!$B:$B,$A$28,'OB History'!U:U, 1)</f>
        <v>0</v>
      </c>
      <c r="AA28" s="2">
        <f>COUNTIFS('OB History'!$B:$B,$A$28,'OB History'!V:V, 1)</f>
        <v>1</v>
      </c>
      <c r="AB28" s="2">
        <f>COUNTIFS('OB History'!$B:$B,$A$28,'OB History'!W:W, 1)</f>
        <v>1</v>
      </c>
      <c r="AC28" s="2">
        <f>COUNTIFS('OB History'!$B:$B,$A$28,'OB History'!X:X, 1)</f>
        <v>3</v>
      </c>
      <c r="AD28" s="2">
        <f>COUNTIFS('OB History'!$B:$B,$A$28,'OB History'!Y:Y, 1)</f>
        <v>2</v>
      </c>
      <c r="AE28" s="2">
        <f>COUNTIFS('OB History'!$B:$B,$A$28,'OB History'!Z:Z, 1)</f>
        <v>1</v>
      </c>
    </row>
    <row r="29" spans="1:31" x14ac:dyDescent="0.25">
      <c r="A29" s="2" t="s">
        <v>149</v>
      </c>
      <c r="B29" s="6" t="s">
        <v>79</v>
      </c>
      <c r="C29" s="6" t="s">
        <v>79</v>
      </c>
      <c r="D29" s="34">
        <f>SUMIFS('OB History'!C:C,'OB History'!B:B,A29)</f>
        <v>201</v>
      </c>
      <c r="E29" s="4">
        <f>AVERAGEIFS('OB History'!C:C,'OB History'!B:B,A29)</f>
        <v>13.4</v>
      </c>
      <c r="F29" s="35">
        <f t="array" ref="F29">MAX(IF('OB History'!B:B=A29, 'OB History'!C:C))</f>
        <v>23</v>
      </c>
      <c r="G29" s="34">
        <f>COUNTIFS('OB History'!B:B,A29,'OB History'!D:D, 1)</f>
        <v>8</v>
      </c>
      <c r="H29" s="2">
        <f>COUNTIFS('OB History'!B:B,A29,'OB History'!D:D, 0)</f>
        <v>7</v>
      </c>
      <c r="I29" s="88">
        <f>LOOKUP(2, 1/('OB History'!$B:$B=A29), 'OB History'!$AD:$AD)</f>
        <v>0.53333333333333333</v>
      </c>
      <c r="J29" s="34">
        <f>SUMIFS('OB History'!F:F,'OB History'!B:B,A29)</f>
        <v>34</v>
      </c>
      <c r="K29" s="2">
        <f>SUMIFS('OB History'!E:E,'OB History'!B:B,A29)-J29</f>
        <v>31</v>
      </c>
      <c r="L29" s="88">
        <f>LOOKUP(2, 1/('OB History'!$B:$B=A29), 'OB History'!$AB:$AB)</f>
        <v>0.53999999999999992</v>
      </c>
      <c r="M29" s="34">
        <f>SUMIFS('OB History'!H:H,'OB History'!B:B,'Old Bow v2'!A29)</f>
        <v>131</v>
      </c>
      <c r="N29" s="2">
        <f>SUMIFS('OB History'!G:G,'OB History'!B:B,'Old Bow v2'!A29)-M29</f>
        <v>128</v>
      </c>
      <c r="O29" s="88">
        <f>LOOKUP(2, 1/('OB History'!$B:$B=A29), 'OB History'!$AC:$AC)</f>
        <v>0.51400000000000001</v>
      </c>
      <c r="P29" s="2">
        <f>COUNTIFS('OB History'!$B:$B,$A$29,'OB History'!K:K, 1)</f>
        <v>1</v>
      </c>
      <c r="Q29" s="2">
        <f>COUNTIFS('OB History'!$B:$B,$A$29,'OB History'!L:L, 1)</f>
        <v>4</v>
      </c>
      <c r="R29" s="2">
        <f>COUNTIFS('OB History'!$B:$B,$A$29,'OB History'!M:M, 1)</f>
        <v>1</v>
      </c>
      <c r="S29" s="2">
        <f>COUNTIFS('OB History'!$B:$B,$A$29,'OB History'!N:N, 1)</f>
        <v>3</v>
      </c>
      <c r="T29" s="2">
        <f>COUNTIFS('OB History'!$B:$B,$A$29,'OB History'!O:O, 1)</f>
        <v>0</v>
      </c>
      <c r="U29" s="2">
        <f>COUNTIFS('OB History'!$B:$B,$A$29,'OB History'!P:P, 1)</f>
        <v>2</v>
      </c>
      <c r="V29" s="2">
        <f>COUNTIFS('OB History'!$B:$B,$A$29,'OB History'!Q:Q, 1)</f>
        <v>0</v>
      </c>
      <c r="W29" s="2">
        <f>COUNTIFS('OB History'!$B:$B,$A$29,'OB History'!R:R, 1)</f>
        <v>1</v>
      </c>
      <c r="X29" s="2">
        <f>COUNTIFS('OB History'!$B:$B,$A$29,'OB History'!S:S, 1)</f>
        <v>0</v>
      </c>
      <c r="Y29" s="2">
        <f>COUNTIFS('OB History'!$B:$B,$A$29,'OB History'!T:T, 1)</f>
        <v>1</v>
      </c>
      <c r="Z29" s="2">
        <f>COUNTIFS('OB History'!$B:$B,$A$29,'OB History'!U:U, 1)</f>
        <v>1</v>
      </c>
      <c r="AA29" s="2">
        <f>COUNTIFS('OB History'!$B:$B,$A$29,'OB History'!V:V, 1)</f>
        <v>0</v>
      </c>
      <c r="AB29" s="2">
        <f>COUNTIFS('OB History'!$B:$B,$A$29,'OB History'!W:W, 1)</f>
        <v>2</v>
      </c>
      <c r="AC29" s="2">
        <f>COUNTIFS('OB History'!$B:$B,$A$29,'OB History'!X:X, 1)</f>
        <v>8</v>
      </c>
      <c r="AD29" s="2">
        <f>COUNTIFS('OB History'!$B:$B,$A$29,'OB History'!Y:Y, 1)</f>
        <v>8</v>
      </c>
      <c r="AE29" s="2">
        <f>COUNTIFS('OB History'!$B:$B,$A$29,'OB History'!Z:Z, 1)</f>
        <v>1</v>
      </c>
    </row>
    <row r="30" spans="1:31" x14ac:dyDescent="0.25">
      <c r="A30" s="2" t="s">
        <v>15</v>
      </c>
      <c r="B30" s="2" t="s">
        <v>79</v>
      </c>
      <c r="C30" s="2" t="s">
        <v>79</v>
      </c>
      <c r="D30" s="34">
        <f>SUMIFS('OB History'!C:C,'OB History'!B:B,A30)</f>
        <v>731</v>
      </c>
      <c r="E30" s="4">
        <f>AVERAGEIFS('OB History'!C:C,'OB History'!B:B,A30)</f>
        <v>25.206896551724139</v>
      </c>
      <c r="F30" s="35">
        <f t="array" ref="F30">MAX(IF('OB History'!B:B=A30, 'OB History'!C:C))</f>
        <v>55</v>
      </c>
      <c r="G30" s="34">
        <f>COUNTIFS('OB History'!B:B,A30,'OB History'!D:D, 1)</f>
        <v>10</v>
      </c>
      <c r="H30" s="2">
        <f>COUNTIFS('OB History'!B:B,A30,'OB History'!D:D, 0)</f>
        <v>19</v>
      </c>
      <c r="I30" s="88">
        <f>LOOKUP(2, 1/('OB History'!$B:$B=A30), 'OB History'!$AD:$AD)</f>
        <v>0.34482758620689657</v>
      </c>
      <c r="J30" s="34">
        <f>SUMIFS('OB History'!F:F,'OB History'!B:B,A30)</f>
        <v>54</v>
      </c>
      <c r="K30" s="2">
        <f>SUMIFS('OB History'!E:E,'OB History'!B:B,A30)-J30</f>
        <v>66</v>
      </c>
      <c r="L30" s="88">
        <f>LOOKUP(2, 1/('OB History'!$B:$B=A30), 'OB History'!$AB:$AB)</f>
        <v>0.46034482758620687</v>
      </c>
      <c r="M30" s="34">
        <f>SUMIFS('OB History'!H:H,'OB History'!B:B,'Old Bow v2'!A30)</f>
        <v>236</v>
      </c>
      <c r="N30" s="2">
        <f>SUMIFS('OB History'!G:G,'OB History'!B:B,'Old Bow v2'!A30)-M30</f>
        <v>260</v>
      </c>
      <c r="O30" s="88">
        <f>LOOKUP(2, 1/('OB History'!$B:$B=A30), 'OB History'!$AC:$AC)</f>
        <v>0.48137931034482767</v>
      </c>
      <c r="P30" s="2">
        <f>COUNTIFS('OB History'!$B:$B,$A$30,'OB History'!K:K, 1)</f>
        <v>3</v>
      </c>
      <c r="Q30" s="2">
        <f>COUNTIFS('OB History'!$B:$B,$A$30,'OB History'!L:L, 1)</f>
        <v>1</v>
      </c>
      <c r="R30" s="2">
        <f>COUNTIFS('OB History'!$B:$B,$A$30,'OB History'!M:M, 1)</f>
        <v>0</v>
      </c>
      <c r="S30" s="2">
        <f>COUNTIFS('OB History'!$B:$B,$A$30,'OB History'!N:N, 1)</f>
        <v>7</v>
      </c>
      <c r="T30" s="2">
        <f>COUNTIFS('OB History'!$B:$B,$A$30,'OB History'!O:O, 1)</f>
        <v>0</v>
      </c>
      <c r="U30" s="2">
        <f>COUNTIFS('OB History'!$B:$B,$A$30,'OB History'!P:P, 1)</f>
        <v>6</v>
      </c>
      <c r="V30" s="2">
        <f>COUNTIFS('OB History'!$B:$B,$A$30,'OB History'!Q:Q, 1)</f>
        <v>1</v>
      </c>
      <c r="W30" s="2">
        <f>COUNTIFS('OB History'!$B:$B,$A$30,'OB History'!R:R, 1)</f>
        <v>0</v>
      </c>
      <c r="X30" s="2">
        <f>COUNTIFS('OB History'!$B:$B,$A$30,'OB History'!S:S, 1)</f>
        <v>0</v>
      </c>
      <c r="Y30" s="2">
        <f>COUNTIFS('OB History'!$B:$B,$A$30,'OB History'!T:T, 1)</f>
        <v>0</v>
      </c>
      <c r="Z30" s="2">
        <f>COUNTIFS('OB History'!$B:$B,$A$30,'OB History'!U:U, 1)</f>
        <v>1</v>
      </c>
      <c r="AA30" s="2">
        <f>COUNTIFS('OB History'!$B:$B,$A$30,'OB History'!V:V, 1)</f>
        <v>0</v>
      </c>
      <c r="AB30" s="2">
        <f>COUNTIFS('OB History'!$B:$B,$A$30,'OB History'!W:W, 1)</f>
        <v>5</v>
      </c>
      <c r="AC30" s="2">
        <f>COUNTIFS('OB History'!$B:$B,$A$30,'OB History'!X:X, 1)</f>
        <v>16</v>
      </c>
      <c r="AD30" s="2">
        <f>COUNTIFS('OB History'!$B:$B,$A$30,'OB History'!Y:Y, 1)</f>
        <v>5</v>
      </c>
      <c r="AE30" s="2">
        <f>COUNTIFS('OB History'!$B:$B,$A$30,'OB History'!Z:Z, 1)</f>
        <v>8</v>
      </c>
    </row>
    <row r="31" spans="1:31" x14ac:dyDescent="0.25">
      <c r="A31" s="1" t="s">
        <v>43</v>
      </c>
      <c r="B31" s="2" t="s">
        <v>79</v>
      </c>
      <c r="C31" s="2" t="s">
        <v>79</v>
      </c>
      <c r="D31" s="34">
        <f>SUMIFS('OB History'!C:C,'OB History'!B:B,A31)</f>
        <v>4</v>
      </c>
      <c r="E31" s="4">
        <f>AVERAGEIFS('OB History'!C:C,'OB History'!B:B,A31)</f>
        <v>4</v>
      </c>
      <c r="F31" s="35">
        <f t="array" ref="F31">MAX(IF('OB History'!B:B=A31, 'OB History'!C:C))</f>
        <v>4</v>
      </c>
      <c r="G31" s="34">
        <f>COUNTIFS('OB History'!B:B,A31,'OB History'!D:D, 1)</f>
        <v>1</v>
      </c>
      <c r="H31" s="2">
        <f>COUNTIFS('OB History'!B:B,A31,'OB History'!D:D, 0)</f>
        <v>0</v>
      </c>
      <c r="I31" s="88">
        <f>LOOKUP(2, 1/('OB History'!$B:$B=A31), 'OB History'!$AD:$AD)</f>
        <v>1</v>
      </c>
      <c r="J31" s="34">
        <f>SUMIFS('OB History'!F:F,'OB History'!B:B,A31)</f>
        <v>3</v>
      </c>
      <c r="K31" s="2">
        <f>SUMIFS('OB History'!E:E,'OB History'!B:B,A31)-J31</f>
        <v>0</v>
      </c>
      <c r="L31" s="88">
        <f>LOOKUP(2, 1/('OB History'!$B:$B=A31), 'OB History'!$AB:$AB)</f>
        <v>1</v>
      </c>
      <c r="M31" s="34">
        <f>SUMIFS('OB History'!H:H,'OB History'!B:B,'Old Bow v2'!A31)</f>
        <v>9</v>
      </c>
      <c r="N31" s="2">
        <f>SUMIFS('OB History'!G:G,'OB History'!B:B,'Old Bow v2'!A31)-M31</f>
        <v>4</v>
      </c>
      <c r="O31" s="88">
        <f>LOOKUP(2, 1/('OB History'!$B:$B=A31), 'OB History'!$AC:$AC)</f>
        <v>0.69</v>
      </c>
      <c r="P31" s="2">
        <f>COUNTIFS('OB History'!$B:$B,$A$31,'OB History'!K:K, 1)</f>
        <v>0</v>
      </c>
      <c r="Q31" s="2">
        <f>COUNTIFS('OB History'!$B:$B,$A$31,'OB History'!L:L, 1)</f>
        <v>0</v>
      </c>
      <c r="R31" s="2">
        <f>COUNTIFS('OB History'!$B:$B,$A$31,'OB History'!M:M, 1)</f>
        <v>0</v>
      </c>
      <c r="S31" s="2">
        <f>COUNTIFS('OB History'!$B:$B,$A$31,'OB History'!N:N, 1)</f>
        <v>0</v>
      </c>
      <c r="T31" s="2">
        <f>COUNTIFS('OB History'!$B:$B,$A$31,'OB History'!O:O, 1)</f>
        <v>0</v>
      </c>
      <c r="U31" s="2">
        <f>COUNTIFS('OB History'!$B:$B,$A$31,'OB History'!P:P, 1)</f>
        <v>1</v>
      </c>
      <c r="V31" s="2">
        <f>COUNTIFS('OB History'!$B:$B,$A$31,'OB History'!Q:Q, 1)</f>
        <v>0</v>
      </c>
      <c r="W31" s="2">
        <f>COUNTIFS('OB History'!$B:$B,$A$31,'OB History'!R:R, 1)</f>
        <v>0</v>
      </c>
      <c r="X31" s="2">
        <f>COUNTIFS('OB History'!$B:$B,$A$31,'OB History'!S:S, 1)</f>
        <v>0</v>
      </c>
      <c r="Y31" s="2">
        <f>COUNTIFS('OB History'!$B:$B,$A$31,'OB History'!T:T, 1)</f>
        <v>0</v>
      </c>
      <c r="Z31" s="2">
        <f>COUNTIFS('OB History'!$B:$B,$A$31,'OB History'!U:U, 1)</f>
        <v>0</v>
      </c>
      <c r="AA31" s="2">
        <f>COUNTIFS('OB History'!$B:$B,$A$31,'OB History'!V:V, 1)</f>
        <v>0</v>
      </c>
      <c r="AB31" s="2">
        <f>COUNTIFS('OB History'!$B:$B,$A$31,'OB History'!W:W, 1)</f>
        <v>0</v>
      </c>
      <c r="AC31" s="2">
        <f>COUNTIFS('OB History'!$B:$B,$A$31,'OB History'!X:X, 1)</f>
        <v>1</v>
      </c>
      <c r="AD31" s="2">
        <f>COUNTIFS('OB History'!$B:$B,$A$31,'OB History'!Y:Y, 1)</f>
        <v>0</v>
      </c>
      <c r="AE31" s="2">
        <f>COUNTIFS('OB History'!$B:$B,$A$31,'OB History'!Z:Z, 1)</f>
        <v>1</v>
      </c>
    </row>
    <row r="32" spans="1:31" x14ac:dyDescent="0.25">
      <c r="A32" s="2" t="s">
        <v>13</v>
      </c>
      <c r="B32" s="6" t="s">
        <v>124</v>
      </c>
      <c r="C32" s="1" t="s">
        <v>163</v>
      </c>
      <c r="D32" s="34">
        <f>SUMIFS('OB History'!C:C,'OB History'!B:B,A32)</f>
        <v>1159</v>
      </c>
      <c r="E32" s="4">
        <f>AVERAGEIFS('OB History'!C:C,'OB History'!B:B,A32)</f>
        <v>26.34090909090909</v>
      </c>
      <c r="F32" s="35">
        <f t="array" ref="F32">MAX(IF('OB History'!B:B=A32, 'OB History'!C:C))</f>
        <v>57</v>
      </c>
      <c r="G32" s="34">
        <f>COUNTIFS('OB History'!B:B,A32,'OB History'!D:D, 1)</f>
        <v>29</v>
      </c>
      <c r="H32" s="2">
        <f>COUNTIFS('OB History'!B:B,A32,'OB History'!D:D, 0)</f>
        <v>15</v>
      </c>
      <c r="I32" s="88">
        <f>LOOKUP(2, 1/('OB History'!$B:$B=A32), 'OB History'!$AD:$AD)</f>
        <v>0.65909090909090906</v>
      </c>
      <c r="J32" s="34">
        <f>SUMIFS('OB History'!F:F,'OB History'!B:B,A32)</f>
        <v>104</v>
      </c>
      <c r="K32" s="2">
        <f>SUMIFS('OB History'!E:E,'OB History'!B:B,A32)-J32</f>
        <v>79</v>
      </c>
      <c r="L32" s="88">
        <f>LOOKUP(2, 1/('OB History'!$B:$B=A32), 'OB History'!$AB:$AB)</f>
        <v>0.56931818181818183</v>
      </c>
      <c r="M32" s="34">
        <f>SUMIFS('OB History'!H:H,'OB History'!B:B,'Old Bow v2'!A32)</f>
        <v>404</v>
      </c>
      <c r="N32" s="2">
        <f>SUMIFS('OB History'!G:G,'OB History'!B:B,'Old Bow v2'!A32)-M32</f>
        <v>338</v>
      </c>
      <c r="O32" s="88">
        <f>LOOKUP(2, 1/('OB History'!$B:$B=A32), 'OB History'!$AC:$AC)</f>
        <v>0.5470454545454545</v>
      </c>
      <c r="P32" s="2">
        <f>COUNTIFS('OB History'!$B:$B,$A$32,'OB History'!K:K, 1)</f>
        <v>5</v>
      </c>
      <c r="Q32" s="2">
        <f>COUNTIFS('OB History'!$B:$B,$A$32,'OB History'!L:L, 1)</f>
        <v>11</v>
      </c>
      <c r="R32" s="2">
        <f>COUNTIFS('OB History'!$B:$B,$A$32,'OB History'!M:M, 1)</f>
        <v>3</v>
      </c>
      <c r="S32" s="2">
        <f>COUNTIFS('OB History'!$B:$B,$A$32,'OB History'!N:N, 1)</f>
        <v>11</v>
      </c>
      <c r="T32" s="2">
        <f>COUNTIFS('OB History'!$B:$B,$A$32,'OB History'!O:O, 1)</f>
        <v>3</v>
      </c>
      <c r="U32" s="2">
        <f>COUNTIFS('OB History'!$B:$B,$A$32,'OB History'!P:P, 1)</f>
        <v>14</v>
      </c>
      <c r="V32" s="2">
        <f>COUNTIFS('OB History'!$B:$B,$A$32,'OB History'!Q:Q, 1)</f>
        <v>4</v>
      </c>
      <c r="W32" s="2">
        <f>COUNTIFS('OB History'!$B:$B,$A$32,'OB History'!R:R, 1)</f>
        <v>3</v>
      </c>
      <c r="X32" s="2">
        <f>COUNTIFS('OB History'!$B:$B,$A$32,'OB History'!S:S, 1)</f>
        <v>1</v>
      </c>
      <c r="Y32" s="2">
        <f>COUNTIFS('OB History'!$B:$B,$A$32,'OB History'!T:T, 1)</f>
        <v>2</v>
      </c>
      <c r="Z32" s="2">
        <f>COUNTIFS('OB History'!$B:$B,$A$32,'OB History'!U:U, 1)</f>
        <v>2</v>
      </c>
      <c r="AA32" s="2">
        <f>COUNTIFS('OB History'!$B:$B,$A$32,'OB History'!V:V, 1)</f>
        <v>4</v>
      </c>
      <c r="AB32" s="2">
        <f>COUNTIFS('OB History'!$B:$B,$A$32,'OB History'!W:W, 1)</f>
        <v>9</v>
      </c>
      <c r="AC32" s="2">
        <f>COUNTIFS('OB History'!$B:$B,$A$32,'OB History'!X:X, 1)</f>
        <v>11</v>
      </c>
      <c r="AD32" s="2">
        <f>COUNTIFS('OB History'!$B:$B,$A$32,'OB History'!Y:Y, 1)</f>
        <v>9</v>
      </c>
      <c r="AE32" s="2">
        <f>COUNTIFS('OB History'!$B:$B,$A$32,'OB History'!Z:Z, 1)</f>
        <v>11</v>
      </c>
    </row>
    <row r="33" spans="1:31" x14ac:dyDescent="0.25">
      <c r="A33" s="2" t="s">
        <v>2</v>
      </c>
      <c r="B33" s="6" t="s">
        <v>60</v>
      </c>
      <c r="C33" s="2" t="s">
        <v>79</v>
      </c>
      <c r="D33" s="34">
        <f>SUMIFS('OB History'!C:C,'OB History'!B:B,A33)</f>
        <v>354</v>
      </c>
      <c r="E33" s="4">
        <f>AVERAGEIFS('OB History'!C:C,'OB History'!B:B,A33)</f>
        <v>27.23076923076923</v>
      </c>
      <c r="F33" s="35">
        <f t="array" ref="F33">MAX(IF('OB History'!B:B=A33, 'OB History'!C:C))</f>
        <v>42</v>
      </c>
      <c r="G33" s="34">
        <f>COUNTIFS('OB History'!B:B,A33,'OB History'!D:D, 1)</f>
        <v>7</v>
      </c>
      <c r="H33" s="2">
        <f>COUNTIFS('OB History'!B:B,A33,'OB History'!D:D, 0)</f>
        <v>6</v>
      </c>
      <c r="I33" s="88">
        <f>LOOKUP(2, 1/('OB History'!$B:$B=A33), 'OB History'!$AD:$AD)</f>
        <v>0.53846153846153844</v>
      </c>
      <c r="J33" s="34">
        <f>SUMIFS('OB History'!F:F,'OB History'!B:B,A33)</f>
        <v>30</v>
      </c>
      <c r="K33" s="2">
        <f>SUMIFS('OB History'!E:E,'OB History'!B:B,A33)-J33</f>
        <v>26</v>
      </c>
      <c r="L33" s="88">
        <f>LOOKUP(2, 1/('OB History'!$B:$B=A33), 'OB History'!$AB:$AB)</f>
        <v>0.54230769230769227</v>
      </c>
      <c r="M33" s="34">
        <f>SUMIFS('OB History'!H:H,'OB History'!B:B,'Old Bow v2'!A33)</f>
        <v>124</v>
      </c>
      <c r="N33" s="2">
        <f>SUMIFS('OB History'!G:G,'OB History'!B:B,'Old Bow v2'!A33)-M33</f>
        <v>109</v>
      </c>
      <c r="O33" s="88">
        <f>LOOKUP(2, 1/('OB History'!$B:$B=A33), 'OB History'!$AC:$AC)</f>
        <v>0.53923076923076918</v>
      </c>
      <c r="P33" s="2">
        <f>COUNTIFS('OB History'!$B:$B,$A$33,'OB History'!K:K, 1)</f>
        <v>2</v>
      </c>
      <c r="Q33" s="2">
        <f>COUNTIFS('OB History'!$B:$B,$A$33,'OB History'!L:L, 1)</f>
        <v>2</v>
      </c>
      <c r="R33" s="2">
        <f>COUNTIFS('OB History'!$B:$B,$A$33,'OB History'!M:M, 1)</f>
        <v>2</v>
      </c>
      <c r="S33" s="2">
        <f>COUNTIFS('OB History'!$B:$B,$A$33,'OB History'!N:N, 1)</f>
        <v>6</v>
      </c>
      <c r="T33" s="2">
        <f>COUNTIFS('OB History'!$B:$B,$A$33,'OB History'!O:O, 1)</f>
        <v>0</v>
      </c>
      <c r="U33" s="2">
        <f>COUNTIFS('OB History'!$B:$B,$A$33,'OB History'!P:P, 1)</f>
        <v>3</v>
      </c>
      <c r="V33" s="2">
        <f>COUNTIFS('OB History'!$B:$B,$A$33,'OB History'!Q:Q, 1)</f>
        <v>0</v>
      </c>
      <c r="W33" s="2">
        <f>COUNTIFS('OB History'!$B:$B,$A$33,'OB History'!R:R, 1)</f>
        <v>1</v>
      </c>
      <c r="X33" s="2">
        <f>COUNTIFS('OB History'!$B:$B,$A$33,'OB History'!S:S, 1)</f>
        <v>0</v>
      </c>
      <c r="Y33" s="2">
        <f>COUNTIFS('OB History'!$B:$B,$A$33,'OB History'!T:T, 1)</f>
        <v>0</v>
      </c>
      <c r="Z33" s="2">
        <f>COUNTIFS('OB History'!$B:$B,$A$33,'OB History'!U:U, 1)</f>
        <v>0</v>
      </c>
      <c r="AA33" s="2">
        <f>COUNTIFS('OB History'!$B:$B,$A$33,'OB History'!V:V, 1)</f>
        <v>0</v>
      </c>
      <c r="AB33" s="2">
        <f>COUNTIFS('OB History'!$B:$B,$A$33,'OB History'!W:W, 1)</f>
        <v>5</v>
      </c>
      <c r="AC33" s="2">
        <f>COUNTIFS('OB History'!$B:$B,$A$33,'OB History'!X:X, 1)</f>
        <v>1</v>
      </c>
      <c r="AD33" s="2">
        <f>COUNTIFS('OB History'!$B:$B,$A$33,'OB History'!Y:Y, 1)</f>
        <v>4</v>
      </c>
      <c r="AE33" s="2">
        <f>COUNTIFS('OB History'!$B:$B,$A$33,'OB History'!Z:Z, 1)</f>
        <v>4</v>
      </c>
    </row>
    <row r="34" spans="1:31" x14ac:dyDescent="0.25">
      <c r="A34" s="2" t="s">
        <v>54</v>
      </c>
      <c r="B34" s="6" t="s">
        <v>60</v>
      </c>
      <c r="C34" s="6" t="s">
        <v>79</v>
      </c>
      <c r="D34" s="34">
        <f>SUMIFS('OB History'!C:C,'OB History'!B:B,A34)</f>
        <v>65</v>
      </c>
      <c r="E34" s="4">
        <f>AVERAGEIFS('OB History'!C:C,'OB History'!B:B,A34)</f>
        <v>21.666666666666668</v>
      </c>
      <c r="F34" s="35">
        <f t="array" ref="F34">MAX(IF('OB History'!B:B=A34, 'OB History'!C:C))</f>
        <v>29</v>
      </c>
      <c r="G34" s="34">
        <f>COUNTIFS('OB History'!B:B,A34,'OB History'!D:D, 1)</f>
        <v>3</v>
      </c>
      <c r="H34" s="2">
        <f>COUNTIFS('OB History'!B:B,A34,'OB History'!D:D, 0)</f>
        <v>0</v>
      </c>
      <c r="I34" s="88">
        <f>LOOKUP(2, 1/('OB History'!$B:$B=A34), 'OB History'!$AD:$AD)</f>
        <v>1</v>
      </c>
      <c r="J34" s="34">
        <f>SUMIFS('OB History'!F:F,'OB History'!B:B,A34)</f>
        <v>9</v>
      </c>
      <c r="K34" s="2">
        <f>SUMIFS('OB History'!E:E,'OB History'!B:B,A34)-J34</f>
        <v>6</v>
      </c>
      <c r="L34" s="88">
        <f>LOOKUP(2, 1/('OB History'!$B:$B=A34), 'OB History'!$AB:$AB)</f>
        <v>0.6</v>
      </c>
      <c r="M34" s="34">
        <f>SUMIFS('OB History'!H:H,'OB History'!B:B,'Old Bow v2'!A34)</f>
        <v>36</v>
      </c>
      <c r="N34" s="2">
        <f>SUMIFS('OB History'!G:G,'OB History'!B:B,'Old Bow v2'!A34)-M34</f>
        <v>26</v>
      </c>
      <c r="O34" s="88">
        <f>LOOKUP(2, 1/('OB History'!$B:$B=A34), 'OB History'!$AC:$AC)</f>
        <v>0.57999999999999996</v>
      </c>
      <c r="P34" s="2">
        <f>COUNTIFS('OB History'!$B:$B,$A$34,'OB History'!K:K, 1)</f>
        <v>0</v>
      </c>
      <c r="Q34" s="2">
        <f>COUNTIFS('OB History'!$B:$B,$A$34,'OB History'!L:L, 1)</f>
        <v>1</v>
      </c>
      <c r="R34" s="2">
        <f>COUNTIFS('OB History'!$B:$B,$A$34,'OB History'!M:M, 1)</f>
        <v>0</v>
      </c>
      <c r="S34" s="2">
        <f>COUNTIFS('OB History'!$B:$B,$A$34,'OB History'!N:N, 1)</f>
        <v>1</v>
      </c>
      <c r="T34" s="2">
        <f>COUNTIFS('OB History'!$B:$B,$A$34,'OB History'!O:O, 1)</f>
        <v>2</v>
      </c>
      <c r="U34" s="2">
        <f>COUNTIFS('OB History'!$B:$B,$A$34,'OB History'!P:P, 1)</f>
        <v>1</v>
      </c>
      <c r="V34" s="2">
        <f>COUNTIFS('OB History'!$B:$B,$A$34,'OB History'!Q:Q, 1)</f>
        <v>2</v>
      </c>
      <c r="W34" s="2">
        <f>COUNTIFS('OB History'!$B:$B,$A$34,'OB History'!R:R, 1)</f>
        <v>0</v>
      </c>
      <c r="X34" s="2">
        <f>COUNTIFS('OB History'!$B:$B,$A$34,'OB History'!S:S, 1)</f>
        <v>0</v>
      </c>
      <c r="Y34" s="2">
        <f>COUNTIFS('OB History'!$B:$B,$A$34,'OB History'!T:T, 1)</f>
        <v>0</v>
      </c>
      <c r="Z34" s="2">
        <f>COUNTIFS('OB History'!$B:$B,$A$34,'OB History'!U:U, 1)</f>
        <v>0</v>
      </c>
      <c r="AA34" s="2">
        <f>COUNTIFS('OB History'!$B:$B,$A$34,'OB History'!V:V, 1)</f>
        <v>1</v>
      </c>
      <c r="AB34" s="2">
        <f>COUNTIFS('OB History'!$B:$B,$A$34,'OB History'!W:W, 1)</f>
        <v>1</v>
      </c>
      <c r="AC34" s="2">
        <f>COUNTIFS('OB History'!$B:$B,$A$34,'OB History'!X:X, 1)</f>
        <v>0</v>
      </c>
      <c r="AD34" s="2">
        <f>COUNTIFS('OB History'!$B:$B,$A$34,'OB History'!Y:Y, 1)</f>
        <v>0</v>
      </c>
      <c r="AE34" s="2">
        <f>COUNTIFS('OB History'!$B:$B,$A$34,'OB History'!Z:Z, 1)</f>
        <v>0</v>
      </c>
    </row>
    <row r="35" spans="1:31" x14ac:dyDescent="0.25">
      <c r="A35" s="2" t="s">
        <v>5</v>
      </c>
      <c r="B35" s="6" t="s">
        <v>60</v>
      </c>
      <c r="C35" s="2" t="s">
        <v>79</v>
      </c>
      <c r="D35" s="34">
        <f>SUMIFS('OB History'!C:C,'OB History'!B:B,A35)</f>
        <v>236</v>
      </c>
      <c r="E35" s="4">
        <f>AVERAGEIFS('OB History'!C:C,'OB History'!B:B,A35)</f>
        <v>23.6</v>
      </c>
      <c r="F35" s="35">
        <f t="array" ref="F35">MAX(IF('OB History'!B:B=A35, 'OB History'!C:C))</f>
        <v>36</v>
      </c>
      <c r="G35" s="34">
        <f>COUNTIFS('OB History'!B:B,A35,'OB History'!D:D, 1)</f>
        <v>5</v>
      </c>
      <c r="H35" s="2">
        <f>COUNTIFS('OB History'!B:B,A35,'OB History'!D:D, 0)</f>
        <v>5</v>
      </c>
      <c r="I35" s="88">
        <f>LOOKUP(2, 1/('OB History'!$B:$B=A35), 'OB History'!$AD:$AD)</f>
        <v>0.5</v>
      </c>
      <c r="J35" s="34">
        <f>SUMIFS('OB History'!F:F,'OB History'!B:B,A35)</f>
        <v>21</v>
      </c>
      <c r="K35" s="2">
        <f>SUMIFS('OB History'!E:E,'OB History'!B:B,A35)-J35</f>
        <v>23</v>
      </c>
      <c r="L35" s="88">
        <f>LOOKUP(2, 1/('OB History'!$B:$B=A35), 'OB History'!$AB:$AB)</f>
        <v>0.46999999999999992</v>
      </c>
      <c r="M35" s="34">
        <f>SUMIFS('OB History'!H:H,'OB History'!B:B,'Old Bow v2'!A35)</f>
        <v>91</v>
      </c>
      <c r="N35" s="2">
        <f>SUMIFS('OB History'!G:G,'OB History'!B:B,'Old Bow v2'!A35)-M35</f>
        <v>95</v>
      </c>
      <c r="O35" s="88">
        <f>LOOKUP(2, 1/('OB History'!$B:$B=A35), 'OB History'!$AC:$AC)</f>
        <v>0.48</v>
      </c>
      <c r="P35" s="2">
        <f>COUNTIFS('OB History'!$B:$B,$A$35,'OB History'!K:K, 1)</f>
        <v>1</v>
      </c>
      <c r="Q35" s="2">
        <f>COUNTIFS('OB History'!$B:$B,$A$35,'OB History'!L:L, 1)</f>
        <v>1</v>
      </c>
      <c r="R35" s="2">
        <f>COUNTIFS('OB History'!$B:$B,$A$35,'OB History'!M:M, 1)</f>
        <v>3</v>
      </c>
      <c r="S35" s="2">
        <f>COUNTIFS('OB History'!$B:$B,$A$35,'OB History'!N:N, 1)</f>
        <v>2</v>
      </c>
      <c r="T35" s="2">
        <f>COUNTIFS('OB History'!$B:$B,$A$35,'OB History'!O:O, 1)</f>
        <v>1</v>
      </c>
      <c r="U35" s="2">
        <f>COUNTIFS('OB History'!$B:$B,$A$35,'OB History'!P:P, 1)</f>
        <v>1</v>
      </c>
      <c r="V35" s="2">
        <f>COUNTIFS('OB History'!$B:$B,$A$35,'OB History'!Q:Q, 1)</f>
        <v>0</v>
      </c>
      <c r="W35" s="2">
        <f>COUNTIFS('OB History'!$B:$B,$A$35,'OB History'!R:R, 1)</f>
        <v>1</v>
      </c>
      <c r="X35" s="2">
        <f>COUNTIFS('OB History'!$B:$B,$A$35,'OB History'!S:S, 1)</f>
        <v>0</v>
      </c>
      <c r="Y35" s="2">
        <f>COUNTIFS('OB History'!$B:$B,$A$35,'OB History'!T:T, 1)</f>
        <v>0</v>
      </c>
      <c r="Z35" s="2">
        <f>COUNTIFS('OB History'!$B:$B,$A$35,'OB History'!U:U, 1)</f>
        <v>0</v>
      </c>
      <c r="AA35" s="2">
        <f>COUNTIFS('OB History'!$B:$B,$A$35,'OB History'!V:V, 1)</f>
        <v>0</v>
      </c>
      <c r="AB35" s="2">
        <f>COUNTIFS('OB History'!$B:$B,$A$35,'OB History'!W:W, 1)</f>
        <v>1</v>
      </c>
      <c r="AC35" s="2">
        <f>COUNTIFS('OB History'!$B:$B,$A$35,'OB History'!X:X, 1)</f>
        <v>5</v>
      </c>
      <c r="AD35" s="2">
        <f>COUNTIFS('OB History'!$B:$B,$A$35,'OB History'!Y:Y, 1)</f>
        <v>3</v>
      </c>
      <c r="AE35" s="2">
        <f>COUNTIFS('OB History'!$B:$B,$A$35,'OB History'!Z:Z, 1)</f>
        <v>2</v>
      </c>
    </row>
    <row r="36" spans="1:31" x14ac:dyDescent="0.25">
      <c r="A36" s="2" t="s">
        <v>38</v>
      </c>
      <c r="B36" s="2" t="s">
        <v>79</v>
      </c>
      <c r="C36" s="2" t="s">
        <v>79</v>
      </c>
      <c r="D36" s="34">
        <f>SUMIFS('OB History'!C:C,'OB History'!B:B,A36)</f>
        <v>43</v>
      </c>
      <c r="E36" s="4">
        <f>AVERAGEIFS('OB History'!C:C,'OB History'!B:B,A36)</f>
        <v>5.375</v>
      </c>
      <c r="F36" s="35">
        <f t="array" ref="F36">MAX(IF('OB History'!B:B=A36, 'OB History'!C:C))</f>
        <v>11</v>
      </c>
      <c r="G36" s="34">
        <f>COUNTIFS('OB History'!B:B,A36,'OB History'!D:D, 1)</f>
        <v>3</v>
      </c>
      <c r="H36" s="2">
        <f>COUNTIFS('OB History'!B:B,A36,'OB History'!D:D, 0)</f>
        <v>5</v>
      </c>
      <c r="I36" s="88">
        <f>LOOKUP(2, 1/('OB History'!$B:$B=A36), 'OB History'!$AD:$AD)</f>
        <v>0.375</v>
      </c>
      <c r="J36" s="34">
        <f>SUMIFS('OB History'!F:F,'OB History'!B:B,A36)</f>
        <v>12</v>
      </c>
      <c r="K36" s="2">
        <f>SUMIFS('OB History'!E:E,'OB History'!B:B,A36)-J36</f>
        <v>18</v>
      </c>
      <c r="L36" s="88">
        <f>LOOKUP(2, 1/('OB History'!$B:$B=A36), 'OB History'!$AB:$AB)</f>
        <v>0.38750000000000001</v>
      </c>
      <c r="M36" s="34">
        <f>SUMIFS('OB History'!H:H,'OB History'!B:B,'Old Bow v2'!A36)</f>
        <v>51</v>
      </c>
      <c r="N36" s="2">
        <f>SUMIFS('OB History'!G:G,'OB History'!B:B,'Old Bow v2'!A36)-M36</f>
        <v>65</v>
      </c>
      <c r="O36" s="88">
        <f>LOOKUP(2, 1/('OB History'!$B:$B=A36), 'OB History'!$AC:$AC)</f>
        <v>0.43874999999999997</v>
      </c>
      <c r="P36" s="2">
        <f>COUNTIFS('OB History'!$B:$B,$A$36,'OB History'!K:K, 1)</f>
        <v>1</v>
      </c>
      <c r="Q36" s="2">
        <f>COUNTIFS('OB History'!$B:$B,$A$36,'OB History'!L:L, 1)</f>
        <v>1</v>
      </c>
      <c r="R36" s="2">
        <f>COUNTIFS('OB History'!$B:$B,$A$36,'OB History'!M:M, 1)</f>
        <v>1</v>
      </c>
      <c r="S36" s="2">
        <f>COUNTIFS('OB History'!$B:$B,$A$36,'OB History'!N:N, 1)</f>
        <v>1</v>
      </c>
      <c r="T36" s="2">
        <f>COUNTIFS('OB History'!$B:$B,$A$36,'OB History'!O:O, 1)</f>
        <v>0</v>
      </c>
      <c r="U36" s="2">
        <f>COUNTIFS('OB History'!$B:$B,$A$36,'OB History'!P:P, 1)</f>
        <v>2</v>
      </c>
      <c r="V36" s="2">
        <f>COUNTIFS('OB History'!$B:$B,$A$36,'OB History'!Q:Q, 1)</f>
        <v>0</v>
      </c>
      <c r="W36" s="2">
        <f>COUNTIFS('OB History'!$B:$B,$A$36,'OB History'!R:R, 1)</f>
        <v>2</v>
      </c>
      <c r="X36" s="2">
        <f>COUNTIFS('OB History'!$B:$B,$A$36,'OB History'!S:S, 1)</f>
        <v>0</v>
      </c>
      <c r="Y36" s="2">
        <f>COUNTIFS('OB History'!$B:$B,$A$36,'OB History'!T:T, 1)</f>
        <v>0</v>
      </c>
      <c r="Z36" s="2">
        <f>COUNTIFS('OB History'!$B:$B,$A$36,'OB History'!U:U, 1)</f>
        <v>0</v>
      </c>
      <c r="AA36" s="2">
        <f>COUNTIFS('OB History'!$B:$B,$A$36,'OB History'!V:V, 1)</f>
        <v>0</v>
      </c>
      <c r="AB36" s="2">
        <f>COUNTIFS('OB History'!$B:$B,$A$36,'OB History'!W:W, 1)</f>
        <v>1</v>
      </c>
      <c r="AC36" s="2">
        <f>COUNTIFS('OB History'!$B:$B,$A$36,'OB History'!X:X, 1)</f>
        <v>1</v>
      </c>
      <c r="AD36" s="2">
        <f>COUNTIFS('OB History'!$B:$B,$A$36,'OB History'!Y:Y, 1)</f>
        <v>2</v>
      </c>
      <c r="AE36" s="2">
        <f>COUNTIFS('OB History'!$B:$B,$A$36,'OB History'!Z:Z, 1)</f>
        <v>0</v>
      </c>
    </row>
    <row r="37" spans="1:31" x14ac:dyDescent="0.25">
      <c r="A37" s="2" t="s">
        <v>142</v>
      </c>
      <c r="B37" s="2" t="s">
        <v>79</v>
      </c>
      <c r="C37" s="2" t="s">
        <v>79</v>
      </c>
      <c r="D37" s="34">
        <f>SUMIFS('OB History'!C:C,'OB History'!B:B,A37)</f>
        <v>51</v>
      </c>
      <c r="E37" s="4">
        <f>AVERAGEIFS('OB History'!C:C,'OB History'!B:B,A37)</f>
        <v>17</v>
      </c>
      <c r="F37" s="35">
        <f t="array" ref="F37">MAX(IF('OB History'!B:B=A37, 'OB History'!C:C))</f>
        <v>20</v>
      </c>
      <c r="G37" s="34">
        <f>COUNTIFS('OB History'!B:B,A37,'OB History'!D:D, 1)</f>
        <v>1</v>
      </c>
      <c r="H37" s="2">
        <f>COUNTIFS('OB History'!B:B,A37,'OB History'!D:D, 0)</f>
        <v>2</v>
      </c>
      <c r="I37" s="88">
        <f>LOOKUP(2, 1/('OB History'!$B:$B=A37), 'OB History'!$AD:$AD)</f>
        <v>0.33333333333333331</v>
      </c>
      <c r="J37" s="34">
        <f>SUMIFS('OB History'!F:F,'OB History'!B:B,A37)</f>
        <v>7</v>
      </c>
      <c r="K37" s="2">
        <f>SUMIFS('OB History'!E:E,'OB History'!B:B,A37)-J37</f>
        <v>6</v>
      </c>
      <c r="L37" s="88">
        <f>LOOKUP(2, 1/('OB History'!$B:$B=A37), 'OB History'!$AB:$AB)</f>
        <v>0.6</v>
      </c>
      <c r="M37" s="34">
        <f>SUMIFS('OB History'!H:H,'OB History'!B:B,'Old Bow v2'!A37)</f>
        <v>27</v>
      </c>
      <c r="N37" s="2">
        <f>SUMIFS('OB History'!G:G,'OB History'!B:B,'Old Bow v2'!A37)-M37</f>
        <v>28</v>
      </c>
      <c r="O37" s="88">
        <f>LOOKUP(2, 1/('OB History'!$B:$B=A37), 'OB History'!$AC:$AC)</f>
        <v>0.51666666666666661</v>
      </c>
      <c r="P37" s="2">
        <f>COUNTIFS('OB History'!$B:$B,$A$37,'OB History'!K:K, 1)</f>
        <v>1</v>
      </c>
      <c r="Q37" s="2">
        <f>COUNTIFS('OB History'!$B:$B,$A$37,'OB History'!L:L, 1)</f>
        <v>1</v>
      </c>
      <c r="R37" s="2">
        <f>COUNTIFS('OB History'!$B:$B,$A$37,'OB History'!M:M, 1)</f>
        <v>0</v>
      </c>
      <c r="S37" s="2">
        <f>COUNTIFS('OB History'!$B:$B,$A$37,'OB History'!N:N, 1)</f>
        <v>0</v>
      </c>
      <c r="T37" s="2">
        <f>COUNTIFS('OB History'!$B:$B,$A$37,'OB History'!O:O, 1)</f>
        <v>0</v>
      </c>
      <c r="U37" s="2">
        <f>COUNTIFS('OB History'!$B:$B,$A$37,'OB History'!P:P, 1)</f>
        <v>1</v>
      </c>
      <c r="V37" s="2">
        <f>COUNTIFS('OB History'!$B:$B,$A$37,'OB History'!Q:Q, 1)</f>
        <v>0</v>
      </c>
      <c r="W37" s="2">
        <f>COUNTIFS('OB History'!$B:$B,$A$37,'OB History'!R:R, 1)</f>
        <v>0</v>
      </c>
      <c r="X37" s="2">
        <f>COUNTIFS('OB History'!$B:$B,$A$37,'OB History'!S:S, 1)</f>
        <v>0</v>
      </c>
      <c r="Y37" s="2">
        <f>COUNTIFS('OB History'!$B:$B,$A$37,'OB History'!T:T, 1)</f>
        <v>0</v>
      </c>
      <c r="Z37" s="2">
        <f>COUNTIFS('OB History'!$B:$B,$A$37,'OB History'!U:U, 1)</f>
        <v>0</v>
      </c>
      <c r="AA37" s="2">
        <f>COUNTIFS('OB History'!$B:$B,$A$37,'OB History'!V:V, 1)</f>
        <v>0</v>
      </c>
      <c r="AB37" s="2">
        <f>COUNTIFS('OB History'!$B:$B,$A$37,'OB History'!W:W, 1)</f>
        <v>1</v>
      </c>
      <c r="AC37" s="2">
        <f>COUNTIFS('OB History'!$B:$B,$A$37,'OB History'!X:X, 1)</f>
        <v>1</v>
      </c>
      <c r="AD37" s="2">
        <f>COUNTIFS('OB History'!$B:$B,$A$37,'OB History'!Y:Y, 1)</f>
        <v>0</v>
      </c>
      <c r="AE37" s="2">
        <f>COUNTIFS('OB History'!$B:$B,$A$37,'OB History'!Z:Z, 1)</f>
        <v>1</v>
      </c>
    </row>
    <row r="38" spans="1:31" x14ac:dyDescent="0.25">
      <c r="A38" s="2" t="s">
        <v>150</v>
      </c>
      <c r="B38" s="2" t="s">
        <v>79</v>
      </c>
      <c r="C38" s="2" t="s">
        <v>79</v>
      </c>
      <c r="D38" s="34">
        <f>SUMIFS('OB History'!C:C,'OB History'!B:B,A38)</f>
        <v>4</v>
      </c>
      <c r="E38" s="4">
        <f>AVERAGEIFS('OB History'!C:C,'OB History'!B:B,A38)</f>
        <v>4</v>
      </c>
      <c r="F38" s="35">
        <f t="array" ref="F38">MAX(IF('OB History'!B:B=A38, 'OB History'!C:C))</f>
        <v>4</v>
      </c>
      <c r="G38" s="34">
        <f>COUNTIFS('OB History'!B:B,A38,'OB History'!D:D, 1)</f>
        <v>0</v>
      </c>
      <c r="H38" s="2">
        <f>COUNTIFS('OB History'!B:B,A38,'OB History'!D:D, 0)</f>
        <v>1</v>
      </c>
      <c r="I38" s="88">
        <f>LOOKUP(2, 1/('OB History'!$B:$B=A38), 'OB History'!$AD:$AD)</f>
        <v>0</v>
      </c>
      <c r="J38" s="34">
        <f>SUMIFS('OB History'!F:F,'OB History'!B:B,A38)</f>
        <v>2</v>
      </c>
      <c r="K38" s="2">
        <f>SUMIFS('OB History'!E:E,'OB History'!B:B,A38)-J38</f>
        <v>3</v>
      </c>
      <c r="L38" s="88">
        <f>LOOKUP(2, 1/('OB History'!$B:$B=A38), 'OB History'!$AB:$AB)</f>
        <v>0.4</v>
      </c>
      <c r="M38" s="34">
        <f>SUMIFS('OB History'!H:H,'OB History'!B:B,'Old Bow v2'!A38)</f>
        <v>8</v>
      </c>
      <c r="N38" s="2">
        <f>SUMIFS('OB History'!G:G,'OB History'!B:B,'Old Bow v2'!A38)-M38</f>
        <v>10</v>
      </c>
      <c r="O38" s="88">
        <f>LOOKUP(2, 1/('OB History'!$B:$B=A38), 'OB History'!$AC:$AC)</f>
        <v>0.44</v>
      </c>
      <c r="P38" s="2">
        <f>COUNTIFS('OB History'!$B:$B,$A$38,'OB History'!K:K, 1)</f>
        <v>1</v>
      </c>
      <c r="Q38" s="2">
        <f>COUNTIFS('OB History'!$B:$B,$A$38,'OB History'!L:L, 1)</f>
        <v>0</v>
      </c>
      <c r="R38" s="2">
        <f>COUNTIFS('OB History'!$B:$B,$A$38,'OB History'!M:M, 1)</f>
        <v>0</v>
      </c>
      <c r="S38" s="2">
        <f>COUNTIFS('OB History'!$B:$B,$A$38,'OB History'!N:N, 1)</f>
        <v>0</v>
      </c>
      <c r="T38" s="2">
        <f>COUNTIFS('OB History'!$B:$B,$A$38,'OB History'!O:O, 1)</f>
        <v>0</v>
      </c>
      <c r="U38" s="2">
        <f>COUNTIFS('OB History'!$B:$B,$A$38,'OB History'!P:P, 1)</f>
        <v>1</v>
      </c>
      <c r="V38" s="2">
        <f>COUNTIFS('OB History'!$B:$B,$A$38,'OB History'!Q:Q, 1)</f>
        <v>0</v>
      </c>
      <c r="W38" s="2">
        <f>COUNTIFS('OB History'!$B:$B,$A$38,'OB History'!R:R, 1)</f>
        <v>0</v>
      </c>
      <c r="X38" s="2">
        <f>COUNTIFS('OB History'!$B:$B,$A$38,'OB History'!S:S, 1)</f>
        <v>0</v>
      </c>
      <c r="Y38" s="2">
        <f>COUNTIFS('OB History'!$B:$B,$A$38,'OB History'!T:T, 1)</f>
        <v>0</v>
      </c>
      <c r="Z38" s="2">
        <f>COUNTIFS('OB History'!$B:$B,$A$38,'OB History'!U:U, 1)</f>
        <v>0</v>
      </c>
      <c r="AA38" s="2">
        <f>COUNTIFS('OB History'!$B:$B,$A$38,'OB History'!V:V, 1)</f>
        <v>0</v>
      </c>
      <c r="AB38" s="2">
        <f>COUNTIFS('OB History'!$B:$B,$A$38,'OB History'!W:W, 1)</f>
        <v>0</v>
      </c>
      <c r="AC38" s="2">
        <f>COUNTIFS('OB History'!$B:$B,$A$38,'OB History'!X:X, 1)</f>
        <v>0</v>
      </c>
      <c r="AD38" s="2">
        <f>COUNTIFS('OB History'!$B:$B,$A$38,'OB History'!Y:Y, 1)</f>
        <v>0</v>
      </c>
      <c r="AE38" s="2">
        <f>COUNTIFS('OB History'!$B:$B,$A$38,'OB History'!Z:Z, 1)</f>
        <v>0</v>
      </c>
    </row>
    <row r="39" spans="1:31" x14ac:dyDescent="0.25">
      <c r="A39" s="2" t="s">
        <v>40</v>
      </c>
      <c r="B39" s="2" t="s">
        <v>79</v>
      </c>
      <c r="C39" s="2" t="s">
        <v>79</v>
      </c>
      <c r="D39" s="34">
        <f>SUMIFS('OB History'!C:C,'OB History'!B:B,A39)</f>
        <v>182</v>
      </c>
      <c r="E39" s="4">
        <f>AVERAGEIFS('OB History'!C:C,'OB History'!B:B,A39)</f>
        <v>16.545454545454547</v>
      </c>
      <c r="F39" s="35">
        <f t="array" ref="F39">MAX(IF('OB History'!B:B=A39, 'OB History'!C:C))</f>
        <v>28</v>
      </c>
      <c r="G39" s="34">
        <f>COUNTIFS('OB History'!B:B,A39,'OB History'!D:D, 1)</f>
        <v>2</v>
      </c>
      <c r="H39" s="2">
        <f>COUNTIFS('OB History'!B:B,A39,'OB History'!D:D, 0)</f>
        <v>9</v>
      </c>
      <c r="I39" s="88">
        <f>LOOKUP(2, 1/('OB History'!$B:$B=A39), 'OB History'!$AD:$AD)</f>
        <v>0.18181818181818182</v>
      </c>
      <c r="J39" s="34">
        <f>SUMIFS('OB History'!F:F,'OB History'!B:B,A39)</f>
        <v>17</v>
      </c>
      <c r="K39" s="2">
        <f>SUMIFS('OB History'!E:E,'OB History'!B:B,A39)-J39</f>
        <v>29</v>
      </c>
      <c r="L39" s="88">
        <f>LOOKUP(2, 1/('OB History'!$B:$B=A39), 'OB History'!$AB:$AB)</f>
        <v>0.35909090909090907</v>
      </c>
      <c r="M39" s="34">
        <f>SUMIFS('OB History'!H:H,'OB History'!B:B,'Old Bow v2'!A39)</f>
        <v>75</v>
      </c>
      <c r="N39" s="2">
        <f>SUMIFS('OB History'!G:G,'OB History'!B:B,'Old Bow v2'!A39)-M39</f>
        <v>109</v>
      </c>
      <c r="O39" s="88">
        <f>LOOKUP(2, 1/('OB History'!$B:$B=A39), 'OB History'!$AC:$AC)</f>
        <v>0.39181818181818184</v>
      </c>
      <c r="P39" s="2">
        <f>COUNTIFS('OB History'!$B:$B,$A$39,'OB History'!K:K, 1)</f>
        <v>1</v>
      </c>
      <c r="Q39" s="2">
        <f>COUNTIFS('OB History'!$B:$B,$A$39,'OB History'!L:L, 1)</f>
        <v>2</v>
      </c>
      <c r="R39" s="2">
        <f>COUNTIFS('OB History'!$B:$B,$A$39,'OB History'!M:M, 1)</f>
        <v>1</v>
      </c>
      <c r="S39" s="2">
        <f>COUNTIFS('OB History'!$B:$B,$A$39,'OB History'!N:N, 1)</f>
        <v>1</v>
      </c>
      <c r="T39" s="2">
        <f>COUNTIFS('OB History'!$B:$B,$A$39,'OB History'!O:O, 1)</f>
        <v>0</v>
      </c>
      <c r="U39" s="2">
        <f>COUNTIFS('OB History'!$B:$B,$A$39,'OB History'!P:P, 1)</f>
        <v>1</v>
      </c>
      <c r="V39" s="2">
        <f>COUNTIFS('OB History'!$B:$B,$A$39,'OB History'!Q:Q, 1)</f>
        <v>1</v>
      </c>
      <c r="W39" s="2">
        <f>COUNTIFS('OB History'!$B:$B,$A$39,'OB History'!R:R, 1)</f>
        <v>0</v>
      </c>
      <c r="X39" s="2">
        <f>COUNTIFS('OB History'!$B:$B,$A$39,'OB History'!S:S, 1)</f>
        <v>0</v>
      </c>
      <c r="Y39" s="2">
        <f>COUNTIFS('OB History'!$B:$B,$A$39,'OB History'!T:T, 1)</f>
        <v>0</v>
      </c>
      <c r="Z39" s="2">
        <f>COUNTIFS('OB History'!$B:$B,$A$39,'OB History'!U:U, 1)</f>
        <v>0</v>
      </c>
      <c r="AA39" s="2">
        <f>COUNTIFS('OB History'!$B:$B,$A$39,'OB History'!V:V, 1)</f>
        <v>0</v>
      </c>
      <c r="AB39" s="2">
        <f>COUNTIFS('OB History'!$B:$B,$A$39,'OB History'!W:W, 1)</f>
        <v>1</v>
      </c>
      <c r="AC39" s="2">
        <f>COUNTIFS('OB History'!$B:$B,$A$39,'OB History'!X:X, 1)</f>
        <v>3</v>
      </c>
      <c r="AD39" s="2">
        <f>COUNTIFS('OB History'!$B:$B,$A$39,'OB History'!Y:Y, 1)</f>
        <v>3</v>
      </c>
      <c r="AE39" s="2">
        <f>COUNTIFS('OB History'!$B:$B,$A$39,'OB History'!Z:Z, 1)</f>
        <v>2</v>
      </c>
    </row>
    <row r="40" spans="1:31" x14ac:dyDescent="0.25">
      <c r="A40" s="2" t="s">
        <v>148</v>
      </c>
      <c r="B40" s="2" t="s">
        <v>79</v>
      </c>
      <c r="C40" s="2" t="s">
        <v>79</v>
      </c>
      <c r="D40" s="34">
        <f>SUMIFS('OB History'!C:C,'OB History'!B:B,A40)</f>
        <v>85</v>
      </c>
      <c r="E40" s="4">
        <f>AVERAGEIFS('OB History'!C:C,'OB History'!B:B,A40)</f>
        <v>17</v>
      </c>
      <c r="F40" s="35">
        <f t="array" ref="F40">MAX(IF('OB History'!B:B=A40, 'OB History'!C:C))</f>
        <v>24</v>
      </c>
      <c r="G40" s="34">
        <f>COUNTIFS('OB History'!B:B,A40,'OB History'!D:D, 1)</f>
        <v>0</v>
      </c>
      <c r="H40" s="2">
        <f>COUNTIFS('OB History'!B:B,A40,'OB History'!D:D, 0)</f>
        <v>5</v>
      </c>
      <c r="I40" s="88">
        <f>LOOKUP(2, 1/('OB History'!$B:$B=A40), 'OB History'!$AD:$AD)</f>
        <v>0</v>
      </c>
      <c r="J40" s="34">
        <f>SUMIFS('OB History'!F:F,'OB History'!B:B,A40)</f>
        <v>6</v>
      </c>
      <c r="K40" s="2">
        <f>SUMIFS('OB History'!E:E,'OB History'!B:B,A40)-J40</f>
        <v>15</v>
      </c>
      <c r="L40" s="88">
        <f>LOOKUP(2, 1/('OB History'!$B:$B=A40), 'OB History'!$AB:$AB)</f>
        <v>0.24000000000000005</v>
      </c>
      <c r="M40" s="34">
        <f>SUMIFS('OB History'!H:H,'OB History'!B:B,'Old Bow v2'!A40)</f>
        <v>33</v>
      </c>
      <c r="N40" s="2">
        <f>SUMIFS('OB History'!G:G,'OB History'!B:B,'Old Bow v2'!A40)-M40</f>
        <v>50</v>
      </c>
      <c r="O40" s="88">
        <f>LOOKUP(2, 1/('OB History'!$B:$B=A40), 'OB History'!$AC:$AC)</f>
        <v>0.37</v>
      </c>
      <c r="P40" s="2">
        <f>COUNTIFS('OB History'!$B:$B,$A$40,'OB History'!K:K, 1)</f>
        <v>2</v>
      </c>
      <c r="Q40" s="2">
        <f>COUNTIFS('OB History'!$B:$B,$A$40,'OB History'!L:L, 1)</f>
        <v>0</v>
      </c>
      <c r="R40" s="2">
        <f>COUNTIFS('OB History'!$B:$B,$A$40,'OB History'!M:M, 1)</f>
        <v>0</v>
      </c>
      <c r="S40" s="2">
        <f>COUNTIFS('OB History'!$B:$B,$A$40,'OB History'!N:N, 1)</f>
        <v>0</v>
      </c>
      <c r="T40" s="2">
        <f>COUNTIFS('OB History'!$B:$B,$A$40,'OB History'!O:O, 1)</f>
        <v>0</v>
      </c>
      <c r="U40" s="2">
        <f>COUNTIFS('OB History'!$B:$B,$A$40,'OB History'!P:P, 1)</f>
        <v>2</v>
      </c>
      <c r="V40" s="2">
        <f>COUNTIFS('OB History'!$B:$B,$A$40,'OB History'!Q:Q, 1)</f>
        <v>0</v>
      </c>
      <c r="W40" s="2">
        <f>COUNTIFS('OB History'!$B:$B,$A$40,'OB History'!R:R, 1)</f>
        <v>0</v>
      </c>
      <c r="X40" s="2">
        <f>COUNTIFS('OB History'!$B:$B,$A$40,'OB History'!S:S, 1)</f>
        <v>0</v>
      </c>
      <c r="Y40" s="2">
        <f>COUNTIFS('OB History'!$B:$B,$A$40,'OB History'!T:T, 1)</f>
        <v>0</v>
      </c>
      <c r="Z40" s="2">
        <f>COUNTIFS('OB History'!$B:$B,$A$40,'OB History'!U:U, 1)</f>
        <v>0</v>
      </c>
      <c r="AA40" s="2">
        <f>COUNTIFS('OB History'!$B:$B,$A$40,'OB History'!V:V, 1)</f>
        <v>0</v>
      </c>
      <c r="AB40" s="2">
        <f>COUNTIFS('OB History'!$B:$B,$A$40,'OB History'!W:W, 1)</f>
        <v>0</v>
      </c>
      <c r="AC40" s="2">
        <f>COUNTIFS('OB History'!$B:$B,$A$40,'OB History'!X:X, 1)</f>
        <v>1</v>
      </c>
      <c r="AD40" s="2">
        <f>COUNTIFS('OB History'!$B:$B,$A$40,'OB History'!Y:Y, 1)</f>
        <v>1</v>
      </c>
      <c r="AE40" s="2">
        <f>COUNTIFS('OB History'!$B:$B,$A$40,'OB History'!Z:Z, 1)</f>
        <v>0</v>
      </c>
    </row>
    <row r="41" spans="1:31" x14ac:dyDescent="0.25">
      <c r="A41" s="2" t="s">
        <v>17</v>
      </c>
      <c r="B41" s="2" t="s">
        <v>79</v>
      </c>
      <c r="C41" s="2" t="s">
        <v>79</v>
      </c>
      <c r="D41" s="34">
        <f>SUMIFS('OB History'!C:C,'OB History'!B:B,A41)</f>
        <v>1035</v>
      </c>
      <c r="E41" s="4">
        <f>AVERAGEIFS('OB History'!C:C,'OB History'!B:B,A41)</f>
        <v>25.875</v>
      </c>
      <c r="F41" s="35">
        <f t="array" ref="F41">MAX(IF('OB History'!B:B=A41, 'OB History'!C:C))</f>
        <v>49</v>
      </c>
      <c r="G41" s="34">
        <f>COUNTIFS('OB History'!B:B,A41,'OB History'!D:D, 1)</f>
        <v>16</v>
      </c>
      <c r="H41" s="2">
        <f>COUNTIFS('OB History'!B:B,A41,'OB History'!D:D, 0)</f>
        <v>24</v>
      </c>
      <c r="I41" s="88">
        <f>LOOKUP(2, 1/('OB History'!$B:$B=A41), 'OB History'!$AD:$AD)</f>
        <v>0.4</v>
      </c>
      <c r="J41" s="34">
        <f>SUMIFS('OB History'!F:F,'OB History'!B:B,A41)</f>
        <v>80</v>
      </c>
      <c r="K41" s="2">
        <f>SUMIFS('OB History'!E:E,'OB History'!B:B,A41)-J41</f>
        <v>86</v>
      </c>
      <c r="L41" s="88">
        <f>LOOKUP(2, 1/('OB History'!$B:$B=A41), 'OB History'!$AB:$AB)</f>
        <v>0.49500000000000011</v>
      </c>
      <c r="M41" s="34">
        <f>SUMIFS('OB History'!H:H,'OB History'!B:B,'Old Bow v2'!A41)</f>
        <v>338</v>
      </c>
      <c r="N41" s="2">
        <f>SUMIFS('OB History'!G:G,'OB History'!B:B,'Old Bow v2'!A41)-M41</f>
        <v>338</v>
      </c>
      <c r="O41" s="88">
        <f>LOOKUP(2, 1/('OB History'!$B:$B=A41), 'OB History'!$AC:$AC)</f>
        <v>0.51024999999999987</v>
      </c>
      <c r="P41" s="2">
        <f>COUNTIFS('OB History'!$B:$B,$A$41,'OB History'!K:K, 1)</f>
        <v>6</v>
      </c>
      <c r="Q41" s="2">
        <f>COUNTIFS('OB History'!$B:$B,$A$41,'OB History'!L:L, 1)</f>
        <v>4</v>
      </c>
      <c r="R41" s="2">
        <f>COUNTIFS('OB History'!$B:$B,$A$41,'OB History'!M:M, 1)</f>
        <v>3</v>
      </c>
      <c r="S41" s="2">
        <f>COUNTIFS('OB History'!$B:$B,$A$41,'OB History'!N:N, 1)</f>
        <v>8</v>
      </c>
      <c r="T41" s="2">
        <f>COUNTIFS('OB History'!$B:$B,$A$41,'OB History'!O:O, 1)</f>
        <v>0</v>
      </c>
      <c r="U41" s="2">
        <f>COUNTIFS('OB History'!$B:$B,$A$41,'OB History'!P:P, 1)</f>
        <v>10</v>
      </c>
      <c r="V41" s="2">
        <f>COUNTIFS('OB History'!$B:$B,$A$41,'OB History'!Q:Q, 1)</f>
        <v>3</v>
      </c>
      <c r="W41" s="2">
        <f>COUNTIFS('OB History'!$B:$B,$A$41,'OB History'!R:R, 1)</f>
        <v>1</v>
      </c>
      <c r="X41" s="2">
        <f>COUNTIFS('OB History'!$B:$B,$A$41,'OB History'!S:S, 1)</f>
        <v>1</v>
      </c>
      <c r="Y41" s="2">
        <f>COUNTIFS('OB History'!$B:$B,$A$41,'OB History'!T:T, 1)</f>
        <v>1</v>
      </c>
      <c r="Z41" s="2">
        <f>COUNTIFS('OB History'!$B:$B,$A$41,'OB History'!U:U, 1)</f>
        <v>1</v>
      </c>
      <c r="AA41" s="2">
        <f>COUNTIFS('OB History'!$B:$B,$A$41,'OB History'!V:V, 1)</f>
        <v>2</v>
      </c>
      <c r="AB41" s="2">
        <f>COUNTIFS('OB History'!$B:$B,$A$41,'OB History'!W:W, 1)</f>
        <v>6</v>
      </c>
      <c r="AC41" s="2">
        <f>COUNTIFS('OB History'!$B:$B,$A$41,'OB History'!X:X, 1)</f>
        <v>15</v>
      </c>
      <c r="AD41" s="2">
        <f>COUNTIFS('OB History'!$B:$B,$A$41,'OB History'!Y:Y, 1)</f>
        <v>8</v>
      </c>
      <c r="AE41" s="2">
        <f>COUNTIFS('OB History'!$B:$B,$A$41,'OB History'!Z:Z, 1)</f>
        <v>11</v>
      </c>
    </row>
    <row r="42" spans="1:31" x14ac:dyDescent="0.25">
      <c r="A42" s="2" t="s">
        <v>156</v>
      </c>
      <c r="B42" s="2" t="s">
        <v>79</v>
      </c>
      <c r="C42" s="2" t="s">
        <v>79</v>
      </c>
      <c r="D42" s="34">
        <f>SUMIFS('OB History'!C:C,'OB History'!B:B,A42)</f>
        <v>141</v>
      </c>
      <c r="E42" s="4">
        <f>AVERAGEIFS('OB History'!C:C,'OB History'!B:B,A42)</f>
        <v>14.1</v>
      </c>
      <c r="F42" s="35">
        <f t="array" ref="F42">MAX(IF('OB History'!B:B=A42, 'OB History'!C:C))</f>
        <v>27</v>
      </c>
      <c r="G42" s="34">
        <f>COUNTIFS('OB History'!B:B,A42,'OB History'!D:D, 1)</f>
        <v>2</v>
      </c>
      <c r="H42" s="2">
        <f>COUNTIFS('OB History'!B:B,A42,'OB History'!D:D, 0)</f>
        <v>8</v>
      </c>
      <c r="I42" s="88">
        <f>LOOKUP(2, 1/('OB History'!$B:$B=A42), 'OB History'!$AD:$AD)</f>
        <v>0.2</v>
      </c>
      <c r="J42" s="34">
        <f>SUMIFS('OB History'!F:F,'OB History'!B:B,A42)</f>
        <v>17</v>
      </c>
      <c r="K42" s="2">
        <f>SUMIFS('OB History'!E:E,'OB History'!B:B,A42)-J42</f>
        <v>27</v>
      </c>
      <c r="L42" s="88">
        <f>LOOKUP(2, 1/('OB History'!$B:$B=A42), 'OB History'!$AB:$AB)</f>
        <v>0.38</v>
      </c>
      <c r="M42" s="34">
        <f>SUMIFS('OB History'!H:H,'OB History'!B:B,'Old Bow v2'!A42)</f>
        <v>77</v>
      </c>
      <c r="N42" s="2">
        <f>SUMIFS('OB History'!G:G,'OB History'!B:B,'Old Bow v2'!A42)-M42</f>
        <v>95</v>
      </c>
      <c r="O42" s="88">
        <f>LOOKUP(2, 1/('OB History'!$B:$B=A42), 'OB History'!$AC:$AC)</f>
        <v>0.434</v>
      </c>
      <c r="P42" s="2">
        <f>COUNTIFS('OB History'!$B:$B,$A$42,'OB History'!K:K, 1)</f>
        <v>1</v>
      </c>
      <c r="Q42" s="2">
        <f>COUNTIFS('OB History'!$B:$B,$A$42,'OB History'!L:L, 1)</f>
        <v>1</v>
      </c>
      <c r="R42" s="2">
        <f>COUNTIFS('OB History'!$B:$B,$A$42,'OB History'!M:M, 1)</f>
        <v>2</v>
      </c>
      <c r="S42" s="2">
        <f>COUNTIFS('OB History'!$B:$B,$A$42,'OB History'!N:N, 1)</f>
        <v>2</v>
      </c>
      <c r="T42" s="2">
        <f>COUNTIFS('OB History'!$B:$B,$A$42,'OB History'!O:O, 1)</f>
        <v>0</v>
      </c>
      <c r="U42" s="2">
        <f>COUNTIFS('OB History'!$B:$B,$A$42,'OB History'!P:P, 1)</f>
        <v>2</v>
      </c>
      <c r="V42" s="2">
        <f>COUNTIFS('OB History'!$B:$B,$A$42,'OB History'!Q:Q, 1)</f>
        <v>1</v>
      </c>
      <c r="W42" s="2">
        <f>COUNTIFS('OB History'!$B:$B,$A$42,'OB History'!R:R, 1)</f>
        <v>0</v>
      </c>
      <c r="X42" s="2">
        <f>COUNTIFS('OB History'!$B:$B,$A$42,'OB History'!S:S, 1)</f>
        <v>0</v>
      </c>
      <c r="Y42" s="2">
        <f>COUNTIFS('OB History'!$B:$B,$A$42,'OB History'!T:T, 1)</f>
        <v>1</v>
      </c>
      <c r="Z42" s="2">
        <f>COUNTIFS('OB History'!$B:$B,$A$42,'OB History'!U:U, 1)</f>
        <v>0</v>
      </c>
      <c r="AA42" s="2">
        <f>COUNTIFS('OB History'!$B:$B,$A$42,'OB History'!V:V, 1)</f>
        <v>0</v>
      </c>
      <c r="AB42" s="2">
        <f>COUNTIFS('OB History'!$B:$B,$A$42,'OB History'!W:W, 1)</f>
        <v>1</v>
      </c>
      <c r="AC42" s="2">
        <f>COUNTIFS('OB History'!$B:$B,$A$42,'OB History'!X:X, 1)</f>
        <v>3</v>
      </c>
      <c r="AD42" s="2">
        <f>COUNTIFS('OB History'!$B:$B,$A$42,'OB History'!Y:Y, 1)</f>
        <v>2</v>
      </c>
      <c r="AE42" s="2">
        <f>COUNTIFS('OB History'!$B:$B,$A$42,'OB History'!Z:Z, 1)</f>
        <v>1</v>
      </c>
    </row>
    <row r="43" spans="1:31" x14ac:dyDescent="0.25">
      <c r="A43" s="2" t="s">
        <v>6</v>
      </c>
      <c r="B43" s="2" t="s">
        <v>60</v>
      </c>
      <c r="C43" s="2" t="s">
        <v>79</v>
      </c>
      <c r="D43" s="34">
        <f>SUMIFS('OB History'!C:C,'OB History'!B:B,A43)</f>
        <v>483</v>
      </c>
      <c r="E43" s="4">
        <f>AVERAGEIFS('OB History'!C:C,'OB History'!B:B,A43)</f>
        <v>23</v>
      </c>
      <c r="F43" s="35">
        <f t="array" ref="F43">MAX(IF('OB History'!B:B=A43, 'OB History'!C:C))</f>
        <v>43</v>
      </c>
      <c r="G43" s="34">
        <f>COUNTIFS('OB History'!B:B,A43,'OB History'!D:D, 1)</f>
        <v>15</v>
      </c>
      <c r="H43" s="2">
        <f>COUNTIFS('OB History'!B:B,A43,'OB History'!D:D, 0)</f>
        <v>6</v>
      </c>
      <c r="I43" s="88">
        <f>LOOKUP(2, 1/('OB History'!$B:$B=A43), 'OB History'!$AD:$AD)</f>
        <v>0.7142857142857143</v>
      </c>
      <c r="J43" s="34">
        <f>SUMIFS('OB History'!F:F,'OB History'!B:B,A43)</f>
        <v>51</v>
      </c>
      <c r="K43" s="2">
        <f>SUMIFS('OB History'!E:E,'OB History'!B:B,A43)-J43</f>
        <v>35</v>
      </c>
      <c r="L43" s="88">
        <f>LOOKUP(2, 1/('OB History'!$B:$B=A43), 'OB History'!$AB:$AB)</f>
        <v>0.60238095238095235</v>
      </c>
      <c r="M43" s="34">
        <f>SUMIFS('OB History'!H:H,'OB History'!B:B,'Old Bow v2'!A43)</f>
        <v>198</v>
      </c>
      <c r="N43" s="2">
        <f>SUMIFS('OB History'!G:G,'OB History'!B:B,'Old Bow v2'!A43)-M43</f>
        <v>167</v>
      </c>
      <c r="O43" s="88">
        <f>LOOKUP(2, 1/('OB History'!$B:$B=A43), 'OB History'!$AC:$AC)</f>
        <v>0.54714285714285715</v>
      </c>
      <c r="P43" s="2">
        <f>COUNTIFS('OB History'!$B:$B,$A$43,'OB History'!K:K, 1)</f>
        <v>1</v>
      </c>
      <c r="Q43" s="2">
        <f>COUNTIFS('OB History'!$B:$B,$A$43,'OB History'!L:L, 1)</f>
        <v>5</v>
      </c>
      <c r="R43" s="2">
        <f>COUNTIFS('OB History'!$B:$B,$A$43,'OB History'!M:M, 1)</f>
        <v>5</v>
      </c>
      <c r="S43" s="2">
        <f>COUNTIFS('OB History'!$B:$B,$A$43,'OB History'!N:N, 1)</f>
        <v>2</v>
      </c>
      <c r="T43" s="2">
        <f>COUNTIFS('OB History'!$B:$B,$A$43,'OB History'!O:O, 1)</f>
        <v>1</v>
      </c>
      <c r="U43" s="2">
        <f>COUNTIFS('OB History'!$B:$B,$A$43,'OB History'!P:P, 1)</f>
        <v>7</v>
      </c>
      <c r="V43" s="2">
        <f>COUNTIFS('OB History'!$B:$B,$A$43,'OB History'!Q:Q, 1)</f>
        <v>2</v>
      </c>
      <c r="W43" s="2">
        <f>COUNTIFS('OB History'!$B:$B,$A$43,'OB History'!R:R, 1)</f>
        <v>2</v>
      </c>
      <c r="X43" s="2">
        <f>COUNTIFS('OB History'!$B:$B,$A$43,'OB History'!S:S, 1)</f>
        <v>0</v>
      </c>
      <c r="Y43" s="2">
        <f>COUNTIFS('OB History'!$B:$B,$A$43,'OB History'!T:T, 1)</f>
        <v>2</v>
      </c>
      <c r="Z43" s="2">
        <f>COUNTIFS('OB History'!$B:$B,$A$43,'OB History'!U:U, 1)</f>
        <v>0</v>
      </c>
      <c r="AA43" s="2">
        <f>COUNTIFS('OB History'!$B:$B,$A$43,'OB History'!V:V, 1)</f>
        <v>1</v>
      </c>
      <c r="AB43" s="2">
        <f>COUNTIFS('OB History'!$B:$B,$A$43,'OB History'!W:W, 1)</f>
        <v>6</v>
      </c>
      <c r="AC43" s="2">
        <f>COUNTIFS('OB History'!$B:$B,$A$43,'OB History'!X:X, 1)</f>
        <v>7</v>
      </c>
      <c r="AD43" s="2">
        <f>COUNTIFS('OB History'!$B:$B,$A$43,'OB History'!Y:Y, 1)</f>
        <v>3</v>
      </c>
      <c r="AE43" s="2">
        <f>COUNTIFS('OB History'!$B:$B,$A$43,'OB History'!Z:Z, 1)</f>
        <v>7</v>
      </c>
    </row>
    <row r="44" spans="1:31" x14ac:dyDescent="0.25">
      <c r="A44" s="2" t="s">
        <v>18</v>
      </c>
      <c r="B44" s="2" t="s">
        <v>79</v>
      </c>
      <c r="C44" s="2" t="s">
        <v>79</v>
      </c>
      <c r="D44" s="34">
        <f>SUMIFS('OB History'!C:C,'OB History'!B:B,A44)</f>
        <v>504</v>
      </c>
      <c r="E44" s="4">
        <f>AVERAGEIFS('OB History'!C:C,'OB History'!B:B,A44)</f>
        <v>25.2</v>
      </c>
      <c r="F44" s="35">
        <f t="array" ref="F44">MAX(IF('OB History'!B:B=A44, 'OB History'!C:C))</f>
        <v>41</v>
      </c>
      <c r="G44" s="34">
        <f>COUNTIFS('OB History'!B:B,A44,'OB History'!D:D, 1)</f>
        <v>10</v>
      </c>
      <c r="H44" s="2">
        <f>COUNTIFS('OB History'!B:B,A44,'OB History'!D:D, 0)</f>
        <v>10</v>
      </c>
      <c r="I44" s="88">
        <f>LOOKUP(2, 1/('OB History'!$B:$B=A44), 'OB History'!$AD:$AD)</f>
        <v>0.5</v>
      </c>
      <c r="J44" s="34">
        <f>SUMIFS('OB History'!F:F,'OB History'!B:B,A44)</f>
        <v>42</v>
      </c>
      <c r="K44" s="2">
        <f>SUMIFS('OB History'!E:E,'OB History'!B:B,A44)-J44</f>
        <v>40</v>
      </c>
      <c r="L44" s="88">
        <f>LOOKUP(2, 1/('OB History'!$B:$B=A44), 'OB History'!$AB:$AB)</f>
        <v>0.51500000000000001</v>
      </c>
      <c r="M44" s="34">
        <f>SUMIFS('OB History'!H:H,'OB History'!B:B,'Old Bow v2'!A44)</f>
        <v>171</v>
      </c>
      <c r="N44" s="2">
        <f>SUMIFS('OB History'!G:G,'OB History'!B:B,'Old Bow v2'!A44)-M44</f>
        <v>166</v>
      </c>
      <c r="O44" s="88">
        <f>LOOKUP(2, 1/('OB History'!$B:$B=A44), 'OB History'!$AC:$AC)</f>
        <v>0.50900000000000001</v>
      </c>
      <c r="P44" s="2">
        <f>COUNTIFS('OB History'!$B:$B,$A$44,'OB History'!K:K, 1)</f>
        <v>2</v>
      </c>
      <c r="Q44" s="2">
        <f>COUNTIFS('OB History'!$B:$B,$A$44,'OB History'!L:L, 1)</f>
        <v>2</v>
      </c>
      <c r="R44" s="2">
        <f>COUNTIFS('OB History'!$B:$B,$A$44,'OB History'!M:M, 1)</f>
        <v>0</v>
      </c>
      <c r="S44" s="2">
        <f>COUNTIFS('OB History'!$B:$B,$A$44,'OB History'!N:N, 1)</f>
        <v>7</v>
      </c>
      <c r="T44" s="2">
        <f>COUNTIFS('OB History'!$B:$B,$A$44,'OB History'!O:O, 1)</f>
        <v>1</v>
      </c>
      <c r="U44" s="2">
        <f>COUNTIFS('OB History'!$B:$B,$A$44,'OB History'!P:P, 1)</f>
        <v>5</v>
      </c>
      <c r="V44" s="2">
        <f>COUNTIFS('OB History'!$B:$B,$A$44,'OB History'!Q:Q, 1)</f>
        <v>2</v>
      </c>
      <c r="W44" s="2">
        <f>COUNTIFS('OB History'!$B:$B,$A$44,'OB History'!R:R, 1)</f>
        <v>2</v>
      </c>
      <c r="X44" s="2">
        <f>COUNTIFS('OB History'!$B:$B,$A$44,'OB History'!S:S, 1)</f>
        <v>0</v>
      </c>
      <c r="Y44" s="2">
        <f>COUNTIFS('OB History'!$B:$B,$A$44,'OB History'!T:T, 1)</f>
        <v>1</v>
      </c>
      <c r="Z44" s="2">
        <f>COUNTIFS('OB History'!$B:$B,$A$44,'OB History'!U:U, 1)</f>
        <v>1</v>
      </c>
      <c r="AA44" s="2">
        <f>COUNTIFS('OB History'!$B:$B,$A$44,'OB History'!V:V, 1)</f>
        <v>0</v>
      </c>
      <c r="AB44" s="2">
        <f>COUNTIFS('OB History'!$B:$B,$A$44,'OB History'!W:W, 1)</f>
        <v>5</v>
      </c>
      <c r="AC44" s="2">
        <f>COUNTIFS('OB History'!$B:$B,$A$44,'OB History'!X:X, 1)</f>
        <v>6</v>
      </c>
      <c r="AD44" s="2">
        <f>COUNTIFS('OB History'!$B:$B,$A$44,'OB History'!Y:Y, 1)</f>
        <v>2</v>
      </c>
      <c r="AE44" s="2">
        <f>COUNTIFS('OB History'!$B:$B,$A$44,'OB History'!Z:Z, 1)</f>
        <v>5</v>
      </c>
    </row>
    <row r="45" spans="1:31" x14ac:dyDescent="0.25">
      <c r="A45" s="2" t="s">
        <v>113</v>
      </c>
      <c r="B45" s="2" t="s">
        <v>79</v>
      </c>
      <c r="C45" s="2" t="s">
        <v>79</v>
      </c>
      <c r="D45" s="34">
        <f>SUMIFS('OB History'!C:C,'OB History'!B:B,A45)</f>
        <v>77</v>
      </c>
      <c r="E45" s="4">
        <f>AVERAGEIFS('OB History'!C:C,'OB History'!B:B,A45)</f>
        <v>15.4</v>
      </c>
      <c r="F45" s="35">
        <f t="array" ref="F45">MAX(IF('OB History'!B:B=A45, 'OB History'!C:C))</f>
        <v>21</v>
      </c>
      <c r="G45" s="34">
        <f>COUNTIFS('OB History'!B:B,A45,'OB History'!D:D, 1)</f>
        <v>4</v>
      </c>
      <c r="H45" s="2">
        <f>COUNTIFS('OB History'!B:B,A45,'OB History'!D:D, 0)</f>
        <v>1</v>
      </c>
      <c r="I45" s="88">
        <f>LOOKUP(2, 1/('OB History'!$B:$B=A45), 'OB History'!$AD:$AD)</f>
        <v>0.8</v>
      </c>
      <c r="J45" s="34">
        <f>SUMIFS('OB History'!F:F,'OB History'!B:B,A45)</f>
        <v>12</v>
      </c>
      <c r="K45" s="2">
        <f>SUMIFS('OB History'!E:E,'OB History'!B:B,A45)-J45</f>
        <v>8</v>
      </c>
      <c r="L45" s="88">
        <f>LOOKUP(2, 1/('OB History'!$B:$B=A45), 'OB History'!$AB:$AB)</f>
        <v>0.59000000000000008</v>
      </c>
      <c r="M45" s="34">
        <f>SUMIFS('OB History'!H:H,'OB History'!B:B,'Old Bow v2'!A45)</f>
        <v>43</v>
      </c>
      <c r="N45" s="2">
        <f>SUMIFS('OB History'!G:G,'OB History'!B:B,'Old Bow v2'!A45)-M45</f>
        <v>37</v>
      </c>
      <c r="O45" s="88">
        <f>LOOKUP(2, 1/('OB History'!$B:$B=A45), 'OB History'!$AC:$AC)</f>
        <v>0.51999999999999991</v>
      </c>
      <c r="P45" s="2">
        <f>COUNTIFS('OB History'!$B:$B,$A$45,'OB History'!K:K, 1)</f>
        <v>0</v>
      </c>
      <c r="Q45" s="2">
        <f>COUNTIFS('OB History'!$B:$B,$A$45,'OB History'!L:L, 1)</f>
        <v>3</v>
      </c>
      <c r="R45" s="2">
        <f>COUNTIFS('OB History'!$B:$B,$A$45,'OB History'!M:M, 1)</f>
        <v>1</v>
      </c>
      <c r="S45" s="2">
        <f>COUNTIFS('OB History'!$B:$B,$A$45,'OB History'!N:N, 1)</f>
        <v>0</v>
      </c>
      <c r="T45" s="2">
        <f>COUNTIFS('OB History'!$B:$B,$A$45,'OB History'!O:O, 1)</f>
        <v>0</v>
      </c>
      <c r="U45" s="2">
        <f>COUNTIFS('OB History'!$B:$B,$A$45,'OB History'!P:P, 1)</f>
        <v>0</v>
      </c>
      <c r="V45" s="2">
        <f>COUNTIFS('OB History'!$B:$B,$A$45,'OB History'!Q:Q, 1)</f>
        <v>1</v>
      </c>
      <c r="W45" s="2">
        <f>COUNTIFS('OB History'!$B:$B,$A$45,'OB History'!R:R, 1)</f>
        <v>1</v>
      </c>
      <c r="X45" s="2">
        <f>COUNTIFS('OB History'!$B:$B,$A$45,'OB History'!S:S, 1)</f>
        <v>0</v>
      </c>
      <c r="Y45" s="2">
        <f>COUNTIFS('OB History'!$B:$B,$A$45,'OB History'!T:T, 1)</f>
        <v>0</v>
      </c>
      <c r="Z45" s="2">
        <f>COUNTIFS('OB History'!$B:$B,$A$45,'OB History'!U:U, 1)</f>
        <v>0</v>
      </c>
      <c r="AA45" s="2">
        <f>COUNTIFS('OB History'!$B:$B,$A$45,'OB History'!V:V, 1)</f>
        <v>0</v>
      </c>
      <c r="AB45" s="2">
        <f>COUNTIFS('OB History'!$B:$B,$A$45,'OB History'!W:W, 1)</f>
        <v>0</v>
      </c>
      <c r="AC45" s="2">
        <f>COUNTIFS('OB History'!$B:$B,$A$45,'OB History'!X:X, 1)</f>
        <v>3</v>
      </c>
      <c r="AD45" s="2">
        <f>COUNTIFS('OB History'!$B:$B,$A$45,'OB History'!Y:Y, 1)</f>
        <v>1</v>
      </c>
      <c r="AE45" s="2">
        <f>COUNTIFS('OB History'!$B:$B,$A$45,'OB History'!Z:Z, 1)</f>
        <v>1</v>
      </c>
    </row>
    <row r="46" spans="1:31" x14ac:dyDescent="0.25">
      <c r="A46" s="2" t="s">
        <v>14</v>
      </c>
      <c r="B46" s="6" t="s">
        <v>124</v>
      </c>
      <c r="C46" s="1" t="s">
        <v>164</v>
      </c>
      <c r="D46" s="34">
        <f>SUMIFS('OB History'!C:C,'OB History'!B:B,A46)</f>
        <v>852</v>
      </c>
      <c r="E46" s="4">
        <f>AVERAGEIFS('OB History'!C:C,'OB History'!B:B,A46)</f>
        <v>25.058823529411764</v>
      </c>
      <c r="F46" s="35">
        <f t="array" ref="F46">MAX(IF('OB History'!B:B=A46, 'OB History'!C:C))</f>
        <v>56</v>
      </c>
      <c r="G46" s="34">
        <f>COUNTIFS('OB History'!B:B,A46,'OB History'!D:D, 1)</f>
        <v>18</v>
      </c>
      <c r="H46" s="2">
        <f>COUNTIFS('OB History'!B:B,A46,'OB History'!D:D, 0)</f>
        <v>16</v>
      </c>
      <c r="I46" s="88">
        <f>LOOKUP(2, 1/('OB History'!$B:$B=A46), 'OB History'!$AD:$AD)</f>
        <v>0.52941176470588236</v>
      </c>
      <c r="J46" s="34">
        <f>SUMIFS('OB History'!F:F,'OB History'!B:B,A46)</f>
        <v>72</v>
      </c>
      <c r="K46" s="2">
        <f>SUMIFS('OB History'!E:E,'OB History'!B:B,A46)-J46</f>
        <v>68</v>
      </c>
      <c r="L46" s="88">
        <f>LOOKUP(2, 1/('OB History'!$B:$B=A46), 'OB History'!$AB:$AB)</f>
        <v>0.52647058823529402</v>
      </c>
      <c r="M46" s="34">
        <f>SUMIFS('OB History'!H:H,'OB History'!B:B,'Old Bow v2'!A46)</f>
        <v>287</v>
      </c>
      <c r="N46" s="2">
        <f>SUMIFS('OB History'!G:G,'OB History'!B:B,'Old Bow v2'!A46)-M46</f>
        <v>289</v>
      </c>
      <c r="O46" s="88">
        <f>LOOKUP(2, 1/('OB History'!$B:$B=A46), 'OB History'!$AC:$AC)</f>
        <v>0.50794117647058834</v>
      </c>
      <c r="P46" s="2">
        <f>COUNTIFS('OB History'!$B:$B,$A$46,'OB History'!K:K, 1)</f>
        <v>3</v>
      </c>
      <c r="Q46" s="2">
        <f>COUNTIFS('OB History'!$B:$B,$A$46,'OB History'!L:L, 1)</f>
        <v>8</v>
      </c>
      <c r="R46" s="2">
        <f>COUNTIFS('OB History'!$B:$B,$A$46,'OB History'!M:M, 1)</f>
        <v>3</v>
      </c>
      <c r="S46" s="2">
        <f>COUNTIFS('OB History'!$B:$B,$A$46,'OB History'!N:N, 1)</f>
        <v>8</v>
      </c>
      <c r="T46" s="2">
        <f>COUNTIFS('OB History'!$B:$B,$A$46,'OB History'!O:O, 1)</f>
        <v>2</v>
      </c>
      <c r="U46" s="2">
        <f>COUNTIFS('OB History'!$B:$B,$A$46,'OB History'!P:P, 1)</f>
        <v>6</v>
      </c>
      <c r="V46" s="2">
        <f>COUNTIFS('OB History'!$B:$B,$A$46,'OB History'!Q:Q, 1)</f>
        <v>1</v>
      </c>
      <c r="W46" s="2">
        <f>COUNTIFS('OB History'!$B:$B,$A$46,'OB History'!R:R, 1)</f>
        <v>1</v>
      </c>
      <c r="X46" s="2">
        <f>COUNTIFS('OB History'!$B:$B,$A$46,'OB History'!S:S, 1)</f>
        <v>0</v>
      </c>
      <c r="Y46" s="2">
        <f>COUNTIFS('OB History'!$B:$B,$A$46,'OB History'!T:T, 1)</f>
        <v>0</v>
      </c>
      <c r="Z46" s="2">
        <f>COUNTIFS('OB History'!$B:$B,$A$46,'OB History'!U:U, 1)</f>
        <v>0</v>
      </c>
      <c r="AA46" s="2">
        <f>COUNTIFS('OB History'!$B:$B,$A$46,'OB History'!V:V, 1)</f>
        <v>3</v>
      </c>
      <c r="AB46" s="2">
        <f>COUNTIFS('OB History'!$B:$B,$A$46,'OB History'!W:W, 1)</f>
        <v>7</v>
      </c>
      <c r="AC46" s="2">
        <f>COUNTIFS('OB History'!$B:$B,$A$46,'OB History'!X:X, 1)</f>
        <v>19</v>
      </c>
      <c r="AD46" s="2">
        <f>COUNTIFS('OB History'!$B:$B,$A$46,'OB History'!Y:Y, 1)</f>
        <v>3</v>
      </c>
      <c r="AE46" s="2">
        <f>COUNTIFS('OB History'!$B:$B,$A$46,'OB History'!Z:Z, 1)</f>
        <v>8</v>
      </c>
    </row>
    <row r="47" spans="1:31" x14ac:dyDescent="0.25">
      <c r="A47" s="2" t="s">
        <v>70</v>
      </c>
      <c r="B47" s="6" t="s">
        <v>79</v>
      </c>
      <c r="C47" s="6" t="s">
        <v>79</v>
      </c>
      <c r="D47" s="34">
        <f>SUMIFS('OB History'!C:C,'OB History'!B:B,A47)</f>
        <v>46</v>
      </c>
      <c r="E47" s="4">
        <f>AVERAGEIFS('OB History'!C:C,'OB History'!B:B,A47)</f>
        <v>23</v>
      </c>
      <c r="F47" s="35">
        <f t="array" ref="F47">MAX(IF('OB History'!B:B=A47, 'OB History'!C:C))</f>
        <v>25</v>
      </c>
      <c r="G47" s="34">
        <f>COUNTIFS('OB History'!B:B,A47,'OB History'!D:D, 1)</f>
        <v>1</v>
      </c>
      <c r="H47" s="2">
        <f>COUNTIFS('OB History'!B:B,A47,'OB History'!D:D, 0)</f>
        <v>1</v>
      </c>
      <c r="I47" s="88">
        <f>LOOKUP(2, 1/('OB History'!$B:$B=A47), 'OB History'!$AD:$AD)</f>
        <v>0.5</v>
      </c>
      <c r="J47" s="34">
        <f>SUMIFS('OB History'!F:F,'OB History'!B:B,A47)</f>
        <v>5</v>
      </c>
      <c r="K47" s="2">
        <f>SUMIFS('OB History'!E:E,'OB History'!B:B,A47)-J47</f>
        <v>5</v>
      </c>
      <c r="L47" s="88">
        <f>LOOKUP(2, 1/('OB History'!$B:$B=A47), 'OB History'!$AB:$AB)</f>
        <v>0.5</v>
      </c>
      <c r="M47" s="34">
        <f>SUMIFS('OB History'!H:H,'OB History'!B:B,'Old Bow v2'!A47)</f>
        <v>20</v>
      </c>
      <c r="N47" s="2">
        <f>SUMIFS('OB History'!G:G,'OB History'!B:B,'Old Bow v2'!A47)-M47</f>
        <v>19</v>
      </c>
      <c r="O47" s="88">
        <f>LOOKUP(2, 1/('OB History'!$B:$B=A47), 'OB History'!$AC:$AC)</f>
        <v>0.52</v>
      </c>
      <c r="P47" s="2">
        <f>COUNTIFS('OB History'!$B:$B,$A$47,'OB History'!K:K, 1)</f>
        <v>0</v>
      </c>
      <c r="Q47" s="2">
        <f>COUNTIFS('OB History'!$B:$B,$A$47,'OB History'!L:L, 1)</f>
        <v>0</v>
      </c>
      <c r="R47" s="2">
        <f>COUNTIFS('OB History'!$B:$B,$A$47,'OB History'!M:M, 1)</f>
        <v>0</v>
      </c>
      <c r="S47" s="2">
        <f>COUNTIFS('OB History'!$B:$B,$A$47,'OB History'!N:N, 1)</f>
        <v>2</v>
      </c>
      <c r="T47" s="2">
        <f>COUNTIFS('OB History'!$B:$B,$A$47,'OB History'!O:O, 1)</f>
        <v>0</v>
      </c>
      <c r="U47" s="2">
        <f>COUNTIFS('OB History'!$B:$B,$A$47,'OB History'!P:P, 1)</f>
        <v>0</v>
      </c>
      <c r="V47" s="2">
        <f>COUNTIFS('OB History'!$B:$B,$A$47,'OB History'!Q:Q, 1)</f>
        <v>0</v>
      </c>
      <c r="W47" s="2">
        <f>COUNTIFS('OB History'!$B:$B,$A$47,'OB History'!R:R, 1)</f>
        <v>1</v>
      </c>
      <c r="X47" s="2">
        <f>COUNTIFS('OB History'!$B:$B,$A$47,'OB History'!S:S, 1)</f>
        <v>0</v>
      </c>
      <c r="Y47" s="2">
        <f>COUNTIFS('OB History'!$B:$B,$A$47,'OB History'!T:T, 1)</f>
        <v>0</v>
      </c>
      <c r="Z47" s="2">
        <f>COUNTIFS('OB History'!$B:$B,$A$47,'OB History'!U:U, 1)</f>
        <v>0</v>
      </c>
      <c r="AA47" s="2">
        <f>COUNTIFS('OB History'!$B:$B,$A$47,'OB History'!V:V, 1)</f>
        <v>1</v>
      </c>
      <c r="AB47" s="2">
        <f>COUNTIFS('OB History'!$B:$B,$A$47,'OB History'!W:W, 1)</f>
        <v>0</v>
      </c>
      <c r="AC47" s="2">
        <f>COUNTIFS('OB History'!$B:$B,$A$47,'OB History'!X:X, 1)</f>
        <v>1</v>
      </c>
      <c r="AD47" s="2">
        <f>COUNTIFS('OB History'!$B:$B,$A$47,'OB History'!Y:Y, 1)</f>
        <v>0</v>
      </c>
      <c r="AE47" s="2">
        <f>COUNTIFS('OB History'!$B:$B,$A$47,'OB History'!Z:Z, 1)</f>
        <v>0</v>
      </c>
    </row>
    <row r="48" spans="1:31" x14ac:dyDescent="0.25">
      <c r="A48" s="2" t="s">
        <v>4</v>
      </c>
      <c r="B48" s="2" t="s">
        <v>79</v>
      </c>
      <c r="C48" s="2" t="s">
        <v>79</v>
      </c>
      <c r="D48" s="34">
        <f>SUMIFS('OB History'!C:C,'OB History'!B:B,A48)</f>
        <v>135</v>
      </c>
      <c r="E48" s="4">
        <f>AVERAGEIFS('OB History'!C:C,'OB History'!B:B,A48)</f>
        <v>19.285714285714285</v>
      </c>
      <c r="F48" s="35">
        <f t="array" ref="F48">MAX(IF('OB History'!B:B=A48, 'OB History'!C:C))</f>
        <v>31</v>
      </c>
      <c r="G48" s="34">
        <f>COUNTIFS('OB History'!B:B,A48,'OB History'!D:D, 1)</f>
        <v>4</v>
      </c>
      <c r="H48" s="2">
        <f>COUNTIFS('OB History'!B:B,A48,'OB History'!D:D, 0)</f>
        <v>3</v>
      </c>
      <c r="I48" s="88">
        <f>LOOKUP(2, 1/('OB History'!$B:$B=A48), 'OB History'!$AD:$AD)</f>
        <v>0.5714285714285714</v>
      </c>
      <c r="J48" s="34">
        <f>SUMIFS('OB History'!F:F,'OB History'!B:B,A48)</f>
        <v>14</v>
      </c>
      <c r="K48" s="2">
        <f>SUMIFS('OB History'!E:E,'OB History'!B:B,A48)-J48</f>
        <v>14</v>
      </c>
      <c r="L48" s="88">
        <f>LOOKUP(2, 1/('OB History'!$B:$B=A48), 'OB History'!$AB:$AB)</f>
        <v>0.47857142857142859</v>
      </c>
      <c r="M48" s="34">
        <f>SUMIFS('OB History'!H:H,'OB History'!B:B,'Old Bow v2'!A48)</f>
        <v>57</v>
      </c>
      <c r="N48" s="2">
        <f>SUMIFS('OB History'!G:G,'OB History'!B:B,'Old Bow v2'!A48)-M48</f>
        <v>57</v>
      </c>
      <c r="O48" s="88">
        <f>LOOKUP(2, 1/('OB History'!$B:$B=A48), 'OB History'!$AC:$AC)</f>
        <v>0.48000000000000004</v>
      </c>
      <c r="P48" s="2">
        <f>COUNTIFS('OB History'!$B:$B,$A$48,'OB History'!K:K, 1)</f>
        <v>0</v>
      </c>
      <c r="Q48" s="2">
        <f>COUNTIFS('OB History'!$B:$B,$A$48,'OB History'!L:L, 1)</f>
        <v>3</v>
      </c>
      <c r="R48" s="2">
        <f>COUNTIFS('OB History'!$B:$B,$A$48,'OB History'!M:M, 1)</f>
        <v>3</v>
      </c>
      <c r="S48" s="2">
        <f>COUNTIFS('OB History'!$B:$B,$A$48,'OB History'!N:N, 1)</f>
        <v>0</v>
      </c>
      <c r="T48" s="2">
        <f>COUNTIFS('OB History'!$B:$B,$A$48,'OB History'!O:O, 1)</f>
        <v>1</v>
      </c>
      <c r="U48" s="2">
        <f>COUNTIFS('OB History'!$B:$B,$A$48,'OB History'!P:P, 1)</f>
        <v>2</v>
      </c>
      <c r="V48" s="2">
        <f>COUNTIFS('OB History'!$B:$B,$A$48,'OB History'!Q:Q, 1)</f>
        <v>1</v>
      </c>
      <c r="W48" s="2">
        <f>COUNTIFS('OB History'!$B:$B,$A$48,'OB History'!R:R, 1)</f>
        <v>0</v>
      </c>
      <c r="X48" s="2">
        <f>COUNTIFS('OB History'!$B:$B,$A$48,'OB History'!S:S, 1)</f>
        <v>0</v>
      </c>
      <c r="Y48" s="2">
        <f>COUNTIFS('OB History'!$B:$B,$A$48,'OB History'!T:T, 1)</f>
        <v>0</v>
      </c>
      <c r="Z48" s="2">
        <f>COUNTIFS('OB History'!$B:$B,$A$48,'OB History'!U:U, 1)</f>
        <v>0</v>
      </c>
      <c r="AA48" s="2">
        <f>COUNTIFS('OB History'!$B:$B,$A$48,'OB History'!V:V, 1)</f>
        <v>0</v>
      </c>
      <c r="AB48" s="2">
        <f>COUNTIFS('OB History'!$B:$B,$A$48,'OB History'!W:W, 1)</f>
        <v>0</v>
      </c>
      <c r="AC48" s="2">
        <f>COUNTIFS('OB History'!$B:$B,$A$48,'OB History'!X:X, 1)</f>
        <v>1</v>
      </c>
      <c r="AD48" s="2">
        <f>COUNTIFS('OB History'!$B:$B,$A$48,'OB History'!Y:Y, 1)</f>
        <v>2</v>
      </c>
      <c r="AE48" s="2">
        <f>COUNTIFS('OB History'!$B:$B,$A$48,'OB History'!Z:Z, 1)</f>
        <v>1</v>
      </c>
    </row>
    <row r="49" spans="1:31" x14ac:dyDescent="0.25">
      <c r="A49" s="2" t="s">
        <v>55</v>
      </c>
      <c r="B49" s="2" t="s">
        <v>79</v>
      </c>
      <c r="C49" s="2" t="s">
        <v>79</v>
      </c>
      <c r="D49" s="34">
        <f>SUMIFS('OB History'!C:C,'OB History'!B:B,A49)</f>
        <v>107</v>
      </c>
      <c r="E49" s="4">
        <f>AVERAGEIFS('OB History'!C:C,'OB History'!B:B,A49)</f>
        <v>8.9166666666666661</v>
      </c>
      <c r="F49" s="35">
        <f t="array" ref="F49">MAX(IF('OB History'!B:B=A49, 'OB History'!C:C))</f>
        <v>18</v>
      </c>
      <c r="G49" s="34">
        <f>COUNTIFS('OB History'!B:B,A49,'OB History'!D:D, 1)</f>
        <v>7</v>
      </c>
      <c r="H49" s="2">
        <f>COUNTIFS('OB History'!B:B,A49,'OB History'!D:D, 0)</f>
        <v>5</v>
      </c>
      <c r="I49" s="88">
        <f>LOOKUP(2, 1/('OB History'!$B:$B=A49), 'OB History'!$AD:$AD)</f>
        <v>0.58333333333333337</v>
      </c>
      <c r="J49" s="34">
        <f>SUMIFS('OB History'!F:F,'OB History'!B:B,A49)</f>
        <v>27</v>
      </c>
      <c r="K49" s="2">
        <f>SUMIFS('OB History'!E:E,'OB History'!B:B,A49)-J49</f>
        <v>23</v>
      </c>
      <c r="L49" s="88">
        <f>LOOKUP(2, 1/('OB History'!$B:$B=A49), 'OB History'!$AB:$AB)</f>
        <v>0.55000000000000004</v>
      </c>
      <c r="M49" s="34">
        <f>SUMIFS('OB History'!H:H,'OB History'!B:B,'Old Bow v2'!A49)</f>
        <v>105</v>
      </c>
      <c r="N49" s="2">
        <f>SUMIFS('OB History'!G:G,'OB History'!B:B,'Old Bow v2'!A49)-M49</f>
        <v>93</v>
      </c>
      <c r="O49" s="88">
        <f>LOOKUP(2, 1/('OB History'!$B:$B=A49), 'OB History'!$AC:$AC)</f>
        <v>0.53333333333333344</v>
      </c>
      <c r="P49" s="2">
        <f>COUNTIFS('OB History'!$B:$B,$A$49,'OB History'!K:K, 1)</f>
        <v>2</v>
      </c>
      <c r="Q49" s="2">
        <f>COUNTIFS('OB History'!$B:$B,$A$49,'OB History'!L:L, 1)</f>
        <v>1</v>
      </c>
      <c r="R49" s="2">
        <f>COUNTIFS('OB History'!$B:$B,$A$49,'OB History'!M:M, 1)</f>
        <v>1</v>
      </c>
      <c r="S49" s="2">
        <f>COUNTIFS('OB History'!$B:$B,$A$49,'OB History'!N:N, 1)</f>
        <v>5</v>
      </c>
      <c r="T49" s="2">
        <f>COUNTIFS('OB History'!$B:$B,$A$49,'OB History'!O:O, 1)</f>
        <v>1</v>
      </c>
      <c r="U49" s="2">
        <f>COUNTIFS('OB History'!$B:$B,$A$49,'OB History'!P:P, 1)</f>
        <v>1</v>
      </c>
      <c r="V49" s="2">
        <f>COUNTIFS('OB History'!$B:$B,$A$49,'OB History'!Q:Q, 1)</f>
        <v>1</v>
      </c>
      <c r="W49" s="2">
        <f>COUNTIFS('OB History'!$B:$B,$A$49,'OB History'!R:R, 1)</f>
        <v>0</v>
      </c>
      <c r="X49" s="2">
        <f>COUNTIFS('OB History'!$B:$B,$A$49,'OB History'!S:S, 1)</f>
        <v>0</v>
      </c>
      <c r="Y49" s="2">
        <f>COUNTIFS('OB History'!$B:$B,$A$49,'OB History'!T:T, 1)</f>
        <v>0</v>
      </c>
      <c r="Z49" s="2">
        <f>COUNTIFS('OB History'!$B:$B,$A$49,'OB History'!U:U, 1)</f>
        <v>1</v>
      </c>
      <c r="AA49" s="2">
        <f>COUNTIFS('OB History'!$B:$B,$A$49,'OB History'!V:V, 1)</f>
        <v>0</v>
      </c>
      <c r="AB49" s="2">
        <f>COUNTIFS('OB History'!$B:$B,$A$49,'OB History'!W:W, 1)</f>
        <v>3</v>
      </c>
      <c r="AC49" s="2">
        <f>COUNTIFS('OB History'!$B:$B,$A$49,'OB History'!X:X, 1)</f>
        <v>7</v>
      </c>
      <c r="AD49" s="2">
        <f>COUNTIFS('OB History'!$B:$B,$A$49,'OB History'!Y:Y, 1)</f>
        <v>2</v>
      </c>
      <c r="AE49" s="2">
        <f>COUNTIFS('OB History'!$B:$B,$A$49,'OB History'!Z:Z, 1)</f>
        <v>2</v>
      </c>
    </row>
  </sheetData>
  <autoFilter ref="A1:AE4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636"/>
  <sheetViews>
    <sheetView workbookViewId="0">
      <pane ySplit="1" topLeftCell="A604" activePane="bottomLeft" state="frozen"/>
      <selection pane="bottomLeft" activeCell="A627" sqref="A627:Z636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155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149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141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148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147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156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141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156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147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149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155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149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142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156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149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153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142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149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148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141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142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149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148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158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155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151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149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156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140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155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149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151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156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140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140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156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149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140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149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156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140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156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149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140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151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156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149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155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149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153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156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</sheetData>
  <autoFilter ref="A1:AD602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E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40" sqref="G40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155</v>
      </c>
      <c r="B2" s="3" t="s">
        <v>79</v>
      </c>
      <c r="C2" s="3" t="s">
        <v>79</v>
      </c>
      <c r="D2" s="34">
        <f>SUMIFS('OB History S2'!C:C,'OB History S2'!B:B,A2)</f>
        <v>27</v>
      </c>
      <c r="E2" s="4">
        <f>AVERAGEIFS('OB History S2'!C:C,'OB History S2'!B:B,A2)</f>
        <v>9</v>
      </c>
      <c r="F2" s="35">
        <f t="array" ref="F2">MAX(IF('OB History S2'!B:B=A2, 'OB History S2'!C:C))</f>
        <v>11</v>
      </c>
      <c r="G2" s="34">
        <f>COUNTIFS('OB History S2'!B:B,A2,'OB History S2'!D:D, 1)</f>
        <v>3</v>
      </c>
      <c r="H2" s="2">
        <f>COUNTIFS('OB History S2'!B:B,A2,'OB History S2'!D:D, 0)</f>
        <v>0</v>
      </c>
      <c r="I2" s="88">
        <f>LOOKUP(2, 1/('OB History S2'!$B:$B=A2), 'OB History S2'!$AD:$AD)</f>
        <v>1</v>
      </c>
      <c r="J2" s="34">
        <f>SUMIFS('OB History S2'!F:F,'OB History S2'!B:B,A2)</f>
        <v>9</v>
      </c>
      <c r="K2" s="2">
        <f>SUMIFS('OB History S2'!E:E,'OB History S2'!B:B,A2)-J2</f>
        <v>4</v>
      </c>
      <c r="L2" s="88">
        <f>LOOKUP(2, 1/('OB History S2'!$B:$B=A2), 'OB History S2'!$AB:$AB)</f>
        <v>0.70000000000000007</v>
      </c>
      <c r="M2" s="34">
        <f>SUMIFS('OB History S2'!H:H,'OB History S2'!B:B,A2)</f>
        <v>31</v>
      </c>
      <c r="N2" s="2">
        <f>SUMIFS('OB History S2'!G:G,'OB History S2'!B:B,A2)-M2</f>
        <v>20</v>
      </c>
      <c r="O2" s="88">
        <f>LOOKUP(2, 1/('OB History S2'!$B:$B=A2), 'OB History S2'!$AC:$AC)</f>
        <v>0.62333333333333341</v>
      </c>
      <c r="P2" s="2">
        <f>COUNTIFS('OB History S2'!$B:$B,$A$2,'OB History S2'!K:K, 1)</f>
        <v>0</v>
      </c>
      <c r="Q2" s="2">
        <f>COUNTIFS('OB History S2'!$B:$B,$A$2,'OB History S2'!L:L, 1)</f>
        <v>1</v>
      </c>
      <c r="R2" s="2">
        <f>COUNTIFS('OB History S2'!$B:$B,$A$2,'OB History S2'!M:M, 1)</f>
        <v>0</v>
      </c>
      <c r="S2" s="2">
        <f>COUNTIFS('OB History S2'!$B:$B,$A$2,'OB History S2'!N:N, 1)</f>
        <v>1</v>
      </c>
      <c r="T2" s="2">
        <f>COUNTIFS('OB History S2'!$B:$B,$A$2,'OB History S2'!O:O, 1)</f>
        <v>0</v>
      </c>
      <c r="U2" s="2">
        <f>COUNTIFS('OB History S2'!$B:$B,$A$2,'OB History S2'!P:P, 1)</f>
        <v>1</v>
      </c>
      <c r="V2" s="2">
        <f>COUNTIFS('OB History S2'!$B:$B,$A$2,'OB History S2'!Q:Q, 1)</f>
        <v>0</v>
      </c>
      <c r="W2" s="2">
        <f>COUNTIFS('OB History S2'!$B:$B,$A$2,'OB History S2'!R:R, 1)</f>
        <v>1</v>
      </c>
      <c r="X2" s="2">
        <f>COUNTIFS('OB History S2'!$B:$B,$A$2,'OB History S2'!S:S, 1)</f>
        <v>0</v>
      </c>
      <c r="Y2" s="2">
        <f>COUNTIFS('OB History S2'!$B:$B,$A$2,'OB History S2'!T:T, 1)</f>
        <v>0</v>
      </c>
      <c r="Z2" s="2">
        <f>COUNTIFS('OB History S2'!$B:$B,$A$2,'OB History S2'!U:U, 1)</f>
        <v>1</v>
      </c>
      <c r="AA2" s="2">
        <f>COUNTIFS('OB History S2'!$B:$B,$A$2,'OB History S2'!V:V, 1)</f>
        <v>0</v>
      </c>
      <c r="AB2" s="2">
        <f>COUNTIFS('OB History S2'!$B:$B,$A$2,'OB History S2'!W:W, 1)</f>
        <v>1</v>
      </c>
      <c r="AC2" s="2">
        <f>COUNTIFS('OB History S2'!$B:$B,$A$2,'OB History S2'!X:X, 1)</f>
        <v>1</v>
      </c>
      <c r="AD2" s="2">
        <f>COUNTIFS('OB History S2'!$B:$B,$A$2,'OB History S2'!Y:Y, 1)</f>
        <v>2</v>
      </c>
      <c r="AE2" s="2">
        <f>COUNTIFS('OB History S2'!$B:$B,$A$2,'OB History S2'!Z:Z, 1)</f>
        <v>0</v>
      </c>
    </row>
    <row r="3" spans="1:31" x14ac:dyDescent="0.25">
      <c r="A3" s="2" t="s">
        <v>141</v>
      </c>
      <c r="B3" s="3" t="s">
        <v>79</v>
      </c>
      <c r="C3" s="3" t="s">
        <v>79</v>
      </c>
      <c r="D3" s="34">
        <f>SUMIFS('OB History S2'!C:C,'OB History S2'!B:B,A3)</f>
        <v>2</v>
      </c>
      <c r="E3" s="4">
        <f>AVERAGEIFS('OB History S2'!C:C,'OB History S2'!B:B,A3)</f>
        <v>2</v>
      </c>
      <c r="F3" s="35">
        <f t="array" ref="F3">MAX(IF('OB History S2'!B:B=A3, 'OB History S2'!C:C))</f>
        <v>2</v>
      </c>
      <c r="G3" s="34">
        <f>COUNTIFS('OB History S2'!B:B,A3,'OB History S2'!D:D, 1)</f>
        <v>0</v>
      </c>
      <c r="H3" s="2">
        <f>COUNTIFS('OB History S2'!B:B,A3,'OB History S2'!D:D, 0)</f>
        <v>1</v>
      </c>
      <c r="I3" s="88">
        <f>LOOKUP(2, 1/('OB History S2'!$B:$B=A3), 'OB History S2'!$AD:$AD)</f>
        <v>0</v>
      </c>
      <c r="J3" s="34">
        <f>SUMIFS('OB History S2'!F:F,'OB History S2'!B:B,A3)</f>
        <v>0</v>
      </c>
      <c r="K3" s="2">
        <f>SUMIFS('OB History S2'!E:E,'OB History S2'!B:B,A3)-J3</f>
        <v>3</v>
      </c>
      <c r="L3" s="88">
        <f>LOOKUP(2, 1/('OB History S2'!$B:$B=A3), 'OB History S2'!$AB:$AB)</f>
        <v>0</v>
      </c>
      <c r="M3" s="34">
        <f>SUMIFS('OB History S2'!H:H,'OB History S2'!B:B,A3)</f>
        <v>2</v>
      </c>
      <c r="N3" s="2">
        <f>SUMIFS('OB History S2'!G:G,'OB History S2'!B:B,A3)-M3</f>
        <v>9</v>
      </c>
      <c r="O3" s="88">
        <f>LOOKUP(2, 1/('OB History S2'!$B:$B=A3), 'OB History S2'!$AC:$AC)</f>
        <v>0.18</v>
      </c>
      <c r="P3" s="2">
        <f>COUNTIFS('OB History S2'!$B:$B,$A$3,'OB History S2'!K:K, 1)</f>
        <v>0</v>
      </c>
      <c r="Q3" s="2">
        <f>COUNTIFS('OB History S2'!$B:$B,$A$3,'OB History S2'!L:L, 1)</f>
        <v>0</v>
      </c>
      <c r="R3" s="2">
        <f>COUNTIFS('OB History S2'!$B:$B,$A$3,'OB History S2'!M:M, 1)</f>
        <v>0</v>
      </c>
      <c r="S3" s="2">
        <f>COUNTIFS('OB History S2'!$B:$B,$A$3,'OB History S2'!N:N, 1)</f>
        <v>0</v>
      </c>
      <c r="T3" s="2">
        <f>COUNTIFS('OB History S2'!$B:$B,$A$3,'OB History S2'!O:O, 1)</f>
        <v>0</v>
      </c>
      <c r="U3" s="2">
        <f>COUNTIFS('OB History S2'!$B:$B,$A$3,'OB History S2'!P:P, 1)</f>
        <v>0</v>
      </c>
      <c r="V3" s="2">
        <f>COUNTIFS('OB History S2'!$B:$B,$A$3,'OB History S2'!Q:Q, 1)</f>
        <v>0</v>
      </c>
      <c r="W3" s="2">
        <f>COUNTIFS('OB History S2'!$B:$B,$A$3,'OB History S2'!R:R, 1)</f>
        <v>0</v>
      </c>
      <c r="X3" s="2">
        <f>COUNTIFS('OB History S2'!$B:$B,$A$3,'OB History S2'!S:S, 1)</f>
        <v>0</v>
      </c>
      <c r="Y3" s="2">
        <f>COUNTIFS('OB History S2'!$B:$B,$A$3,'OB History S2'!T:T, 1)</f>
        <v>0</v>
      </c>
      <c r="Z3" s="2">
        <f>COUNTIFS('OB History S2'!$B:$B,$A$3,'OB History S2'!U:U, 1)</f>
        <v>0</v>
      </c>
      <c r="AA3" s="2">
        <f>COUNTIFS('OB History S2'!$B:$B,$A$3,'OB History S2'!V:V, 1)</f>
        <v>0</v>
      </c>
      <c r="AB3" s="2">
        <f>COUNTIFS('OB History S2'!$B:$B,$A$3,'OB History S2'!W:W, 1)</f>
        <v>0</v>
      </c>
      <c r="AC3" s="2">
        <f>COUNTIFS('OB History S2'!$B:$B,$A$3,'OB History S2'!X:X, 1)</f>
        <v>0</v>
      </c>
      <c r="AD3" s="2">
        <f>COUNTIFS('OB History S2'!$B:$B,$A$3,'OB History S2'!Y:Y, 1)</f>
        <v>0</v>
      </c>
      <c r="AE3" s="2">
        <f>COUNTIFS('OB History S2'!$B:$B,$A$3,'OB History S2'!Z:Z,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 S2'!C:C,'OB History S2'!B:B,A4)</f>
        <v>82</v>
      </c>
      <c r="E4" s="4">
        <f>AVERAGEIFS('OB History S2'!C:C,'OB History S2'!B:B,A4)</f>
        <v>27.333333333333332</v>
      </c>
      <c r="F4" s="35">
        <f t="array" ref="F4">MAX(IF('OB History S2'!B:B=A4, 'OB History S2'!C:C))</f>
        <v>36</v>
      </c>
      <c r="G4" s="34">
        <f>COUNTIFS('OB History S2'!B:B,A4,'OB History S2'!D:D, 1)</f>
        <v>3</v>
      </c>
      <c r="H4" s="2">
        <f>COUNTIFS('OB History S2'!B:B,A4,'OB History S2'!D:D, 0)</f>
        <v>0</v>
      </c>
      <c r="I4" s="88">
        <f>LOOKUP(2, 1/('OB History S2'!$B:$B=A4), 'OB History S2'!$AD:$AD)</f>
        <v>1</v>
      </c>
      <c r="J4" s="34">
        <f>SUMIFS('OB History S2'!F:F,'OB History S2'!B:B,A4)</f>
        <v>9</v>
      </c>
      <c r="K4" s="2">
        <f>SUMIFS('OB History S2'!E:E,'OB History S2'!B:B,A4)-J4</f>
        <v>5</v>
      </c>
      <c r="L4" s="88">
        <f>LOOKUP(2, 1/('OB History S2'!$B:$B=A4), 'OB History S2'!$AB:$AB)</f>
        <v>0.65</v>
      </c>
      <c r="M4" s="34">
        <f>SUMIFS('OB History S2'!H:H,'OB History S2'!B:B,A4)</f>
        <v>34</v>
      </c>
      <c r="N4" s="2">
        <f>SUMIFS('OB History S2'!G:G,'OB History S2'!B:B,A4)-M4</f>
        <v>24</v>
      </c>
      <c r="O4" s="88">
        <f>LOOKUP(2, 1/('OB History S2'!$B:$B=A4), 'OB History S2'!$AC:$AC)</f>
        <v>0.59666666666666668</v>
      </c>
      <c r="P4" s="2">
        <f>COUNTIFS('OB History S2'!$B:$B,$A$4,'OB History S2'!K:K, 1)</f>
        <v>0</v>
      </c>
      <c r="Q4" s="2">
        <f>COUNTIFS('OB History S2'!$B:$B,$A$4,'OB History S2'!L:L, 1)</f>
        <v>2</v>
      </c>
      <c r="R4" s="2">
        <f>COUNTIFS('OB History S2'!$B:$B,$A$4,'OB History S2'!M:M, 1)</f>
        <v>1</v>
      </c>
      <c r="S4" s="2">
        <f>COUNTIFS('OB History S2'!$B:$B,$A$4,'OB History S2'!N:N, 1)</f>
        <v>1</v>
      </c>
      <c r="T4" s="2">
        <f>COUNTIFS('OB History S2'!$B:$B,$A$4,'OB History S2'!O:O, 1)</f>
        <v>0</v>
      </c>
      <c r="U4" s="2">
        <f>COUNTIFS('OB History S2'!$B:$B,$A$4,'OB History S2'!P:P, 1)</f>
        <v>0</v>
      </c>
      <c r="V4" s="2">
        <f>COUNTIFS('OB History S2'!$B:$B,$A$4,'OB History S2'!Q:Q, 1)</f>
        <v>0</v>
      </c>
      <c r="W4" s="2">
        <f>COUNTIFS('OB History S2'!$B:$B,$A$4,'OB History S2'!R:R, 1)</f>
        <v>1</v>
      </c>
      <c r="X4" s="2">
        <f>COUNTIFS('OB History S2'!$B:$B,$A$4,'OB History S2'!S:S, 1)</f>
        <v>0</v>
      </c>
      <c r="Y4" s="2">
        <f>COUNTIFS('OB History S2'!$B:$B,$A$4,'OB History S2'!T:T, 1)</f>
        <v>1</v>
      </c>
      <c r="Z4" s="2">
        <f>COUNTIFS('OB History S2'!$B:$B,$A$4,'OB History S2'!U:U, 1)</f>
        <v>0</v>
      </c>
      <c r="AA4" s="2">
        <f>COUNTIFS('OB History S2'!$B:$B,$A$4,'OB History S2'!V:V, 1)</f>
        <v>0</v>
      </c>
      <c r="AB4" s="2">
        <f>COUNTIFS('OB History S2'!$B:$B,$A$4,'OB History S2'!W:W, 1)</f>
        <v>0</v>
      </c>
      <c r="AC4" s="2">
        <f>COUNTIFS('OB History S2'!$B:$B,$A$4,'OB History S2'!X:X, 1)</f>
        <v>0</v>
      </c>
      <c r="AD4" s="2">
        <f>COUNTIFS('OB History S2'!$B:$B,$A$4,'OB History S2'!Y:Y, 1)</f>
        <v>2</v>
      </c>
      <c r="AE4" s="2">
        <f>COUNTIFS('OB History S2'!$B:$B,$A$4,'OB History S2'!Z:Z, 1)</f>
        <v>1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 S2'!C:C,'OB History S2'!B:B,A5)</f>
        <v>29</v>
      </c>
      <c r="E5" s="4">
        <f>AVERAGEIFS('OB History S2'!C:C,'OB History S2'!B:B,A5)</f>
        <v>14.5</v>
      </c>
      <c r="F5" s="35">
        <f t="array" ref="F5">MAX(IF('OB History S2'!B:B=A5, 'OB History S2'!C:C))</f>
        <v>18</v>
      </c>
      <c r="G5" s="34">
        <f>COUNTIFS('OB History S2'!B:B,A5,'OB History S2'!D:D, 1)</f>
        <v>2</v>
      </c>
      <c r="H5" s="2">
        <f>COUNTIFS('OB History S2'!B:B,A5,'OB History S2'!D:D, 0)</f>
        <v>0</v>
      </c>
      <c r="I5" s="88">
        <f>LOOKUP(2, 1/('OB History S2'!$B:$B=A5), 'OB History S2'!$AD:$AD)</f>
        <v>1</v>
      </c>
      <c r="J5" s="34">
        <f>SUMIFS('OB History S2'!F:F,'OB History S2'!B:B,A5)</f>
        <v>6</v>
      </c>
      <c r="K5" s="2">
        <f>SUMIFS('OB History S2'!E:E,'OB History S2'!B:B,A5)-J5</f>
        <v>2</v>
      </c>
      <c r="L5" s="88">
        <f>LOOKUP(2, 1/('OB History S2'!$B:$B=A5), 'OB History S2'!$AB:$AB)</f>
        <v>0.8</v>
      </c>
      <c r="M5" s="34">
        <f>SUMIFS('OB History S2'!H:H,'OB History S2'!B:B,A5)</f>
        <v>20</v>
      </c>
      <c r="N5" s="2">
        <f>SUMIFS('OB History S2'!G:G,'OB History S2'!B:B,A5)-M5</f>
        <v>12</v>
      </c>
      <c r="O5" s="88">
        <f>LOOKUP(2, 1/('OB History S2'!$B:$B=A5), 'OB History S2'!$AC:$AC)</f>
        <v>0.66999999999999993</v>
      </c>
      <c r="P5" s="2">
        <f>COUNTIFS('OB History S2'!$B:$B,$A$5,'OB History S2'!K:K, 1)</f>
        <v>0</v>
      </c>
      <c r="Q5" s="2">
        <f>COUNTIFS('OB History S2'!$B:$B,$A$5,'OB History S2'!L:L, 1)</f>
        <v>2</v>
      </c>
      <c r="R5" s="2">
        <f>COUNTIFS('OB History S2'!$B:$B,$A$5,'OB History S2'!M:M, 1)</f>
        <v>0</v>
      </c>
      <c r="S5" s="2">
        <f>COUNTIFS('OB History S2'!$B:$B,$A$5,'OB History S2'!N:N, 1)</f>
        <v>0</v>
      </c>
      <c r="T5" s="2">
        <f>COUNTIFS('OB History S2'!$B:$B,$A$5,'OB History S2'!O:O, 1)</f>
        <v>0</v>
      </c>
      <c r="U5" s="2">
        <f>COUNTIFS('OB History S2'!$B:$B,$A$5,'OB History S2'!P:P, 1)</f>
        <v>0</v>
      </c>
      <c r="V5" s="2">
        <f>COUNTIFS('OB History S2'!$B:$B,$A$5,'OB History S2'!Q:Q, 1)</f>
        <v>0</v>
      </c>
      <c r="W5" s="2">
        <f>COUNTIFS('OB History S2'!$B:$B,$A$5,'OB History S2'!R:R, 1)</f>
        <v>0</v>
      </c>
      <c r="X5" s="2">
        <f>COUNTIFS('OB History S2'!$B:$B,$A$5,'OB History S2'!S:S, 1)</f>
        <v>0</v>
      </c>
      <c r="Y5" s="2">
        <f>COUNTIFS('OB History S2'!$B:$B,$A$5,'OB History S2'!T:T, 1)</f>
        <v>0</v>
      </c>
      <c r="Z5" s="2">
        <f>COUNTIFS('OB History S2'!$B:$B,$A$5,'OB History S2'!U:U, 1)</f>
        <v>0</v>
      </c>
      <c r="AA5" s="2">
        <f>COUNTIFS('OB History S2'!$B:$B,$A$5,'OB History S2'!V:V, 1)</f>
        <v>0</v>
      </c>
      <c r="AB5" s="2">
        <f>COUNTIFS('OB History S2'!$B:$B,$A$5,'OB History S2'!W:W, 1)</f>
        <v>0</v>
      </c>
      <c r="AC5" s="2">
        <f>COUNTIFS('OB History S2'!$B:$B,$A$5,'OB History S2'!X:X, 1)</f>
        <v>2</v>
      </c>
      <c r="AD5" s="2">
        <f>COUNTIFS('OB History S2'!$B:$B,$A$5,'OB History S2'!Y:Y, 1)</f>
        <v>2</v>
      </c>
      <c r="AE5" s="2">
        <f>COUNTIFS('OB History S2'!$B:$B,$A$5,'OB History S2'!Z:Z,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 S2'!C:C,'OB History S2'!B:B,A6)</f>
        <v>93</v>
      </c>
      <c r="E6" s="4">
        <f>AVERAGEIFS('OB History S2'!C:C,'OB History S2'!B:B,A6)</f>
        <v>13.285714285714286</v>
      </c>
      <c r="F6" s="35">
        <f t="array" ref="F6">MAX(IF('OB History S2'!B:B=A6, 'OB History S2'!C:C))</f>
        <v>20</v>
      </c>
      <c r="G6" s="34">
        <f>COUNTIFS('OB History S2'!B:B,A6,'OB History S2'!D:D, 1)</f>
        <v>2</v>
      </c>
      <c r="H6" s="2">
        <f>COUNTIFS('OB History S2'!B:B,A6,'OB History S2'!D:D, 0)</f>
        <v>5</v>
      </c>
      <c r="I6" s="88">
        <f>LOOKUP(2, 1/('OB History S2'!$B:$B=A6), 'OB History S2'!$AD:$AD)</f>
        <v>0.2857142857142857</v>
      </c>
      <c r="J6" s="34">
        <f>SUMIFS('OB History S2'!F:F,'OB History S2'!B:B,A6)</f>
        <v>11</v>
      </c>
      <c r="K6" s="2">
        <f>SUMIFS('OB History S2'!E:E,'OB History S2'!B:B,A6)-J6</f>
        <v>18</v>
      </c>
      <c r="L6" s="88">
        <f>LOOKUP(2, 1/('OB History S2'!$B:$B=A6), 'OB History S2'!$AB:$AB)</f>
        <v>0.35714285714285715</v>
      </c>
      <c r="M6" s="34">
        <f>SUMIFS('OB History S2'!H:H,'OB History S2'!B:B,A6)</f>
        <v>47</v>
      </c>
      <c r="N6" s="2">
        <f>SUMIFS('OB History S2'!G:G,'OB History S2'!B:B,A6)-M6</f>
        <v>67</v>
      </c>
      <c r="O6" s="88">
        <f>LOOKUP(2, 1/('OB History S2'!$B:$B=A6), 'OB History S2'!$AC:$AC)</f>
        <v>0.39714285714285713</v>
      </c>
      <c r="P6" s="2">
        <f>COUNTIFS('OB History S2'!$B:$B,$A$6,'OB History S2'!K:K, 1)</f>
        <v>1</v>
      </c>
      <c r="Q6" s="2">
        <f>COUNTIFS('OB History S2'!$B:$B,$A$6,'OB History S2'!L:L, 1)</f>
        <v>1</v>
      </c>
      <c r="R6" s="2">
        <f>COUNTIFS('OB History S2'!$B:$B,$A$6,'OB History S2'!M:M, 1)</f>
        <v>0</v>
      </c>
      <c r="S6" s="2">
        <f>COUNTIFS('OB History S2'!$B:$B,$A$6,'OB History S2'!N:N, 1)</f>
        <v>0</v>
      </c>
      <c r="T6" s="2">
        <f>COUNTIFS('OB History S2'!$B:$B,$A$6,'OB History S2'!O:O, 1)</f>
        <v>0</v>
      </c>
      <c r="U6" s="2">
        <f>COUNTIFS('OB History S2'!$B:$B,$A$6,'OB History S2'!P:P, 1)</f>
        <v>1</v>
      </c>
      <c r="V6" s="2">
        <f>COUNTIFS('OB History S2'!$B:$B,$A$6,'OB History S2'!Q:Q, 1)</f>
        <v>0</v>
      </c>
      <c r="W6" s="2">
        <f>COUNTIFS('OB History S2'!$B:$B,$A$6,'OB History S2'!R:R, 1)</f>
        <v>1</v>
      </c>
      <c r="X6" s="2">
        <f>COUNTIFS('OB History S2'!$B:$B,$A$6,'OB History S2'!S:S, 1)</f>
        <v>0</v>
      </c>
      <c r="Y6" s="2">
        <f>COUNTIFS('OB History S2'!$B:$B,$A$6,'OB History S2'!T:T, 1)</f>
        <v>0</v>
      </c>
      <c r="Z6" s="2">
        <f>COUNTIFS('OB History S2'!$B:$B,$A$6,'OB History S2'!U:U, 1)</f>
        <v>0</v>
      </c>
      <c r="AA6" s="2">
        <f>COUNTIFS('OB History S2'!$B:$B,$A$6,'OB History S2'!V:V, 1)</f>
        <v>0</v>
      </c>
      <c r="AB6" s="2">
        <f>COUNTIFS('OB History S2'!$B:$B,$A$6,'OB History S2'!W:W, 1)</f>
        <v>2</v>
      </c>
      <c r="AC6" s="2">
        <f>COUNTIFS('OB History S2'!$B:$B,$A$6,'OB History S2'!X:X, 1)</f>
        <v>2</v>
      </c>
      <c r="AD6" s="2">
        <f>COUNTIFS('OB History S2'!$B:$B,$A$6,'OB History S2'!Y:Y, 1)</f>
        <v>2</v>
      </c>
      <c r="AE6" s="2">
        <f>COUNTIFS('OB History S2'!$B:$B,$A$6,'OB History S2'!Z:Z, 1)</f>
        <v>1</v>
      </c>
    </row>
    <row r="7" spans="1:31" ht="15.75" x14ac:dyDescent="0.25">
      <c r="A7" s="2" t="s">
        <v>19</v>
      </c>
      <c r="B7" s="80" t="s">
        <v>79</v>
      </c>
      <c r="C7" s="2" t="s">
        <v>79</v>
      </c>
      <c r="D7" s="34">
        <f>SUMIFS('OB History S2'!C:C,'OB History S2'!B:B,A7)</f>
        <v>22</v>
      </c>
      <c r="E7" s="4">
        <f>AVERAGEIFS('OB History S2'!C:C,'OB History S2'!B:B,A7)</f>
        <v>7.333333333333333</v>
      </c>
      <c r="F7" s="35">
        <f t="array" ref="F7">MAX(IF('OB History S2'!B:B=A7, 'OB History S2'!C:C))</f>
        <v>10</v>
      </c>
      <c r="G7" s="34">
        <f>COUNTIFS('OB History S2'!B:B,A7,'OB History S2'!D:D, 1)</f>
        <v>2</v>
      </c>
      <c r="H7" s="2">
        <f>COUNTIFS('OB History S2'!B:B,A7,'OB History S2'!D:D, 0)</f>
        <v>1</v>
      </c>
      <c r="I7" s="88">
        <f>LOOKUP(2, 1/('OB History S2'!$B:$B=A7), 'OB History S2'!$AD:$AD)</f>
        <v>0.66666666666666663</v>
      </c>
      <c r="J7" s="34">
        <f>SUMIFS('OB History S2'!F:F,'OB History S2'!B:B,A7)</f>
        <v>7</v>
      </c>
      <c r="K7" s="2">
        <f>SUMIFS('OB History S2'!E:E,'OB History S2'!B:B,A7)-J7</f>
        <v>5</v>
      </c>
      <c r="L7" s="88">
        <f>LOOKUP(2, 1/('OB History S2'!$B:$B=A7), 'OB History S2'!$AB:$AB)</f>
        <v>0.58333333333333337</v>
      </c>
      <c r="M7" s="34">
        <f>SUMIFS('OB History S2'!H:H,'OB History S2'!B:B,A7)</f>
        <v>24</v>
      </c>
      <c r="N7" s="2">
        <f>SUMIFS('OB History S2'!G:G,'OB History S2'!B:B,A7)-M7</f>
        <v>22</v>
      </c>
      <c r="O7" s="88">
        <f>LOOKUP(2, 1/('OB History S2'!$B:$B=A7), 'OB History S2'!$AC:$AC)</f>
        <v>0.52333333333333332</v>
      </c>
      <c r="P7" s="2">
        <f>COUNTIFS('OB History S2'!$B:$B,$A$7,'OB History S2'!K:K, 1)</f>
        <v>1</v>
      </c>
      <c r="Q7" s="2">
        <f>COUNTIFS('OB History S2'!$B:$B,$A$7,'OB History S2'!L:L, 1)</f>
        <v>1</v>
      </c>
      <c r="R7" s="2">
        <f>COUNTIFS('OB History S2'!$B:$B,$A$7,'OB History S2'!M:M, 1)</f>
        <v>0</v>
      </c>
      <c r="S7" s="2">
        <f>COUNTIFS('OB History S2'!$B:$B,$A$7,'OB History S2'!N:N, 1)</f>
        <v>1</v>
      </c>
      <c r="T7" s="2">
        <f>COUNTIFS('OB History S2'!$B:$B,$A$7,'OB History S2'!O:O, 1)</f>
        <v>0</v>
      </c>
      <c r="U7" s="2">
        <f>COUNTIFS('OB History S2'!$B:$B,$A$7,'OB History S2'!P:P, 1)</f>
        <v>1</v>
      </c>
      <c r="V7" s="2">
        <f>COUNTIFS('OB History S2'!$B:$B,$A$7,'OB History S2'!Q:Q, 1)</f>
        <v>0</v>
      </c>
      <c r="W7" s="2">
        <f>COUNTIFS('OB History S2'!$B:$B,$A$7,'OB History S2'!R:R, 1)</f>
        <v>0</v>
      </c>
      <c r="X7" s="2">
        <f>COUNTIFS('OB History S2'!$B:$B,$A$7,'OB History S2'!S:S, 1)</f>
        <v>0</v>
      </c>
      <c r="Y7" s="2">
        <f>COUNTIFS('OB History S2'!$B:$B,$A$7,'OB History S2'!T:T, 1)</f>
        <v>0</v>
      </c>
      <c r="Z7" s="2">
        <f>COUNTIFS('OB History S2'!$B:$B,$A$7,'OB History S2'!U:U, 1)</f>
        <v>0</v>
      </c>
      <c r="AA7" s="2">
        <f>COUNTIFS('OB History S2'!$B:$B,$A$7,'OB History S2'!V:V, 1)</f>
        <v>0</v>
      </c>
      <c r="AB7" s="2">
        <f>COUNTIFS('OB History S2'!$B:$B,$A$7,'OB History S2'!W:W, 1)</f>
        <v>0</v>
      </c>
      <c r="AC7" s="2">
        <f>COUNTIFS('OB History S2'!$B:$B,$A$7,'OB History S2'!X:X, 1)</f>
        <v>0</v>
      </c>
      <c r="AD7" s="2">
        <f>COUNTIFS('OB History S2'!$B:$B,$A$7,'OB History S2'!Y:Y, 1)</f>
        <v>1</v>
      </c>
      <c r="AE7" s="2">
        <f>COUNTIFS('OB History S2'!$B:$B,$A$7,'OB History S2'!Z:Z, 1)</f>
        <v>2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 S2'!C:C,'OB History S2'!B:B,A8)</f>
        <v>41</v>
      </c>
      <c r="E8" s="4">
        <f>AVERAGEIFS('OB History S2'!C:C,'OB History S2'!B:B,A8)</f>
        <v>13.666666666666666</v>
      </c>
      <c r="F8" s="35">
        <f t="array" ref="F8">MAX(IF('OB History S2'!B:B=A8, 'OB History S2'!C:C))</f>
        <v>29</v>
      </c>
      <c r="G8" s="34">
        <f>COUNTIFS('OB History S2'!B:B,A8,'OB History S2'!D:D, 1)</f>
        <v>0</v>
      </c>
      <c r="H8" s="2">
        <f>COUNTIFS('OB History S2'!B:B,A8,'OB History S2'!D:D, 0)</f>
        <v>3</v>
      </c>
      <c r="I8" s="88">
        <f>LOOKUP(2, 1/('OB History S2'!$B:$B=A8), 'OB History S2'!$AD:$AD)</f>
        <v>0</v>
      </c>
      <c r="J8" s="34">
        <f>SUMIFS('OB History S2'!F:F,'OB History S2'!B:B,A8)</f>
        <v>2</v>
      </c>
      <c r="K8" s="2">
        <f>SUMIFS('OB History S2'!E:E,'OB History S2'!B:B,A8)-J8</f>
        <v>9</v>
      </c>
      <c r="L8" s="88">
        <f>LOOKUP(2, 1/('OB History S2'!$B:$B=A8), 'OB History S2'!$AB:$AB)</f>
        <v>0.13333333333333333</v>
      </c>
      <c r="M8" s="34">
        <f>SUMIFS('OB History S2'!H:H,'OB History S2'!B:B,A8)</f>
        <v>16</v>
      </c>
      <c r="N8" s="2">
        <f>SUMIFS('OB History S2'!G:G,'OB History S2'!B:B,A8)-M8</f>
        <v>29</v>
      </c>
      <c r="O8" s="88">
        <f>LOOKUP(2, 1/('OB History S2'!$B:$B=A8), 'OB History S2'!$AC:$AC)</f>
        <v>0.32333333333333331</v>
      </c>
      <c r="P8" s="2">
        <f>COUNTIFS('OB History S2'!$B:$B,$A$8,'OB History S2'!K:K, 1)</f>
        <v>1</v>
      </c>
      <c r="Q8" s="2">
        <f>COUNTIFS('OB History S2'!$B:$B,$A$8,'OB History S2'!L:L, 1)</f>
        <v>0</v>
      </c>
      <c r="R8" s="2">
        <f>COUNTIFS('OB History S2'!$B:$B,$A$8,'OB History S2'!M:M, 1)</f>
        <v>0</v>
      </c>
      <c r="S8" s="2">
        <f>COUNTIFS('OB History S2'!$B:$B,$A$8,'OB History S2'!N:N, 1)</f>
        <v>0</v>
      </c>
      <c r="T8" s="2">
        <f>COUNTIFS('OB History S2'!$B:$B,$A$8,'OB History S2'!O:O, 1)</f>
        <v>0</v>
      </c>
      <c r="U8" s="2">
        <f>COUNTIFS('OB History S2'!$B:$B,$A$8,'OB History S2'!P:P, 1)</f>
        <v>0</v>
      </c>
      <c r="V8" s="2">
        <f>COUNTIFS('OB History S2'!$B:$B,$A$8,'OB History S2'!Q:Q, 1)</f>
        <v>0</v>
      </c>
      <c r="W8" s="2">
        <f>COUNTIFS('OB History S2'!$B:$B,$A$8,'OB History S2'!R:R, 1)</f>
        <v>0</v>
      </c>
      <c r="X8" s="2">
        <f>COUNTIFS('OB History S2'!$B:$B,$A$8,'OB History S2'!S:S, 1)</f>
        <v>0</v>
      </c>
      <c r="Y8" s="2">
        <f>COUNTIFS('OB History S2'!$B:$B,$A$8,'OB History S2'!T:T, 1)</f>
        <v>0</v>
      </c>
      <c r="Z8" s="2">
        <f>COUNTIFS('OB History S2'!$B:$B,$A$8,'OB History S2'!U:U, 1)</f>
        <v>0</v>
      </c>
      <c r="AA8" s="2">
        <f>COUNTIFS('OB History S2'!$B:$B,$A$8,'OB History S2'!V:V, 1)</f>
        <v>0</v>
      </c>
      <c r="AB8" s="2">
        <f>COUNTIFS('OB History S2'!$B:$B,$A$8,'OB History S2'!W:W, 1)</f>
        <v>1</v>
      </c>
      <c r="AC8" s="2">
        <f>COUNTIFS('OB History S2'!$B:$B,$A$8,'OB History S2'!X:X, 1)</f>
        <v>0</v>
      </c>
      <c r="AD8" s="2">
        <f>COUNTIFS('OB History S2'!$B:$B,$A$8,'OB History S2'!Y:Y, 1)</f>
        <v>0</v>
      </c>
      <c r="AE8" s="2">
        <f>COUNTIFS('OB History S2'!$B:$B,$A$8,'OB History S2'!Z:Z, 1)</f>
        <v>0</v>
      </c>
    </row>
    <row r="9" spans="1:31" x14ac:dyDescent="0.25">
      <c r="A9" s="1" t="s">
        <v>25</v>
      </c>
      <c r="B9" s="6" t="s">
        <v>79</v>
      </c>
      <c r="C9" s="2" t="s">
        <v>79</v>
      </c>
      <c r="D9" s="34">
        <f>SUMIFS('OB History S2'!C:C,'OB History S2'!B:B,A9)</f>
        <v>71</v>
      </c>
      <c r="E9" s="4">
        <f>AVERAGEIFS('OB History S2'!C:C,'OB History S2'!B:B,A9)</f>
        <v>17.75</v>
      </c>
      <c r="F9" s="35">
        <f t="array" ref="F9">MAX(IF('OB History S2'!B:B=A9, 'OB History S2'!C:C))</f>
        <v>19</v>
      </c>
      <c r="G9" s="34">
        <f>COUNTIFS('OB History S2'!B:B,A9,'OB History S2'!D:D, 1)</f>
        <v>2</v>
      </c>
      <c r="H9" s="2">
        <f>COUNTIFS('OB History S2'!B:B,A9,'OB History S2'!D:D, 0)</f>
        <v>2</v>
      </c>
      <c r="I9" s="88">
        <f>LOOKUP(2, 1/('OB History S2'!$B:$B=A9), 'OB History S2'!$AD:$AD)</f>
        <v>0.5</v>
      </c>
      <c r="J9" s="34">
        <f>SUMIFS('OB History S2'!F:F,'OB History S2'!B:B,A9)</f>
        <v>8</v>
      </c>
      <c r="K9" s="2">
        <f>SUMIFS('OB History S2'!E:E,'OB History S2'!B:B,A9)-J9</f>
        <v>8</v>
      </c>
      <c r="L9" s="88">
        <f>LOOKUP(2, 1/('OB History S2'!$B:$B=A9), 'OB History S2'!$AB:$AB)</f>
        <v>0.5</v>
      </c>
      <c r="M9" s="34">
        <f>SUMIFS('OB History S2'!H:H,'OB History S2'!B:B,A9)</f>
        <v>29</v>
      </c>
      <c r="N9" s="2">
        <f>SUMIFS('OB History S2'!G:G,'OB History S2'!B:B,A9)-M9</f>
        <v>31</v>
      </c>
      <c r="O9" s="88">
        <f>LOOKUP(2, 1/('OB History S2'!$B:$B=A9), 'OB History S2'!$AC:$AC)</f>
        <v>0.48250000000000004</v>
      </c>
      <c r="P9" s="2">
        <f>COUNTIFS('OB History S2'!$B:$B,$A$9,'OB History S2'!K:K, 1)</f>
        <v>1</v>
      </c>
      <c r="Q9" s="2">
        <f>COUNTIFS('OB History S2'!$B:$B,$A$9,'OB History S2'!L:L, 1)</f>
        <v>1</v>
      </c>
      <c r="R9" s="2">
        <f>COUNTIFS('OB History S2'!$B:$B,$A$9,'OB History S2'!M:M, 1)</f>
        <v>0</v>
      </c>
      <c r="S9" s="2">
        <f>COUNTIFS('OB History S2'!$B:$B,$A$9,'OB History S2'!N:N, 1)</f>
        <v>1</v>
      </c>
      <c r="T9" s="2">
        <f>COUNTIFS('OB History S2'!$B:$B,$A$9,'OB History S2'!O:O, 1)</f>
        <v>0</v>
      </c>
      <c r="U9" s="2">
        <f>COUNTIFS('OB History S2'!$B:$B,$A$9,'OB History S2'!P:P, 1)</f>
        <v>1</v>
      </c>
      <c r="V9" s="2">
        <f>COUNTIFS('OB History S2'!$B:$B,$A$9,'OB History S2'!Q:Q, 1)</f>
        <v>0</v>
      </c>
      <c r="W9" s="2">
        <f>COUNTIFS('OB History S2'!$B:$B,$A$9,'OB History S2'!R:R, 1)</f>
        <v>0</v>
      </c>
      <c r="X9" s="2">
        <f>COUNTIFS('OB History S2'!$B:$B,$A$9,'OB History S2'!S:S, 1)</f>
        <v>0</v>
      </c>
      <c r="Y9" s="2">
        <f>COUNTIFS('OB History S2'!$B:$B,$A$9,'OB History S2'!T:T, 1)</f>
        <v>0</v>
      </c>
      <c r="Z9" s="2">
        <f>COUNTIFS('OB History S2'!$B:$B,$A$9,'OB History S2'!U:U, 1)</f>
        <v>0</v>
      </c>
      <c r="AA9" s="2">
        <f>COUNTIFS('OB History S2'!$B:$B,$A$9,'OB History S2'!V:V, 1)</f>
        <v>0</v>
      </c>
      <c r="AB9" s="2">
        <f>COUNTIFS('OB History S2'!$B:$B,$A$9,'OB History S2'!W:W, 1)</f>
        <v>0</v>
      </c>
      <c r="AC9" s="2">
        <f>COUNTIFS('OB History S2'!$B:$B,$A$9,'OB History S2'!X:X, 1)</f>
        <v>1</v>
      </c>
      <c r="AD9" s="2">
        <f>COUNTIFS('OB History S2'!$B:$B,$A$9,'OB History S2'!Y:Y, 1)</f>
        <v>1</v>
      </c>
      <c r="AE9" s="2">
        <f>COUNTIFS('OB History S2'!$B:$B,$A$9,'OB History S2'!Z:Z, 1)</f>
        <v>2</v>
      </c>
    </row>
    <row r="10" spans="1:31" x14ac:dyDescent="0.25">
      <c r="A10" s="1" t="s">
        <v>147</v>
      </c>
      <c r="B10" s="6" t="s">
        <v>79</v>
      </c>
      <c r="C10" s="2" t="s">
        <v>79</v>
      </c>
      <c r="D10" s="34">
        <f>SUMIFS('OB History S2'!C:C,'OB History S2'!B:B,A10)</f>
        <v>6</v>
      </c>
      <c r="E10" s="4">
        <f>AVERAGEIFS('OB History S2'!C:C,'OB History S2'!B:B,A10)</f>
        <v>6</v>
      </c>
      <c r="F10" s="35">
        <f t="array" ref="F10">MAX(IF('OB History S2'!B:B=A10, 'OB History S2'!C:C))</f>
        <v>6</v>
      </c>
      <c r="G10" s="34">
        <f>COUNTIFS('OB History S2'!B:B,A10,'OB History S2'!D:D, 1)</f>
        <v>0</v>
      </c>
      <c r="H10" s="2">
        <f>COUNTIFS('OB History S2'!B:B,A10,'OB History S2'!D:D, 0)</f>
        <v>1</v>
      </c>
      <c r="I10" s="88">
        <f>LOOKUP(2, 1/('OB History S2'!$B:$B=A10), 'OB History S2'!$AD:$AD)</f>
        <v>0</v>
      </c>
      <c r="J10" s="34">
        <f>SUMIFS('OB History S2'!F:F,'OB History S2'!B:B,A10)</f>
        <v>0</v>
      </c>
      <c r="K10" s="2">
        <f>SUMIFS('OB History S2'!E:E,'OB History S2'!B:B,A10)-J10</f>
        <v>3</v>
      </c>
      <c r="L10" s="88">
        <f>LOOKUP(2, 1/('OB History S2'!$B:$B=A10), 'OB History S2'!$AB:$AB)</f>
        <v>0</v>
      </c>
      <c r="M10" s="34">
        <f>SUMIFS('OB History S2'!H:H,'OB History S2'!B:B,A10)</f>
        <v>4</v>
      </c>
      <c r="N10" s="2">
        <f>SUMIFS('OB History S2'!G:G,'OB History S2'!B:B,A10)-M10</f>
        <v>9</v>
      </c>
      <c r="O10" s="88">
        <f>LOOKUP(2, 1/('OB History S2'!$B:$B=A10), 'OB History S2'!$AC:$AC)</f>
        <v>0.31</v>
      </c>
      <c r="P10" s="2">
        <f>COUNTIFS('OB History S2'!$B:$B,$A$10,'OB History S2'!K:K, 1)</f>
        <v>0</v>
      </c>
      <c r="Q10" s="2">
        <f>COUNTIFS('OB History S2'!$B:$B,$A$10,'OB History S2'!L:L, 1)</f>
        <v>0</v>
      </c>
      <c r="R10" s="2">
        <f>COUNTIFS('OB History S2'!$B:$B,$A$10,'OB History S2'!M:M, 1)</f>
        <v>0</v>
      </c>
      <c r="S10" s="2">
        <f>COUNTIFS('OB History S2'!$B:$B,$A$10,'OB History S2'!N:N, 1)</f>
        <v>0</v>
      </c>
      <c r="T10" s="2">
        <f>COUNTIFS('OB History S2'!$B:$B,$A$10,'OB History S2'!O:O, 1)</f>
        <v>0</v>
      </c>
      <c r="U10" s="2">
        <f>COUNTIFS('OB History S2'!$B:$B,$A$10,'OB History S2'!P:P, 1)</f>
        <v>0</v>
      </c>
      <c r="V10" s="2">
        <f>COUNTIFS('OB History S2'!$B:$B,$A$10,'OB History S2'!Q:Q, 1)</f>
        <v>0</v>
      </c>
      <c r="W10" s="2">
        <f>COUNTIFS('OB History S2'!$B:$B,$A$10,'OB History S2'!R:R, 1)</f>
        <v>0</v>
      </c>
      <c r="X10" s="2">
        <f>COUNTIFS('OB History S2'!$B:$B,$A$10,'OB History S2'!S:S, 1)</f>
        <v>0</v>
      </c>
      <c r="Y10" s="2">
        <f>COUNTIFS('OB History S2'!$B:$B,$A$10,'OB History S2'!T:T, 1)</f>
        <v>0</v>
      </c>
      <c r="Z10" s="2">
        <f>COUNTIFS('OB History S2'!$B:$B,$A$10,'OB History S2'!U:U, 1)</f>
        <v>0</v>
      </c>
      <c r="AA10" s="2">
        <f>COUNTIFS('OB History S2'!$B:$B,$A$10,'OB History S2'!V:V, 1)</f>
        <v>0</v>
      </c>
      <c r="AB10" s="2">
        <f>COUNTIFS('OB History S2'!$B:$B,$A$10,'OB History S2'!W:W, 1)</f>
        <v>0</v>
      </c>
      <c r="AC10" s="2">
        <f>COUNTIFS('OB History S2'!$B:$B,$A$10,'OB History S2'!X:X, 1)</f>
        <v>0</v>
      </c>
      <c r="AD10" s="2">
        <f>COUNTIFS('OB History S2'!$B:$B,$A$10,'OB History S2'!Y:Y, 1)</f>
        <v>0</v>
      </c>
      <c r="AE10" s="2">
        <f>COUNTIFS('OB History S2'!$B:$B,$A$10,'OB History S2'!Z:Z, 1)</f>
        <v>0</v>
      </c>
    </row>
    <row r="11" spans="1:31" x14ac:dyDescent="0.25">
      <c r="A11" s="1" t="s">
        <v>27</v>
      </c>
      <c r="B11" s="6" t="s">
        <v>76</v>
      </c>
      <c r="C11" s="6" t="s">
        <v>79</v>
      </c>
      <c r="D11" s="34">
        <f>SUMIFS('OB History S2'!C:C,'OB History S2'!B:B,A11)</f>
        <v>49</v>
      </c>
      <c r="E11" s="4">
        <f>AVERAGEIFS('OB History S2'!C:C,'OB History S2'!B:B,A11)</f>
        <v>12.25</v>
      </c>
      <c r="F11" s="35">
        <f t="array" ref="F11">MAX(IF('OB History S2'!B:B=A11, 'OB History S2'!C:C))</f>
        <v>15</v>
      </c>
      <c r="G11" s="34">
        <f>COUNTIFS('OB History S2'!B:B,A11,'OB History S2'!D:D, 1)</f>
        <v>4</v>
      </c>
      <c r="H11" s="2">
        <f>COUNTIFS('OB History S2'!B:B,A11,'OB History S2'!D:D, 0)</f>
        <v>0</v>
      </c>
      <c r="I11" s="88">
        <f>LOOKUP(2, 1/('OB History S2'!$B:$B=A11), 'OB History S2'!$AD:$AD)</f>
        <v>1</v>
      </c>
      <c r="J11" s="34">
        <f>SUMIFS('OB History S2'!F:F,'OB History S2'!B:B,A11)</f>
        <v>12</v>
      </c>
      <c r="K11" s="2">
        <f>SUMIFS('OB History S2'!E:E,'OB History S2'!B:B,A11)-J11</f>
        <v>5</v>
      </c>
      <c r="L11" s="88">
        <f>LOOKUP(2, 1/('OB History S2'!$B:$B=A11), 'OB History S2'!$AB:$AB)</f>
        <v>0.71250000000000002</v>
      </c>
      <c r="M11" s="34">
        <f>SUMIFS('OB History S2'!H:H,'OB History S2'!B:B,A11)</f>
        <v>40</v>
      </c>
      <c r="N11" s="2">
        <f>SUMIFS('OB History S2'!G:G,'OB History S2'!B:B,A11)-M11</f>
        <v>20</v>
      </c>
      <c r="O11" s="88">
        <f>LOOKUP(2, 1/('OB History S2'!$B:$B=A11), 'OB History S2'!$AC:$AC)</f>
        <v>0.66500000000000004</v>
      </c>
      <c r="P11" s="2">
        <f>COUNTIFS('OB History S2'!$B:$B,$A$11,'OB History S2'!K:K, 1)</f>
        <v>0</v>
      </c>
      <c r="Q11" s="2">
        <f>COUNTIFS('OB History S2'!$B:$B,$A$11,'OB History S2'!L:L, 1)</f>
        <v>1</v>
      </c>
      <c r="R11" s="2">
        <f>COUNTIFS('OB History S2'!$B:$B,$A$11,'OB History S2'!M:M, 1)</f>
        <v>0</v>
      </c>
      <c r="S11" s="2">
        <f>COUNTIFS('OB History S2'!$B:$B,$A$11,'OB History S2'!N:N, 1)</f>
        <v>1</v>
      </c>
      <c r="T11" s="2">
        <f>COUNTIFS('OB History S2'!$B:$B,$A$11,'OB History S2'!O:O, 1)</f>
        <v>0</v>
      </c>
      <c r="U11" s="2">
        <f>COUNTIFS('OB History S2'!$B:$B,$A$11,'OB History S2'!P:P, 1)</f>
        <v>1</v>
      </c>
      <c r="V11" s="2">
        <f>COUNTIFS('OB History S2'!$B:$B,$A$11,'OB History S2'!Q:Q, 1)</f>
        <v>1</v>
      </c>
      <c r="W11" s="2">
        <f>COUNTIFS('OB History S2'!$B:$B,$A$11,'OB History S2'!R:R, 1)</f>
        <v>1</v>
      </c>
      <c r="X11" s="2">
        <f>COUNTIFS('OB History S2'!$B:$B,$A$11,'OB History S2'!S:S, 1)</f>
        <v>0</v>
      </c>
      <c r="Y11" s="2">
        <f>COUNTIFS('OB History S2'!$B:$B,$A$11,'OB History S2'!T:T, 1)</f>
        <v>0</v>
      </c>
      <c r="Z11" s="2">
        <f>COUNTIFS('OB History S2'!$B:$B,$A$11,'OB History S2'!U:U, 1)</f>
        <v>1</v>
      </c>
      <c r="AA11" s="2">
        <f>COUNTIFS('OB History S2'!$B:$B,$A$11,'OB History S2'!V:V, 1)</f>
        <v>0</v>
      </c>
      <c r="AB11" s="2">
        <f>COUNTIFS('OB History S2'!$B:$B,$A$11,'OB History S2'!W:W, 1)</f>
        <v>1</v>
      </c>
      <c r="AC11" s="2">
        <f>COUNTIFS('OB History S2'!$B:$B,$A$11,'OB History S2'!X:X, 1)</f>
        <v>3</v>
      </c>
      <c r="AD11" s="2">
        <f>COUNTIFS('OB History S2'!$B:$B,$A$11,'OB History S2'!Y:Y, 1)</f>
        <v>2</v>
      </c>
      <c r="AE11" s="2">
        <f>COUNTIFS('OB History S2'!$B:$B,$A$11,'OB History S2'!Z:Z, 1)</f>
        <v>0</v>
      </c>
    </row>
    <row r="12" spans="1:31" x14ac:dyDescent="0.25">
      <c r="A12" s="1" t="s">
        <v>26</v>
      </c>
      <c r="B12" s="6" t="s">
        <v>124</v>
      </c>
      <c r="C12" s="6" t="s">
        <v>79</v>
      </c>
      <c r="D12" s="34">
        <f>SUMIFS('OB History S2'!C:C,'OB History S2'!B:B,A12)</f>
        <v>14</v>
      </c>
      <c r="E12" s="4">
        <f>AVERAGEIFS('OB History S2'!C:C,'OB History S2'!B:B,A12)</f>
        <v>7</v>
      </c>
      <c r="F12" s="35">
        <f t="array" ref="F12">MAX(IF('OB History S2'!B:B=A12, 'OB History S2'!C:C))</f>
        <v>8</v>
      </c>
      <c r="G12" s="34">
        <f>COUNTIFS('OB History S2'!B:B,A12,'OB History S2'!D:D, 1)</f>
        <v>0</v>
      </c>
      <c r="H12" s="2">
        <f>COUNTIFS('OB History S2'!B:B,A12,'OB History S2'!D:D, 0)</f>
        <v>2</v>
      </c>
      <c r="I12" s="88">
        <f>LOOKUP(2, 1/('OB History S2'!$B:$B=A12), 'OB History S2'!$AD:$AD)</f>
        <v>0</v>
      </c>
      <c r="J12" s="34">
        <f>SUMIFS('OB History S2'!F:F,'OB History S2'!B:B,A12)</f>
        <v>2</v>
      </c>
      <c r="K12" s="2">
        <f>SUMIFS('OB History S2'!E:E,'OB History S2'!B:B,A12)-J12</f>
        <v>6</v>
      </c>
      <c r="L12" s="88">
        <f>LOOKUP(2, 1/('OB History S2'!$B:$B=A12), 'OB History S2'!$AB:$AB)</f>
        <v>0.25</v>
      </c>
      <c r="M12" s="34">
        <f>SUMIFS('OB History S2'!H:H,'OB History S2'!B:B,A12)</f>
        <v>9</v>
      </c>
      <c r="N12" s="2">
        <f>SUMIFS('OB History S2'!G:G,'OB History S2'!B:B,A12)-M12</f>
        <v>20</v>
      </c>
      <c r="O12" s="88">
        <f>LOOKUP(2, 1/('OB History S2'!$B:$B=A12), 'OB History S2'!$AC:$AC)</f>
        <v>0.315</v>
      </c>
      <c r="P12" s="2">
        <f>COUNTIFS('OB History S2'!$B:$B,$A$12,'OB History S2'!K:K, 1)</f>
        <v>0</v>
      </c>
      <c r="Q12" s="2">
        <f>COUNTIFS('OB History S2'!$B:$B,$A$12,'OB History S2'!L:L, 1)</f>
        <v>0</v>
      </c>
      <c r="R12" s="2">
        <f>COUNTIFS('OB History S2'!$B:$B,$A$12,'OB History S2'!M:M, 1)</f>
        <v>0</v>
      </c>
      <c r="S12" s="2">
        <f>COUNTIFS('OB History S2'!$B:$B,$A$12,'OB History S2'!N:N, 1)</f>
        <v>0</v>
      </c>
      <c r="T12" s="2">
        <f>COUNTIFS('OB History S2'!$B:$B,$A$12,'OB History S2'!O:O, 1)</f>
        <v>0</v>
      </c>
      <c r="U12" s="2">
        <f>COUNTIFS('OB History S2'!$B:$B,$A$12,'OB History S2'!P:P, 1)</f>
        <v>0</v>
      </c>
      <c r="V12" s="2">
        <f>COUNTIFS('OB History S2'!$B:$B,$A$12,'OB History S2'!Q:Q, 1)</f>
        <v>0</v>
      </c>
      <c r="W12" s="2">
        <f>COUNTIFS('OB History S2'!$B:$B,$A$12,'OB History S2'!R:R, 1)</f>
        <v>0</v>
      </c>
      <c r="X12" s="2">
        <f>COUNTIFS('OB History S2'!$B:$B,$A$12,'OB History S2'!S:S, 1)</f>
        <v>0</v>
      </c>
      <c r="Y12" s="2">
        <f>COUNTIFS('OB History S2'!$B:$B,$A$12,'OB History S2'!T:T, 1)</f>
        <v>0</v>
      </c>
      <c r="Z12" s="2">
        <f>COUNTIFS('OB History S2'!$B:$B,$A$12,'OB History S2'!U:U, 1)</f>
        <v>0</v>
      </c>
      <c r="AA12" s="2">
        <f>COUNTIFS('OB History S2'!$B:$B,$A$12,'OB History S2'!V:V, 1)</f>
        <v>0</v>
      </c>
      <c r="AB12" s="2">
        <f>COUNTIFS('OB History S2'!$B:$B,$A$12,'OB History S2'!W:W, 1)</f>
        <v>0</v>
      </c>
      <c r="AC12" s="2">
        <f>COUNTIFS('OB History S2'!$B:$B,$A$12,'OB History S2'!X:X, 1)</f>
        <v>1</v>
      </c>
      <c r="AD12" s="2">
        <f>COUNTIFS('OB History S2'!$B:$B,$A$12,'OB History S2'!Y:Y, 1)</f>
        <v>0</v>
      </c>
      <c r="AE12" s="2">
        <f>COUNTIFS('OB History S2'!$B:$B,$A$12,'OB History S2'!Z:Z, 1)</f>
        <v>1</v>
      </c>
    </row>
    <row r="13" spans="1:31" x14ac:dyDescent="0.25">
      <c r="A13" s="1" t="s">
        <v>153</v>
      </c>
      <c r="B13" s="6" t="s">
        <v>79</v>
      </c>
      <c r="C13" s="2" t="s">
        <v>79</v>
      </c>
      <c r="D13" s="34">
        <f>SUMIFS('OB History S2'!C:C,'OB History S2'!B:B,A13)</f>
        <v>37</v>
      </c>
      <c r="E13" s="4">
        <f>AVERAGEIFS('OB History S2'!C:C,'OB History S2'!B:B,A13)</f>
        <v>18.5</v>
      </c>
      <c r="F13" s="35">
        <f t="array" ref="F13">MAX(IF('OB History S2'!B:B=A13, 'OB History S2'!C:C))</f>
        <v>19</v>
      </c>
      <c r="G13" s="34">
        <f>COUNTIFS('OB History S2'!B:B,A13,'OB History S2'!D:D, 1)</f>
        <v>0</v>
      </c>
      <c r="H13" s="2">
        <f>COUNTIFS('OB History S2'!B:B,A13,'OB History S2'!D:D, 0)</f>
        <v>2</v>
      </c>
      <c r="I13" s="88">
        <f>LOOKUP(2, 1/('OB History S2'!$B:$B=A13), 'OB History S2'!$AD:$AD)</f>
        <v>0</v>
      </c>
      <c r="J13" s="34">
        <f>SUMIFS('OB History S2'!F:F,'OB History S2'!B:B,A13)</f>
        <v>4</v>
      </c>
      <c r="K13" s="2">
        <f>SUMIFS('OB History S2'!E:E,'OB History S2'!B:B,A13)-J13</f>
        <v>6</v>
      </c>
      <c r="L13" s="88">
        <f>LOOKUP(2, 1/('OB History S2'!$B:$B=A13), 'OB History S2'!$AB:$AB)</f>
        <v>0.4</v>
      </c>
      <c r="M13" s="34">
        <f>SUMIFS('OB History S2'!H:H,'OB History S2'!B:B,A13)</f>
        <v>19</v>
      </c>
      <c r="N13" s="2">
        <f>SUMIFS('OB History S2'!G:G,'OB History S2'!B:B,A13)-M13</f>
        <v>24</v>
      </c>
      <c r="O13" s="88">
        <f>LOOKUP(2, 1/('OB History S2'!$B:$B=A13), 'OB History S2'!$AC:$AC)</f>
        <v>0.44</v>
      </c>
      <c r="P13" s="2">
        <f>COUNTIFS('OB History S2'!$B:$B,$A$13,'OB History S2'!K:K, 1)</f>
        <v>0</v>
      </c>
      <c r="Q13" s="2">
        <f>COUNTIFS('OB History S2'!$B:$B,$A$13,'OB History S2'!L:L, 1)</f>
        <v>0</v>
      </c>
      <c r="R13" s="2">
        <f>COUNTIFS('OB History S2'!$B:$B,$A$13,'OB History S2'!M:M, 1)</f>
        <v>1</v>
      </c>
      <c r="S13" s="2">
        <f>COUNTIFS('OB History S2'!$B:$B,$A$13,'OB History S2'!N:N, 1)</f>
        <v>0</v>
      </c>
      <c r="T13" s="2">
        <f>COUNTIFS('OB History S2'!$B:$B,$A$13,'OB History S2'!O:O, 1)</f>
        <v>0</v>
      </c>
      <c r="U13" s="2">
        <f>COUNTIFS('OB History S2'!$B:$B,$A$13,'OB History S2'!P:P, 1)</f>
        <v>1</v>
      </c>
      <c r="V13" s="2">
        <f>COUNTIFS('OB History S2'!$B:$B,$A$13,'OB History S2'!Q:Q, 1)</f>
        <v>1</v>
      </c>
      <c r="W13" s="2">
        <f>COUNTIFS('OB History S2'!$B:$B,$A$13,'OB History S2'!R:R, 1)</f>
        <v>0</v>
      </c>
      <c r="X13" s="2">
        <f>COUNTIFS('OB History S2'!$B:$B,$A$13,'OB History S2'!S:S, 1)</f>
        <v>0</v>
      </c>
      <c r="Y13" s="2">
        <f>COUNTIFS('OB History S2'!$B:$B,$A$13,'OB History S2'!T:T, 1)</f>
        <v>0</v>
      </c>
      <c r="Z13" s="2">
        <f>COUNTIFS('OB History S2'!$B:$B,$A$13,'OB History S2'!U:U, 1)</f>
        <v>0</v>
      </c>
      <c r="AA13" s="2">
        <f>COUNTIFS('OB History S2'!$B:$B,$A$13,'OB History S2'!V:V, 1)</f>
        <v>0</v>
      </c>
      <c r="AB13" s="2">
        <f>COUNTIFS('OB History S2'!$B:$B,$A$13,'OB History S2'!W:W, 1)</f>
        <v>0</v>
      </c>
      <c r="AC13" s="2">
        <f>COUNTIFS('OB History S2'!$B:$B,$A$13,'OB History S2'!X:X, 1)</f>
        <v>1</v>
      </c>
      <c r="AD13" s="2">
        <f>COUNTIFS('OB History S2'!$B:$B,$A$13,'OB History S2'!Y:Y, 1)</f>
        <v>0</v>
      </c>
      <c r="AE13" s="2">
        <f>COUNTIFS('OB History S2'!$B:$B,$A$13,'OB History S2'!Z:Z, 1)</f>
        <v>0</v>
      </c>
    </row>
    <row r="14" spans="1:31" ht="15.75" x14ac:dyDescent="0.25">
      <c r="A14" s="1" t="s">
        <v>45</v>
      </c>
      <c r="B14" s="80" t="s">
        <v>60</v>
      </c>
      <c r="C14" s="2" t="s">
        <v>79</v>
      </c>
      <c r="D14" s="34">
        <f>SUMIFS('OB History S2'!C:C,'OB History S2'!B:B,A14)</f>
        <v>75</v>
      </c>
      <c r="E14" s="4">
        <f>AVERAGEIFS('OB History S2'!C:C,'OB History S2'!B:B,A14)</f>
        <v>15</v>
      </c>
      <c r="F14" s="35">
        <f t="array" ref="F14">MAX(IF('OB History S2'!B:B=A14, 'OB History S2'!C:C))</f>
        <v>26</v>
      </c>
      <c r="G14" s="34">
        <f>COUNTIFS('OB History S2'!B:B,A14,'OB History S2'!D:D, 1)</f>
        <v>3</v>
      </c>
      <c r="H14" s="2">
        <f>COUNTIFS('OB History S2'!B:B,A14,'OB History S2'!D:D, 0)</f>
        <v>2</v>
      </c>
      <c r="I14" s="88">
        <f>LOOKUP(2, 1/('OB History S2'!$B:$B=A14), 'OB History S2'!$AD:$AD)</f>
        <v>0.6</v>
      </c>
      <c r="J14" s="34">
        <f>SUMIFS('OB History S2'!F:F,'OB History S2'!B:B,A14)</f>
        <v>11</v>
      </c>
      <c r="K14" s="2">
        <f>SUMIFS('OB History S2'!E:E,'OB History S2'!B:B,A14)-J14</f>
        <v>10</v>
      </c>
      <c r="L14" s="88">
        <f>LOOKUP(2, 1/('OB History S2'!$B:$B=A14), 'OB History S2'!$AB:$AB)</f>
        <v>0.52</v>
      </c>
      <c r="M14" s="34">
        <f>SUMIFS('OB History S2'!H:H,'OB History S2'!B:B,A14)</f>
        <v>42</v>
      </c>
      <c r="N14" s="2">
        <f>SUMIFS('OB History S2'!G:G,'OB History S2'!B:B,A14)-M14</f>
        <v>39</v>
      </c>
      <c r="O14" s="88">
        <f>LOOKUP(2, 1/('OB History S2'!$B:$B=A14), 'OB History S2'!$AC:$AC)</f>
        <v>0.51</v>
      </c>
      <c r="P14" s="2">
        <f>COUNTIFS('OB History S2'!$B:$B,$A$14,'OB History S2'!K:K, 1)</f>
        <v>1</v>
      </c>
      <c r="Q14" s="2">
        <f>COUNTIFS('OB History S2'!$B:$B,$A$14,'OB History S2'!L:L, 1)</f>
        <v>1</v>
      </c>
      <c r="R14" s="2">
        <f>COUNTIFS('OB History S2'!$B:$B,$A$14,'OB History S2'!M:M, 1)</f>
        <v>1</v>
      </c>
      <c r="S14" s="2">
        <f>COUNTIFS('OB History S2'!$B:$B,$A$14,'OB History S2'!N:N, 1)</f>
        <v>1</v>
      </c>
      <c r="T14" s="2">
        <f>COUNTIFS('OB History S2'!$B:$B,$A$14,'OB History S2'!O:O, 1)</f>
        <v>0</v>
      </c>
      <c r="U14" s="2">
        <f>COUNTIFS('OB History S2'!$B:$B,$A$14,'OB History S2'!P:P, 1)</f>
        <v>1</v>
      </c>
      <c r="V14" s="2">
        <f>COUNTIFS('OB History S2'!$B:$B,$A$14,'OB History S2'!Q:Q, 1)</f>
        <v>0</v>
      </c>
      <c r="W14" s="2">
        <f>COUNTIFS('OB History S2'!$B:$B,$A$14,'OB History S2'!R:R, 1)</f>
        <v>0</v>
      </c>
      <c r="X14" s="2">
        <f>COUNTIFS('OB History S2'!$B:$B,$A$14,'OB History S2'!S:S, 1)</f>
        <v>0</v>
      </c>
      <c r="Y14" s="2">
        <f>COUNTIFS('OB History S2'!$B:$B,$A$14,'OB History S2'!T:T, 1)</f>
        <v>1</v>
      </c>
      <c r="Z14" s="2">
        <f>COUNTIFS('OB History S2'!$B:$B,$A$14,'OB History S2'!U:U, 1)</f>
        <v>0</v>
      </c>
      <c r="AA14" s="2">
        <f>COUNTIFS('OB History S2'!$B:$B,$A$14,'OB History S2'!V:V, 1)</f>
        <v>0</v>
      </c>
      <c r="AB14" s="2">
        <f>COUNTIFS('OB History S2'!$B:$B,$A$14,'OB History S2'!W:W, 1)</f>
        <v>0</v>
      </c>
      <c r="AC14" s="2">
        <f>COUNTIFS('OB History S2'!$B:$B,$A$14,'OB History S2'!X:X, 1)</f>
        <v>1</v>
      </c>
      <c r="AD14" s="2">
        <f>COUNTIFS('OB History S2'!$B:$B,$A$14,'OB History S2'!Y:Y, 1)</f>
        <v>2</v>
      </c>
      <c r="AE14" s="2">
        <f>COUNTIFS('OB History S2'!$B:$B,$A$14,'OB History S2'!Z:Z, 1)</f>
        <v>2</v>
      </c>
    </row>
    <row r="15" spans="1:31" x14ac:dyDescent="0.25">
      <c r="A15" s="2" t="s">
        <v>52</v>
      </c>
      <c r="B15" s="2" t="s">
        <v>79</v>
      </c>
      <c r="C15" s="2" t="s">
        <v>79</v>
      </c>
      <c r="D15" s="34">
        <f>SUMIFS('OB History S2'!C:C,'OB History S2'!B:B,A15)</f>
        <v>34</v>
      </c>
      <c r="E15" s="4">
        <f>AVERAGEIFS('OB History S2'!C:C,'OB History S2'!B:B,A15)</f>
        <v>34</v>
      </c>
      <c r="F15" s="35">
        <f t="array" ref="F15">MAX(IF('OB History S2'!B:B=A15, 'OB History S2'!C:C))</f>
        <v>34</v>
      </c>
      <c r="G15" s="34">
        <f>COUNTIFS('OB History S2'!B:B,A15,'OB History S2'!D:D, 1)</f>
        <v>0</v>
      </c>
      <c r="H15" s="2">
        <f>COUNTIFS('OB History S2'!B:B,A15,'OB History S2'!D:D, 0)</f>
        <v>1</v>
      </c>
      <c r="I15" s="88">
        <f>LOOKUP(2, 1/('OB History S2'!$B:$B=A15), 'OB History S2'!$AD:$AD)</f>
        <v>0</v>
      </c>
      <c r="J15" s="34">
        <f>SUMIFS('OB History S2'!F:F,'OB History S2'!B:B,A15)</f>
        <v>2</v>
      </c>
      <c r="K15" s="2">
        <f>SUMIFS('OB History S2'!E:E,'OB History S2'!B:B,A15)-J15</f>
        <v>3</v>
      </c>
      <c r="L15" s="88">
        <f>LOOKUP(2, 1/('OB History S2'!$B:$B=A15), 'OB History S2'!$AB:$AB)</f>
        <v>0.4</v>
      </c>
      <c r="M15" s="34">
        <f>SUMIFS('OB History S2'!H:H,'OB History S2'!B:B,A15)</f>
        <v>8</v>
      </c>
      <c r="N15" s="2">
        <f>SUMIFS('OB History S2'!G:G,'OB History S2'!B:B,A15)-M15</f>
        <v>13</v>
      </c>
      <c r="O15" s="88">
        <f>LOOKUP(2, 1/('OB History S2'!$B:$B=A15), 'OB History S2'!$AC:$AC)</f>
        <v>0.38</v>
      </c>
      <c r="P15" s="2">
        <f>COUNTIFS('OB History S2'!$B:$B,$A$15,'OB History S2'!K:K, 1)</f>
        <v>0</v>
      </c>
      <c r="Q15" s="2">
        <f>COUNTIFS('OB History S2'!$B:$B,$A$15,'OB History S2'!L:L, 1)</f>
        <v>0</v>
      </c>
      <c r="R15" s="2">
        <f>COUNTIFS('OB History S2'!$B:$B,$A$15,'OB History S2'!M:M, 1)</f>
        <v>0</v>
      </c>
      <c r="S15" s="2">
        <f>COUNTIFS('OB History S2'!$B:$B,$A$15,'OB History S2'!N:N, 1)</f>
        <v>0</v>
      </c>
      <c r="T15" s="2">
        <f>COUNTIFS('OB History S2'!$B:$B,$A$15,'OB History S2'!O:O, 1)</f>
        <v>0</v>
      </c>
      <c r="U15" s="2">
        <f>COUNTIFS('OB History S2'!$B:$B,$A$15,'OB History S2'!P:P, 1)</f>
        <v>1</v>
      </c>
      <c r="V15" s="2">
        <f>COUNTIFS('OB History S2'!$B:$B,$A$15,'OB History S2'!Q:Q, 1)</f>
        <v>0</v>
      </c>
      <c r="W15" s="2">
        <f>COUNTIFS('OB History S2'!$B:$B,$A$15,'OB History S2'!R:R, 1)</f>
        <v>0</v>
      </c>
      <c r="X15" s="2">
        <f>COUNTIFS('OB History S2'!$B:$B,$A$15,'OB History S2'!S:S, 1)</f>
        <v>0</v>
      </c>
      <c r="Y15" s="2">
        <f>COUNTIFS('OB History S2'!$B:$B,$A$15,'OB History S2'!T:T, 1)</f>
        <v>0</v>
      </c>
      <c r="Z15" s="2">
        <f>COUNTIFS('OB History S2'!$B:$B,$A$15,'OB History S2'!U:U, 1)</f>
        <v>0</v>
      </c>
      <c r="AA15" s="2">
        <f>COUNTIFS('OB History S2'!$B:$B,$A$15,'OB History S2'!V:V, 1)</f>
        <v>0</v>
      </c>
      <c r="AB15" s="2">
        <f>COUNTIFS('OB History S2'!$B:$B,$A$15,'OB History S2'!W:W, 1)</f>
        <v>0</v>
      </c>
      <c r="AC15" s="2">
        <f>COUNTIFS('OB History S2'!$B:$B,$A$15,'OB History S2'!X:X, 1)</f>
        <v>1</v>
      </c>
      <c r="AD15" s="2">
        <f>COUNTIFS('OB History S2'!$B:$B,$A$15,'OB History S2'!Y:Y, 1)</f>
        <v>0</v>
      </c>
      <c r="AE15" s="2">
        <f>COUNTIFS('OB History S2'!$B:$B,$A$15,'OB History S2'!Z:Z, 1)</f>
        <v>0</v>
      </c>
    </row>
    <row r="16" spans="1:31" x14ac:dyDescent="0.25">
      <c r="A16" s="1" t="s">
        <v>44</v>
      </c>
      <c r="B16" s="2" t="s">
        <v>79</v>
      </c>
      <c r="C16" s="2" t="s">
        <v>79</v>
      </c>
      <c r="D16" s="34">
        <f>SUMIFS('OB History S2'!C:C,'OB History S2'!B:B,A16)</f>
        <v>28</v>
      </c>
      <c r="E16" s="4">
        <f>AVERAGEIFS('OB History S2'!C:C,'OB History S2'!B:B,A16)</f>
        <v>28</v>
      </c>
      <c r="F16" s="35">
        <f t="array" ref="F16">MAX(IF('OB History S2'!B:B=A16, 'OB History S2'!C:C))</f>
        <v>28</v>
      </c>
      <c r="G16" s="34">
        <f>COUNTIFS('OB History S2'!B:B,A16,'OB History S2'!D:D, 1)</f>
        <v>1</v>
      </c>
      <c r="H16" s="2">
        <f>COUNTIFS('OB History S2'!B:B,A16,'OB History S2'!D:D, 0)</f>
        <v>0</v>
      </c>
      <c r="I16" s="88">
        <f>LOOKUP(2, 1/('OB History S2'!$B:$B=A16), 'OB History S2'!$AD:$AD)</f>
        <v>1</v>
      </c>
      <c r="J16" s="34">
        <f>SUMIFS('OB History S2'!F:F,'OB History S2'!B:B,A16)</f>
        <v>3</v>
      </c>
      <c r="K16" s="2">
        <f>SUMIFS('OB History S2'!E:E,'OB History S2'!B:B,A16)-J16</f>
        <v>2</v>
      </c>
      <c r="L16" s="88">
        <f>LOOKUP(2, 1/('OB History S2'!$B:$B=A16), 'OB History S2'!$AB:$AB)</f>
        <v>0.6</v>
      </c>
      <c r="M16" s="34">
        <f>SUMIFS('OB History S2'!H:H,'OB History S2'!B:B,A16)</f>
        <v>11</v>
      </c>
      <c r="N16" s="2">
        <f>SUMIFS('OB History S2'!G:G,'OB History S2'!B:B,A16)-M16</f>
        <v>10</v>
      </c>
      <c r="O16" s="88">
        <f>LOOKUP(2, 1/('OB History S2'!$B:$B=A16), 'OB History S2'!$AC:$AC)</f>
        <v>0.52</v>
      </c>
      <c r="P16" s="2">
        <f>COUNTIFS('OB History S2'!$B:$B,$A$16,'OB History S2'!K:K, 1)</f>
        <v>0</v>
      </c>
      <c r="Q16" s="2">
        <f>COUNTIFS('OB History S2'!$B:$B,$A$16,'OB History S2'!L:L, 1)</f>
        <v>1</v>
      </c>
      <c r="R16" s="2">
        <f>COUNTIFS('OB History S2'!$B:$B,$A$16,'OB History S2'!M:M, 1)</f>
        <v>0</v>
      </c>
      <c r="S16" s="2">
        <f>COUNTIFS('OB History S2'!$B:$B,$A$16,'OB History S2'!N:N, 1)</f>
        <v>0</v>
      </c>
      <c r="T16" s="2">
        <f>COUNTIFS('OB History S2'!$B:$B,$A$16,'OB History S2'!O:O, 1)</f>
        <v>0</v>
      </c>
      <c r="U16" s="2">
        <f>COUNTIFS('OB History S2'!$B:$B,$A$16,'OB History S2'!P:P, 1)</f>
        <v>0</v>
      </c>
      <c r="V16" s="2">
        <f>COUNTIFS('OB History S2'!$B:$B,$A$16,'OB History S2'!Q:Q, 1)</f>
        <v>0</v>
      </c>
      <c r="W16" s="2">
        <f>COUNTIFS('OB History S2'!$B:$B,$A$16,'OB History S2'!R:R, 1)</f>
        <v>0</v>
      </c>
      <c r="X16" s="2">
        <f>COUNTIFS('OB History S2'!$B:$B,$A$16,'OB History S2'!S:S, 1)</f>
        <v>0</v>
      </c>
      <c r="Y16" s="2">
        <f>COUNTIFS('OB History S2'!$B:$B,$A$16,'OB History S2'!T:T, 1)</f>
        <v>0</v>
      </c>
      <c r="Z16" s="2">
        <f>COUNTIFS('OB History S2'!$B:$B,$A$16,'OB History S2'!U:U, 1)</f>
        <v>0</v>
      </c>
      <c r="AA16" s="2">
        <f>COUNTIFS('OB History S2'!$B:$B,$A$16,'OB History S2'!V:V, 1)</f>
        <v>0</v>
      </c>
      <c r="AB16" s="2">
        <f>COUNTIFS('OB History S2'!$B:$B,$A$16,'OB History S2'!W:W, 1)</f>
        <v>0</v>
      </c>
      <c r="AC16" s="2">
        <f>COUNTIFS('OB History S2'!$B:$B,$A$16,'OB History S2'!X:X, 1)</f>
        <v>1</v>
      </c>
      <c r="AD16" s="2">
        <f>COUNTIFS('OB History S2'!$B:$B,$A$16,'OB History S2'!Y:Y, 1)</f>
        <v>1</v>
      </c>
      <c r="AE16" s="2">
        <f>COUNTIFS('OB History S2'!$B:$B,$A$16,'OB History S2'!Z:Z, 1)</f>
        <v>0</v>
      </c>
    </row>
    <row r="17" spans="1:31" x14ac:dyDescent="0.25">
      <c r="A17" s="2" t="s">
        <v>1</v>
      </c>
      <c r="B17" s="6" t="s">
        <v>124</v>
      </c>
      <c r="C17" s="2" t="s">
        <v>79</v>
      </c>
      <c r="D17" s="34">
        <f>SUMIFS('OB History S2'!C:C,'OB History S2'!B:B,A17)</f>
        <v>39</v>
      </c>
      <c r="E17" s="4">
        <f>AVERAGEIFS('OB History S2'!C:C,'OB History S2'!B:B,A17)</f>
        <v>13</v>
      </c>
      <c r="F17" s="35">
        <f t="array" ref="F17">MAX(IF('OB History S2'!B:B=A17, 'OB History S2'!C:C))</f>
        <v>14</v>
      </c>
      <c r="G17" s="34">
        <f>COUNTIFS('OB History S2'!B:B,A17,'OB History S2'!D:D, 1)</f>
        <v>0</v>
      </c>
      <c r="H17" s="2">
        <f>COUNTIFS('OB History S2'!B:B,A17,'OB History S2'!D:D, 0)</f>
        <v>3</v>
      </c>
      <c r="I17" s="88">
        <f>LOOKUP(2, 1/('OB History S2'!$B:$B=A17), 'OB History S2'!$AD:$AD)</f>
        <v>0</v>
      </c>
      <c r="J17" s="34">
        <f>SUMIFS('OB History S2'!F:F,'OB History S2'!B:B,A17)</f>
        <v>3</v>
      </c>
      <c r="K17" s="2">
        <f>SUMIFS('OB History S2'!E:E,'OB History S2'!B:B,A17)-J17</f>
        <v>9</v>
      </c>
      <c r="L17" s="88">
        <f>LOOKUP(2, 1/('OB History S2'!$B:$B=A17), 'OB History S2'!$AB:$AB)</f>
        <v>0.21666666666666667</v>
      </c>
      <c r="M17" s="34">
        <f>SUMIFS('OB History S2'!H:H,'OB History S2'!B:B,A17)</f>
        <v>13</v>
      </c>
      <c r="N17" s="2">
        <f>SUMIFS('OB History S2'!G:G,'OB History S2'!B:B,A17)-M17</f>
        <v>29</v>
      </c>
      <c r="O17" s="88">
        <f>LOOKUP(2, 1/('OB History S2'!$B:$B=A17), 'OB History S2'!$AC:$AC)</f>
        <v>0.29666666666666669</v>
      </c>
      <c r="P17" s="2">
        <f>COUNTIFS('OB History S2'!$B:$B,$A$17,'OB History S2'!K:K, 1)</f>
        <v>0</v>
      </c>
      <c r="Q17" s="2">
        <f>COUNTIFS('OB History S2'!$B:$B,$A$17,'OB History S2'!L:L, 1)</f>
        <v>0</v>
      </c>
      <c r="R17" s="2">
        <f>COUNTIFS('OB History S2'!$B:$B,$A$17,'OB History S2'!M:M, 1)</f>
        <v>0</v>
      </c>
      <c r="S17" s="2">
        <f>COUNTIFS('OB History S2'!$B:$B,$A$17,'OB History S2'!N:N, 1)</f>
        <v>1</v>
      </c>
      <c r="T17" s="2">
        <f>COUNTIFS('OB History S2'!$B:$B,$A$17,'OB History S2'!O:O, 1)</f>
        <v>0</v>
      </c>
      <c r="U17" s="2">
        <f>COUNTIFS('OB History S2'!$B:$B,$A$17,'OB History S2'!P:P, 1)</f>
        <v>0</v>
      </c>
      <c r="V17" s="2">
        <f>COUNTIFS('OB History S2'!$B:$B,$A$17,'OB History S2'!Q:Q, 1)</f>
        <v>0</v>
      </c>
      <c r="W17" s="2">
        <f>COUNTIFS('OB History S2'!$B:$B,$A$17,'OB History S2'!R:R, 1)</f>
        <v>0</v>
      </c>
      <c r="X17" s="2">
        <f>COUNTIFS('OB History S2'!$B:$B,$A$17,'OB History S2'!S:S, 1)</f>
        <v>0</v>
      </c>
      <c r="Y17" s="2">
        <f>COUNTIFS('OB History S2'!$B:$B,$A$17,'OB History S2'!T:T, 1)</f>
        <v>0</v>
      </c>
      <c r="Z17" s="2">
        <f>COUNTIFS('OB History S2'!$B:$B,$A$17,'OB History S2'!U:U, 1)</f>
        <v>0</v>
      </c>
      <c r="AA17" s="2">
        <f>COUNTIFS('OB History S2'!$B:$B,$A$17,'OB History S2'!V:V, 1)</f>
        <v>0</v>
      </c>
      <c r="AB17" s="2">
        <f>COUNTIFS('OB History S2'!$B:$B,$A$17,'OB History S2'!W:W, 1)</f>
        <v>1</v>
      </c>
      <c r="AC17" s="2">
        <f>COUNTIFS('OB History S2'!$B:$B,$A$17,'OB History S2'!X:X, 1)</f>
        <v>0</v>
      </c>
      <c r="AD17" s="2">
        <f>COUNTIFS('OB History S2'!$B:$B,$A$17,'OB History S2'!Y:Y, 1)</f>
        <v>1</v>
      </c>
      <c r="AE17" s="2">
        <f>COUNTIFS('OB History S2'!$B:$B,$A$17,'OB History S2'!Z:Z, 1)</f>
        <v>0</v>
      </c>
    </row>
    <row r="18" spans="1:31" x14ac:dyDescent="0.25">
      <c r="A18" s="1" t="s">
        <v>151</v>
      </c>
      <c r="B18" s="2" t="s">
        <v>79</v>
      </c>
      <c r="C18" s="2" t="s">
        <v>79</v>
      </c>
      <c r="D18" s="34">
        <f>SUMIFS('OB History S2'!C:C,'OB History S2'!B:B,A18)</f>
        <v>38</v>
      </c>
      <c r="E18" s="4">
        <f>AVERAGEIFS('OB History S2'!C:C,'OB History S2'!B:B,A18)</f>
        <v>12.666666666666666</v>
      </c>
      <c r="F18" s="35">
        <f t="array" ref="F18">MAX(IF('OB History S2'!B:B=A18, 'OB History S2'!C:C))</f>
        <v>15</v>
      </c>
      <c r="G18" s="34">
        <f>COUNTIFS('OB History S2'!B:B,A18,'OB History S2'!D:D, 1)</f>
        <v>3</v>
      </c>
      <c r="H18" s="2">
        <f>COUNTIFS('OB History S2'!B:B,A18,'OB History S2'!D:D, 0)</f>
        <v>0</v>
      </c>
      <c r="I18" s="88">
        <f>LOOKUP(2, 1/('OB History S2'!$B:$B=A18), 'OB History S2'!$AD:$AD)</f>
        <v>1</v>
      </c>
      <c r="J18" s="34">
        <f>SUMIFS('OB History S2'!F:F,'OB History S2'!B:B,A18)</f>
        <v>9</v>
      </c>
      <c r="K18" s="2">
        <f>SUMIFS('OB History S2'!E:E,'OB History S2'!B:B,A18)-J18</f>
        <v>4</v>
      </c>
      <c r="L18" s="88">
        <f>LOOKUP(2, 1/('OB History S2'!$B:$B=A18), 'OB History S2'!$AB:$AB)</f>
        <v>0.70000000000000007</v>
      </c>
      <c r="M18" s="34">
        <f>SUMIFS('OB History S2'!H:H,'OB History S2'!B:B,A18)</f>
        <v>31</v>
      </c>
      <c r="N18" s="2">
        <f>SUMIFS('OB History S2'!G:G,'OB History S2'!B:B,A18)-M18</f>
        <v>15</v>
      </c>
      <c r="O18" s="88">
        <f>LOOKUP(2, 1/('OB History S2'!$B:$B=A18), 'OB History S2'!$AC:$AC)</f>
        <v>0.67333333333333334</v>
      </c>
      <c r="P18" s="2">
        <f>COUNTIFS('OB History S2'!$B:$B,$A$18,'OB History S2'!K:K, 1)</f>
        <v>0</v>
      </c>
      <c r="Q18" s="2">
        <f>COUNTIFS('OB History S2'!$B:$B,$A$18,'OB History S2'!L:L, 1)</f>
        <v>0</v>
      </c>
      <c r="R18" s="2">
        <f>COUNTIFS('OB History S2'!$B:$B,$A$18,'OB History S2'!M:M, 1)</f>
        <v>0</v>
      </c>
      <c r="S18" s="2">
        <f>COUNTIFS('OB History S2'!$B:$B,$A$18,'OB History S2'!N:N, 1)</f>
        <v>1</v>
      </c>
      <c r="T18" s="2">
        <f>COUNTIFS('OB History S2'!$B:$B,$A$18,'OB History S2'!O:O, 1)</f>
        <v>0</v>
      </c>
      <c r="U18" s="2">
        <f>COUNTIFS('OB History S2'!$B:$B,$A$18,'OB History S2'!P:P, 1)</f>
        <v>1</v>
      </c>
      <c r="V18" s="2">
        <f>COUNTIFS('OB History S2'!$B:$B,$A$18,'OB History S2'!Q:Q, 1)</f>
        <v>0</v>
      </c>
      <c r="W18" s="2">
        <f>COUNTIFS('OB History S2'!$B:$B,$A$18,'OB History S2'!R:R, 1)</f>
        <v>1</v>
      </c>
      <c r="X18" s="2">
        <f>COUNTIFS('OB History S2'!$B:$B,$A$18,'OB History S2'!S:S, 1)</f>
        <v>0</v>
      </c>
      <c r="Y18" s="2">
        <f>COUNTIFS('OB History S2'!$B:$B,$A$18,'OB History S2'!T:T, 1)</f>
        <v>0</v>
      </c>
      <c r="Z18" s="2">
        <f>COUNTIFS('OB History S2'!$B:$B,$A$18,'OB History S2'!U:U, 1)</f>
        <v>1</v>
      </c>
      <c r="AA18" s="2">
        <f>COUNTIFS('OB History S2'!$B:$B,$A$18,'OB History S2'!V:V, 1)</f>
        <v>0</v>
      </c>
      <c r="AB18" s="2">
        <f>COUNTIFS('OB History S2'!$B:$B,$A$18,'OB History S2'!W:W, 1)</f>
        <v>1</v>
      </c>
      <c r="AC18" s="2">
        <f>COUNTIFS('OB History S2'!$B:$B,$A$18,'OB History S2'!X:X, 1)</f>
        <v>2</v>
      </c>
      <c r="AD18" s="2">
        <f>COUNTIFS('OB History S2'!$B:$B,$A$18,'OB History S2'!Y:Y, 1)</f>
        <v>2</v>
      </c>
      <c r="AE18" s="2">
        <f>COUNTIFS('OB History S2'!$B:$B,$A$18,'OB History S2'!Z:Z, 1)</f>
        <v>0</v>
      </c>
    </row>
    <row r="19" spans="1:31" x14ac:dyDescent="0.25">
      <c r="A19" s="2" t="s">
        <v>29</v>
      </c>
      <c r="B19" s="6" t="s">
        <v>157</v>
      </c>
      <c r="C19" s="2" t="s">
        <v>79</v>
      </c>
      <c r="D19" s="34">
        <f>SUMIFS('OB History S2'!C:C,'OB History S2'!B:B,A19)</f>
        <v>89</v>
      </c>
      <c r="E19" s="4">
        <f>AVERAGEIFS('OB History S2'!C:C,'OB History S2'!B:B,A19)</f>
        <v>12.714285714285714</v>
      </c>
      <c r="F19" s="35">
        <f t="array" ref="F19">MAX(IF('OB History S2'!B:B=A19, 'OB History S2'!C:C))</f>
        <v>20</v>
      </c>
      <c r="G19" s="34">
        <f>COUNTIFS('OB History S2'!B:B,A19,'OB History S2'!D:D, 1)</f>
        <v>2</v>
      </c>
      <c r="H19" s="2">
        <f>COUNTIFS('OB History S2'!B:B,A19,'OB History S2'!D:D, 0)</f>
        <v>5</v>
      </c>
      <c r="I19" s="88">
        <f>LOOKUP(2, 1/('OB History S2'!$B:$B=A19), 'OB History S2'!$AD:$AD)</f>
        <v>0.2857142857142857</v>
      </c>
      <c r="J19" s="34">
        <f>SUMIFS('OB History S2'!F:F,'OB History S2'!B:B,A19)</f>
        <v>12</v>
      </c>
      <c r="K19" s="2">
        <f>SUMIFS('OB History S2'!E:E,'OB History S2'!B:B,A19)-J19</f>
        <v>16</v>
      </c>
      <c r="L19" s="88">
        <f>LOOKUP(2, 1/('OB History S2'!$B:$B=A19), 'OB History S2'!$AB:$AB)</f>
        <v>0.43571428571428567</v>
      </c>
      <c r="M19" s="34">
        <f>SUMIFS('OB History S2'!H:H,'OB History S2'!B:B,A19)</f>
        <v>49</v>
      </c>
      <c r="N19" s="2">
        <f>SUMIFS('OB History S2'!G:G,'OB History S2'!B:B,A19)-M19</f>
        <v>58</v>
      </c>
      <c r="O19" s="88">
        <f>LOOKUP(2, 1/('OB History S2'!$B:$B=A19), 'OB History S2'!$AC:$AC)</f>
        <v>0.47285714285714286</v>
      </c>
      <c r="P19" s="2">
        <f>COUNTIFS('OB History S2'!$B:$B,$A$19,'OB History S2'!K:K, 1)</f>
        <v>1</v>
      </c>
      <c r="Q19" s="2">
        <f>COUNTIFS('OB History S2'!$B:$B,$A$19,'OB History S2'!L:L, 1)</f>
        <v>1</v>
      </c>
      <c r="R19" s="2">
        <f>COUNTIFS('OB History S2'!$B:$B,$A$19,'OB History S2'!M:M, 1)</f>
        <v>0</v>
      </c>
      <c r="S19" s="2">
        <f>COUNTIFS('OB History S2'!$B:$B,$A$19,'OB History S2'!N:N, 1)</f>
        <v>1</v>
      </c>
      <c r="T19" s="2">
        <f>COUNTIFS('OB History S2'!$B:$B,$A$19,'OB History S2'!O:O, 1)</f>
        <v>0</v>
      </c>
      <c r="U19" s="2">
        <f>COUNTIFS('OB History S2'!$B:$B,$A$19,'OB History S2'!P:P, 1)</f>
        <v>1</v>
      </c>
      <c r="V19" s="2">
        <f>COUNTIFS('OB History S2'!$B:$B,$A$19,'OB History S2'!Q:Q, 1)</f>
        <v>0</v>
      </c>
      <c r="W19" s="2">
        <f>COUNTIFS('OB History S2'!$B:$B,$A$19,'OB History S2'!R:R, 1)</f>
        <v>0</v>
      </c>
      <c r="X19" s="2">
        <f>COUNTIFS('OB History S2'!$B:$B,$A$19,'OB History S2'!S:S, 1)</f>
        <v>0</v>
      </c>
      <c r="Y19" s="2">
        <f>COUNTIFS('OB History S2'!$B:$B,$A$19,'OB History S2'!T:T, 1)</f>
        <v>0</v>
      </c>
      <c r="Z19" s="2">
        <f>COUNTIFS('OB History S2'!$B:$B,$A$19,'OB History S2'!U:U, 1)</f>
        <v>0</v>
      </c>
      <c r="AA19" s="2">
        <f>COUNTIFS('OB History S2'!$B:$B,$A$19,'OB History S2'!V:V, 1)</f>
        <v>0</v>
      </c>
      <c r="AB19" s="2">
        <f>COUNTIFS('OB History S2'!$B:$B,$A$19,'OB History S2'!W:W, 1)</f>
        <v>3</v>
      </c>
      <c r="AC19" s="2">
        <f>COUNTIFS('OB History S2'!$B:$B,$A$19,'OB History S2'!X:X, 1)</f>
        <v>3</v>
      </c>
      <c r="AD19" s="2">
        <f>COUNTIFS('OB History S2'!$B:$B,$A$19,'OB History S2'!Y:Y, 1)</f>
        <v>2</v>
      </c>
      <c r="AE19" s="2">
        <f>COUNTIFS('OB History S2'!$B:$B,$A$19,'OB History S2'!Z:Z, 1)</f>
        <v>0</v>
      </c>
    </row>
    <row r="20" spans="1:31" x14ac:dyDescent="0.25">
      <c r="A20" s="2" t="s">
        <v>28</v>
      </c>
      <c r="B20" s="6" t="s">
        <v>60</v>
      </c>
      <c r="C20" s="2" t="s">
        <v>79</v>
      </c>
      <c r="D20" s="34">
        <f>SUMIFS('OB History S2'!C:C,'OB History S2'!B:B,A20)</f>
        <v>18</v>
      </c>
      <c r="E20" s="4">
        <f>AVERAGEIFS('OB History S2'!C:C,'OB History S2'!B:B,A20)</f>
        <v>9</v>
      </c>
      <c r="F20" s="35">
        <f t="array" ref="F20">MAX(IF('OB History S2'!B:B=A20, 'OB History S2'!C:C))</f>
        <v>16</v>
      </c>
      <c r="G20" s="34">
        <f>COUNTIFS('OB History S2'!B:B,A20,'OB History S2'!D:D, 1)</f>
        <v>1</v>
      </c>
      <c r="H20" s="2">
        <f>COUNTIFS('OB History S2'!B:B,A20,'OB History S2'!D:D, 0)</f>
        <v>1</v>
      </c>
      <c r="I20" s="88">
        <f>LOOKUP(2, 1/('OB History S2'!$B:$B=A20), 'OB History S2'!$AD:$AD)</f>
        <v>0.5</v>
      </c>
      <c r="J20" s="34">
        <f>SUMIFS('OB History S2'!F:F,'OB History S2'!B:B,A20)</f>
        <v>4</v>
      </c>
      <c r="K20" s="2">
        <f>SUMIFS('OB History S2'!E:E,'OB History S2'!B:B,A20)-J20</f>
        <v>4</v>
      </c>
      <c r="L20" s="88">
        <f>LOOKUP(2, 1/('OB History S2'!$B:$B=A20), 'OB History S2'!$AB:$AB)</f>
        <v>0.5</v>
      </c>
      <c r="M20" s="34">
        <f>SUMIFS('OB History S2'!H:H,'OB History S2'!B:B,A20)</f>
        <v>15</v>
      </c>
      <c r="N20" s="2">
        <f>SUMIFS('OB History S2'!G:G,'OB History S2'!B:B,A20)-M20</f>
        <v>15</v>
      </c>
      <c r="O20" s="88">
        <f>LOOKUP(2, 1/('OB History S2'!$B:$B=A20), 'OB History S2'!$AC:$AC)</f>
        <v>0.51</v>
      </c>
      <c r="P20" s="2">
        <f>COUNTIFS('OB History S2'!$B:$B,$A$20,'OB History S2'!K:K, 1)</f>
        <v>0</v>
      </c>
      <c r="Q20" s="2">
        <f>COUNTIFS('OB History S2'!$B:$B,$A$20,'OB History S2'!L:L, 1)</f>
        <v>1</v>
      </c>
      <c r="R20" s="2">
        <f>COUNTIFS('OB History S2'!$B:$B,$A$20,'OB History S2'!M:M, 1)</f>
        <v>0</v>
      </c>
      <c r="S20" s="2">
        <f>COUNTIFS('OB History S2'!$B:$B,$A$20,'OB History S2'!N:N, 1)</f>
        <v>0</v>
      </c>
      <c r="T20" s="2">
        <f>COUNTIFS('OB History S2'!$B:$B,$A$20,'OB History S2'!O:O, 1)</f>
        <v>0</v>
      </c>
      <c r="U20" s="2">
        <f>COUNTIFS('OB History S2'!$B:$B,$A$20,'OB History S2'!P:P, 1)</f>
        <v>0</v>
      </c>
      <c r="V20" s="2">
        <f>COUNTIFS('OB History S2'!$B:$B,$A$20,'OB History S2'!Q:Q, 1)</f>
        <v>1</v>
      </c>
      <c r="W20" s="2">
        <f>COUNTIFS('OB History S2'!$B:$B,$A$20,'OB History S2'!R:R, 1)</f>
        <v>0</v>
      </c>
      <c r="X20" s="2">
        <f>COUNTIFS('OB History S2'!$B:$B,$A$20,'OB History S2'!S:S, 1)</f>
        <v>0</v>
      </c>
      <c r="Y20" s="2">
        <f>COUNTIFS('OB History S2'!$B:$B,$A$20,'OB History S2'!T:T, 1)</f>
        <v>0</v>
      </c>
      <c r="Z20" s="2">
        <f>COUNTIFS('OB History S2'!$B:$B,$A$20,'OB History S2'!U:U, 1)</f>
        <v>0</v>
      </c>
      <c r="AA20" s="2">
        <f>COUNTIFS('OB History S2'!$B:$B,$A$20,'OB History S2'!V:V, 1)</f>
        <v>0</v>
      </c>
      <c r="AB20" s="2">
        <f>COUNTIFS('OB History S2'!$B:$B,$A$20,'OB History S2'!W:W, 1)</f>
        <v>0</v>
      </c>
      <c r="AC20" s="2">
        <f>COUNTIFS('OB History S2'!$B:$B,$A$20,'OB History S2'!X:X, 1)</f>
        <v>2</v>
      </c>
      <c r="AD20" s="2">
        <f>COUNTIFS('OB History S2'!$B:$B,$A$20,'OB History S2'!Y:Y, 1)</f>
        <v>0</v>
      </c>
      <c r="AE20" s="2">
        <f>COUNTIFS('OB History S2'!$B:$B,$A$20,'OB History S2'!Z:Z, 1)</f>
        <v>0</v>
      </c>
    </row>
    <row r="21" spans="1:31" x14ac:dyDescent="0.25">
      <c r="A21" s="2" t="s">
        <v>140</v>
      </c>
      <c r="B21" s="6" t="s">
        <v>79</v>
      </c>
      <c r="C21" s="2" t="s">
        <v>79</v>
      </c>
      <c r="D21" s="34">
        <f>SUMIFS('OB History S2'!C:C,'OB History S2'!B:B,A21)</f>
        <v>57</v>
      </c>
      <c r="E21" s="4">
        <f>AVERAGEIFS('OB History S2'!C:C,'OB History S2'!B:B,A21)</f>
        <v>9.5</v>
      </c>
      <c r="F21" s="35">
        <f t="array" ref="F21">MAX(IF('OB History S2'!B:B=A21, 'OB History S2'!C:C))</f>
        <v>17</v>
      </c>
      <c r="G21" s="34">
        <f>COUNTIFS('OB History S2'!B:B,A21,'OB History S2'!D:D, 1)</f>
        <v>4</v>
      </c>
      <c r="H21" s="2">
        <f>COUNTIFS('OB History S2'!B:B,A21,'OB History S2'!D:D, 0)</f>
        <v>2</v>
      </c>
      <c r="I21" s="88">
        <f>LOOKUP(2, 1/('OB History S2'!$B:$B=A21), 'OB History S2'!$AD:$AD)</f>
        <v>0.66666666666666663</v>
      </c>
      <c r="J21" s="34">
        <f>SUMIFS('OB History S2'!F:F,'OB History S2'!B:B,A21)</f>
        <v>14</v>
      </c>
      <c r="K21" s="2">
        <f>SUMIFS('OB History S2'!E:E,'OB History S2'!B:B,A21)-J21</f>
        <v>11</v>
      </c>
      <c r="L21" s="88">
        <f>LOOKUP(2, 1/('OB History S2'!$B:$B=A21), 'OB History S2'!$AB:$AB)</f>
        <v>0.55833333333333335</v>
      </c>
      <c r="M21" s="34">
        <f>SUMIFS('OB History S2'!H:H,'OB History S2'!B:B,A21)</f>
        <v>49</v>
      </c>
      <c r="N21" s="2">
        <f>SUMIFS('OB History S2'!G:G,'OB History S2'!B:B,A21)-M21</f>
        <v>42</v>
      </c>
      <c r="O21" s="88">
        <f>LOOKUP(2, 1/('OB History S2'!$B:$B=A21), 'OB History S2'!$AC:$AC)</f>
        <v>0.53666666666666674</v>
      </c>
      <c r="P21" s="2">
        <f>COUNTIFS('OB History S2'!$B:$B,$A$21,'OB History S2'!K:K, 1)</f>
        <v>1</v>
      </c>
      <c r="Q21" s="2">
        <f>COUNTIFS('OB History S2'!$B:$B,$A$21,'OB History S2'!L:L, 1)</f>
        <v>2</v>
      </c>
      <c r="R21" s="2">
        <f>COUNTIFS('OB History S2'!$B:$B,$A$21,'OB History S2'!M:M, 1)</f>
        <v>0</v>
      </c>
      <c r="S21" s="2">
        <f>COUNTIFS('OB History S2'!$B:$B,$A$21,'OB History S2'!N:N, 1)</f>
        <v>1</v>
      </c>
      <c r="T21" s="2">
        <f>COUNTIFS('OB History S2'!$B:$B,$A$21,'OB History S2'!O:O, 1)</f>
        <v>0</v>
      </c>
      <c r="U21" s="2">
        <f>COUNTIFS('OB History S2'!$B:$B,$A$21,'OB History S2'!P:P, 1)</f>
        <v>1</v>
      </c>
      <c r="V21" s="2">
        <f>COUNTIFS('OB History S2'!$B:$B,$A$21,'OB History S2'!Q:Q, 1)</f>
        <v>1</v>
      </c>
      <c r="W21" s="2">
        <f>COUNTIFS('OB History S2'!$B:$B,$A$21,'OB History S2'!R:R, 1)</f>
        <v>1</v>
      </c>
      <c r="X21" s="2">
        <f>COUNTIFS('OB History S2'!$B:$B,$A$21,'OB History S2'!S:S, 1)</f>
        <v>0</v>
      </c>
      <c r="Y21" s="2">
        <f>COUNTIFS('OB History S2'!$B:$B,$A$21,'OB History S2'!T:T, 1)</f>
        <v>0</v>
      </c>
      <c r="Z21" s="2">
        <f>COUNTIFS('OB History S2'!$B:$B,$A$21,'OB History S2'!U:U, 1)</f>
        <v>0</v>
      </c>
      <c r="AA21" s="2">
        <f>COUNTIFS('OB History S2'!$B:$B,$A$21,'OB History S2'!V:V, 1)</f>
        <v>0</v>
      </c>
      <c r="AB21" s="2">
        <f>COUNTIFS('OB History S2'!$B:$B,$A$21,'OB History S2'!W:W, 1)</f>
        <v>0</v>
      </c>
      <c r="AC21" s="2">
        <f>COUNTIFS('OB History S2'!$B:$B,$A$21,'OB History S2'!X:X, 1)</f>
        <v>3</v>
      </c>
      <c r="AD21" s="2">
        <f>COUNTIFS('OB History S2'!$B:$B,$A$21,'OB History S2'!Y:Y, 1)</f>
        <v>2</v>
      </c>
      <c r="AE21" s="2">
        <f>COUNTIFS('OB History S2'!$B:$B,$A$21,'OB History S2'!Z:Z, 1)</f>
        <v>2</v>
      </c>
    </row>
    <row r="22" spans="1:31" ht="15.75" x14ac:dyDescent="0.25">
      <c r="A22" s="2" t="s">
        <v>20</v>
      </c>
      <c r="B22" s="80" t="s">
        <v>60</v>
      </c>
      <c r="C22" s="2" t="s">
        <v>79</v>
      </c>
      <c r="D22" s="34">
        <f>SUMIFS('OB History S2'!C:C,'OB History S2'!B:B,A22)</f>
        <v>30</v>
      </c>
      <c r="E22" s="4">
        <f>AVERAGEIFS('OB History S2'!C:C,'OB History S2'!B:B,A22)</f>
        <v>10</v>
      </c>
      <c r="F22" s="35">
        <f t="array" ref="F22">MAX(IF('OB History S2'!B:B=A22, 'OB History S2'!C:C))</f>
        <v>10</v>
      </c>
      <c r="G22" s="34">
        <f>COUNTIFS('OB History S2'!B:B,A22,'OB History S2'!D:D, 1)</f>
        <v>2</v>
      </c>
      <c r="H22" s="2">
        <f>COUNTIFS('OB History S2'!B:B,A22,'OB History S2'!D:D, 0)</f>
        <v>1</v>
      </c>
      <c r="I22" s="88">
        <f>LOOKUP(2, 1/('OB History S2'!$B:$B=A22), 'OB History S2'!$AD:$AD)</f>
        <v>0.66666666666666663</v>
      </c>
      <c r="J22" s="34">
        <f>SUMIFS('OB History S2'!F:F,'OB History S2'!B:B,A22)</f>
        <v>6</v>
      </c>
      <c r="K22" s="2">
        <f>SUMIFS('OB History S2'!E:E,'OB History S2'!B:B,A22)-J22</f>
        <v>5</v>
      </c>
      <c r="L22" s="88">
        <f>LOOKUP(2, 1/('OB History S2'!$B:$B=A22), 'OB History S2'!$AB:$AB)</f>
        <v>0.5</v>
      </c>
      <c r="M22" s="34">
        <f>SUMIFS('OB History S2'!H:H,'OB History S2'!B:B,A22)</f>
        <v>24</v>
      </c>
      <c r="N22" s="2">
        <f>SUMIFS('OB History S2'!G:G,'OB History S2'!B:B,A22)-M22</f>
        <v>20</v>
      </c>
      <c r="O22" s="88">
        <f>LOOKUP(2, 1/('OB History S2'!$B:$B=A22), 'OB History S2'!$AC:$AC)</f>
        <v>0.53666666666666663</v>
      </c>
      <c r="P22" s="2">
        <f>COUNTIFS('OB History S2'!$B:$B,$A$22,'OB History S2'!K:K, 1)</f>
        <v>1</v>
      </c>
      <c r="Q22" s="2">
        <f>COUNTIFS('OB History S2'!$B:$B,$A$22,'OB History S2'!L:L, 1)</f>
        <v>1</v>
      </c>
      <c r="R22" s="2">
        <f>COUNTIFS('OB History S2'!$B:$B,$A$22,'OB History S2'!M:M, 1)</f>
        <v>0</v>
      </c>
      <c r="S22" s="2">
        <f>COUNTIFS('OB History S2'!$B:$B,$A$22,'OB History S2'!N:N, 1)</f>
        <v>1</v>
      </c>
      <c r="T22" s="2">
        <f>COUNTIFS('OB History S2'!$B:$B,$A$22,'OB History S2'!O:O, 1)</f>
        <v>0</v>
      </c>
      <c r="U22" s="2">
        <f>COUNTIFS('OB History S2'!$B:$B,$A$22,'OB History S2'!P:P, 1)</f>
        <v>1</v>
      </c>
      <c r="V22" s="2">
        <f>COUNTIFS('OB History S2'!$B:$B,$A$22,'OB History S2'!Q:Q, 1)</f>
        <v>0</v>
      </c>
      <c r="W22" s="2">
        <f>COUNTIFS('OB History S2'!$B:$B,$A$22,'OB History S2'!R:R, 1)</f>
        <v>0</v>
      </c>
      <c r="X22" s="2">
        <f>COUNTIFS('OB History S2'!$B:$B,$A$22,'OB History S2'!S:S, 1)</f>
        <v>0</v>
      </c>
      <c r="Y22" s="2">
        <f>COUNTIFS('OB History S2'!$B:$B,$A$22,'OB History S2'!T:T, 1)</f>
        <v>0</v>
      </c>
      <c r="Z22" s="2">
        <f>COUNTIFS('OB History S2'!$B:$B,$A$22,'OB History S2'!U:U, 1)</f>
        <v>0</v>
      </c>
      <c r="AA22" s="2">
        <f>COUNTIFS('OB History S2'!$B:$B,$A$22,'OB History S2'!V:V, 1)</f>
        <v>0</v>
      </c>
      <c r="AB22" s="2">
        <f>COUNTIFS('OB History S2'!$B:$B,$A$22,'OB History S2'!W:W, 1)</f>
        <v>0</v>
      </c>
      <c r="AC22" s="2">
        <f>COUNTIFS('OB History S2'!$B:$B,$A$22,'OB History S2'!X:X, 1)</f>
        <v>0</v>
      </c>
      <c r="AD22" s="2">
        <f>COUNTIFS('OB History S2'!$B:$B,$A$22,'OB History S2'!Y:Y, 1)</f>
        <v>1</v>
      </c>
      <c r="AE22" s="2">
        <f>COUNTIFS('OB History S2'!$B:$B,$A$22,'OB History S2'!Z:Z, 1)</f>
        <v>1</v>
      </c>
    </row>
    <row r="23" spans="1:31" x14ac:dyDescent="0.25">
      <c r="A23" s="1" t="s">
        <v>47</v>
      </c>
      <c r="B23" s="2" t="s">
        <v>79</v>
      </c>
      <c r="C23" s="2" t="s">
        <v>79</v>
      </c>
      <c r="D23" s="34">
        <f>SUMIFS('OB History S2'!C:C,'OB History S2'!B:B,A23)</f>
        <v>9</v>
      </c>
      <c r="E23" s="4">
        <f>AVERAGEIFS('OB History S2'!C:C,'OB History S2'!B:B,A23)</f>
        <v>9</v>
      </c>
      <c r="F23" s="35">
        <f t="array" ref="F23">MAX(IF('OB History S2'!B:B=A23, 'OB History S2'!C:C))</f>
        <v>9</v>
      </c>
      <c r="G23" s="34">
        <f>COUNTIFS('OB History S2'!B:B,A23,'OB History S2'!D:D, 1)</f>
        <v>0</v>
      </c>
      <c r="H23" s="2">
        <f>COUNTIFS('OB History S2'!B:B,A23,'OB History S2'!D:D, 0)</f>
        <v>1</v>
      </c>
      <c r="I23" s="88">
        <f>LOOKUP(2, 1/('OB History S2'!$B:$B=A23), 'OB History S2'!$AD:$AD)</f>
        <v>0</v>
      </c>
      <c r="J23" s="34">
        <f>SUMIFS('OB History S2'!F:F,'OB History S2'!B:B,A23)</f>
        <v>2</v>
      </c>
      <c r="K23" s="2">
        <f>SUMIFS('OB History S2'!E:E,'OB History S2'!B:B,A23)-J23</f>
        <v>3</v>
      </c>
      <c r="L23" s="88">
        <f>LOOKUP(2, 1/('OB History S2'!$B:$B=A23), 'OB History S2'!$AB:$AB)</f>
        <v>0.4</v>
      </c>
      <c r="M23" s="34">
        <f>SUMIFS('OB History S2'!H:H,'OB History S2'!B:B,A23)</f>
        <v>10</v>
      </c>
      <c r="N23" s="2">
        <f>SUMIFS('OB History S2'!G:G,'OB History S2'!B:B,A23)-M23</f>
        <v>11</v>
      </c>
      <c r="O23" s="88">
        <f>LOOKUP(2, 1/('OB History S2'!$B:$B=A23), 'OB History S2'!$AC:$AC)</f>
        <v>0.48</v>
      </c>
      <c r="P23" s="2">
        <f>COUNTIFS('OB History S2'!$B:$B,$A$23,'OB History S2'!K:K, 1)</f>
        <v>1</v>
      </c>
      <c r="Q23" s="2">
        <f>COUNTIFS('OB History S2'!$B:$B,$A$23,'OB History S2'!L:L, 1)</f>
        <v>0</v>
      </c>
      <c r="R23" s="2">
        <f>COUNTIFS('OB History S2'!$B:$B,$A$23,'OB History S2'!M:M, 1)</f>
        <v>0</v>
      </c>
      <c r="S23" s="2">
        <f>COUNTIFS('OB History S2'!$B:$B,$A$23,'OB History S2'!N:N, 1)</f>
        <v>0</v>
      </c>
      <c r="T23" s="2">
        <f>COUNTIFS('OB History S2'!$B:$B,$A$23,'OB History S2'!O:O, 1)</f>
        <v>0</v>
      </c>
      <c r="U23" s="2">
        <f>COUNTIFS('OB History S2'!$B:$B,$A$23,'OB History S2'!P:P, 1)</f>
        <v>0</v>
      </c>
      <c r="V23" s="2">
        <f>COUNTIFS('OB History S2'!$B:$B,$A$23,'OB History S2'!Q:Q, 1)</f>
        <v>0</v>
      </c>
      <c r="W23" s="2">
        <f>COUNTIFS('OB History S2'!$B:$B,$A$23,'OB History S2'!R:R, 1)</f>
        <v>0</v>
      </c>
      <c r="X23" s="2">
        <f>COUNTIFS('OB History S2'!$B:$B,$A$23,'OB History S2'!S:S, 1)</f>
        <v>0</v>
      </c>
      <c r="Y23" s="2">
        <f>COUNTIFS('OB History S2'!$B:$B,$A$23,'OB History S2'!T:T, 1)</f>
        <v>0</v>
      </c>
      <c r="Z23" s="2">
        <f>COUNTIFS('OB History S2'!$B:$B,$A$23,'OB History S2'!U:U, 1)</f>
        <v>0</v>
      </c>
      <c r="AA23" s="2">
        <f>COUNTIFS('OB History S2'!$B:$B,$A$23,'OB History S2'!V:V, 1)</f>
        <v>0</v>
      </c>
      <c r="AB23" s="2">
        <f>COUNTIFS('OB History S2'!$B:$B,$A$23,'OB History S2'!W:W, 1)</f>
        <v>1</v>
      </c>
      <c r="AC23" s="2">
        <f>COUNTIFS('OB History S2'!$B:$B,$A$23,'OB History S2'!X:X, 1)</f>
        <v>0</v>
      </c>
      <c r="AD23" s="2">
        <f>COUNTIFS('OB History S2'!$B:$B,$A$23,'OB History S2'!Y:Y, 1)</f>
        <v>0</v>
      </c>
      <c r="AE23" s="2">
        <f>COUNTIFS('OB History S2'!$B:$B,$A$23,'OB History S2'!Z:Z, 1)</f>
        <v>0</v>
      </c>
    </row>
    <row r="24" spans="1:31" x14ac:dyDescent="0.25">
      <c r="A24" s="2" t="s">
        <v>149</v>
      </c>
      <c r="B24" s="6" t="s">
        <v>79</v>
      </c>
      <c r="C24" s="6" t="s">
        <v>79</v>
      </c>
      <c r="D24" s="34">
        <f>SUMIFS('OB History S2'!C:C,'OB History S2'!B:B,A24)</f>
        <v>151</v>
      </c>
      <c r="E24" s="4">
        <f>AVERAGEIFS('OB History S2'!C:C,'OB History S2'!B:B,A24)</f>
        <v>13.727272727272727</v>
      </c>
      <c r="F24" s="35">
        <f t="array" ref="F24">MAX(IF('OB History S2'!B:B=A24, 'OB History S2'!C:C))</f>
        <v>23</v>
      </c>
      <c r="G24" s="34">
        <f>COUNTIFS('OB History S2'!B:B,A24,'OB History S2'!D:D, 1)</f>
        <v>7</v>
      </c>
      <c r="H24" s="2">
        <f>COUNTIFS('OB History S2'!B:B,A24,'OB History S2'!D:D, 0)</f>
        <v>4</v>
      </c>
      <c r="I24" s="88">
        <f>LOOKUP(2, 1/('OB History S2'!$B:$B=A24), 'OB History S2'!$AD:$AD)</f>
        <v>0.63636363636363635</v>
      </c>
      <c r="J24" s="34">
        <f>SUMIFS('OB History S2'!F:F,'OB History S2'!B:B,A24)</f>
        <v>26</v>
      </c>
      <c r="K24" s="2">
        <f>SUMIFS('OB History S2'!E:E,'OB History S2'!B:B,A24)-J24</f>
        <v>20</v>
      </c>
      <c r="L24" s="88">
        <f>LOOKUP(2, 1/('OB History S2'!$B:$B=A24), 'OB History S2'!$AB:$AB)</f>
        <v>0.58636363636363642</v>
      </c>
      <c r="M24" s="34">
        <f>SUMIFS('OB History S2'!H:H,'OB History S2'!B:B,A24)</f>
        <v>95</v>
      </c>
      <c r="N24" s="2">
        <f>SUMIFS('OB History S2'!G:G,'OB History S2'!B:B,A24)-M24</f>
        <v>84</v>
      </c>
      <c r="O24" s="88">
        <f>LOOKUP(2, 1/('OB History S2'!$B:$B=A24), 'OB History S2'!$AC:$AC)</f>
        <v>0.53999999999999992</v>
      </c>
      <c r="P24" s="2">
        <f>COUNTIFS('OB History S2'!$B:$B,$A$24,'OB History S2'!K:K, 1)</f>
        <v>0</v>
      </c>
      <c r="Q24" s="2">
        <f>COUNTIFS('OB History S2'!$B:$B,$A$24,'OB History S2'!L:L, 1)</f>
        <v>4</v>
      </c>
      <c r="R24" s="2">
        <f>COUNTIFS('OB History S2'!$B:$B,$A$24,'OB History S2'!M:M, 1)</f>
        <v>1</v>
      </c>
      <c r="S24" s="2">
        <f>COUNTIFS('OB History S2'!$B:$B,$A$24,'OB History S2'!N:N, 1)</f>
        <v>2</v>
      </c>
      <c r="T24" s="2">
        <f>COUNTIFS('OB History S2'!$B:$B,$A$24,'OB History S2'!O:O, 1)</f>
        <v>0</v>
      </c>
      <c r="U24" s="2">
        <f>COUNTIFS('OB History S2'!$B:$B,$A$24,'OB History S2'!P:P, 1)</f>
        <v>1</v>
      </c>
      <c r="V24" s="2">
        <f>COUNTIFS('OB History S2'!$B:$B,$A$24,'OB History S2'!Q:Q, 1)</f>
        <v>1</v>
      </c>
      <c r="W24" s="2">
        <f>COUNTIFS('OB History S2'!$B:$B,$A$24,'OB History S2'!R:R, 1)</f>
        <v>1</v>
      </c>
      <c r="X24" s="2">
        <f>COUNTIFS('OB History S2'!$B:$B,$A$24,'OB History S2'!S:S, 1)</f>
        <v>0</v>
      </c>
      <c r="Y24" s="2">
        <f>COUNTIFS('OB History S2'!$B:$B,$A$24,'OB History S2'!T:T, 1)</f>
        <v>1</v>
      </c>
      <c r="Z24" s="2">
        <f>COUNTIFS('OB History S2'!$B:$B,$A$24,'OB History S2'!U:U, 1)</f>
        <v>1</v>
      </c>
      <c r="AA24" s="2">
        <f>COUNTIFS('OB History S2'!$B:$B,$A$24,'OB History S2'!V:V, 1)</f>
        <v>0</v>
      </c>
      <c r="AB24" s="2">
        <f>COUNTIFS('OB History S2'!$B:$B,$A$24,'OB History S2'!W:W, 1)</f>
        <v>2</v>
      </c>
      <c r="AC24" s="2">
        <f>COUNTIFS('OB History S2'!$B:$B,$A$24,'OB History S2'!X:X, 1)</f>
        <v>5</v>
      </c>
      <c r="AD24" s="2">
        <f>COUNTIFS('OB History S2'!$B:$B,$A$24,'OB History S2'!Y:Y, 1)</f>
        <v>6</v>
      </c>
      <c r="AE24" s="2">
        <f>COUNTIFS('OB History S2'!$B:$B,$A$24,'OB History S2'!Z:Z, 1)</f>
        <v>1</v>
      </c>
    </row>
    <row r="25" spans="1:31" x14ac:dyDescent="0.25">
      <c r="A25" s="2" t="s">
        <v>15</v>
      </c>
      <c r="B25" s="2" t="s">
        <v>79</v>
      </c>
      <c r="C25" s="2" t="s">
        <v>79</v>
      </c>
      <c r="D25" s="34">
        <f>SUMIFS('OB History S2'!C:C,'OB History S2'!B:B,A25)</f>
        <v>150</v>
      </c>
      <c r="E25" s="4">
        <f>AVERAGEIFS('OB History S2'!C:C,'OB History S2'!B:B,A25)</f>
        <v>25</v>
      </c>
      <c r="F25" s="35">
        <f t="array" ref="F25">MAX(IF('OB History S2'!B:B=A25, 'OB History S2'!C:C))</f>
        <v>39</v>
      </c>
      <c r="G25" s="34">
        <f>COUNTIFS('OB History S2'!B:B,A25,'OB History S2'!D:D, 1)</f>
        <v>3</v>
      </c>
      <c r="H25" s="2">
        <f>COUNTIFS('OB History S2'!B:B,A25,'OB History S2'!D:D, 0)</f>
        <v>3</v>
      </c>
      <c r="I25" s="88">
        <f>LOOKUP(2, 1/('OB History S2'!$B:$B=A25), 'OB History S2'!$AD:$AD)</f>
        <v>0.5</v>
      </c>
      <c r="J25" s="34">
        <f>SUMIFS('OB History S2'!F:F,'OB History S2'!B:B,A25)</f>
        <v>13</v>
      </c>
      <c r="K25" s="2">
        <f>SUMIFS('OB History S2'!E:E,'OB History S2'!B:B,A25)-J25</f>
        <v>11</v>
      </c>
      <c r="L25" s="88">
        <f>LOOKUP(2, 1/('OB History S2'!$B:$B=A25), 'OB History S2'!$AB:$AB)</f>
        <v>0.56666666666666665</v>
      </c>
      <c r="M25" s="34">
        <f>SUMIFS('OB History S2'!H:H,'OB History S2'!B:B,A25)</f>
        <v>48</v>
      </c>
      <c r="N25" s="2">
        <f>SUMIFS('OB History S2'!G:G,'OB History S2'!B:B,A25)-M25</f>
        <v>46</v>
      </c>
      <c r="O25" s="88">
        <f>LOOKUP(2, 1/('OB History S2'!$B:$B=A25), 'OB History S2'!$AC:$AC)</f>
        <v>0.51999999999999991</v>
      </c>
      <c r="P25" s="2">
        <f>COUNTIFS('OB History S2'!$B:$B,$A$25,'OB History S2'!K:K, 1)</f>
        <v>1</v>
      </c>
      <c r="Q25" s="2">
        <f>COUNTIFS('OB History S2'!$B:$B,$A$25,'OB History S2'!L:L, 1)</f>
        <v>1</v>
      </c>
      <c r="R25" s="2">
        <f>COUNTIFS('OB History S2'!$B:$B,$A$25,'OB History S2'!M:M, 1)</f>
        <v>0</v>
      </c>
      <c r="S25" s="2">
        <f>COUNTIFS('OB History S2'!$B:$B,$A$25,'OB History S2'!N:N, 1)</f>
        <v>1</v>
      </c>
      <c r="T25" s="2">
        <f>COUNTIFS('OB History S2'!$B:$B,$A$25,'OB History S2'!O:O, 1)</f>
        <v>0</v>
      </c>
      <c r="U25" s="2">
        <f>COUNTIFS('OB History S2'!$B:$B,$A$25,'OB History S2'!P:P, 1)</f>
        <v>2</v>
      </c>
      <c r="V25" s="2">
        <f>COUNTIFS('OB History S2'!$B:$B,$A$25,'OB History S2'!Q:Q, 1)</f>
        <v>1</v>
      </c>
      <c r="W25" s="2">
        <f>COUNTIFS('OB History S2'!$B:$B,$A$25,'OB History S2'!R:R, 1)</f>
        <v>0</v>
      </c>
      <c r="X25" s="2">
        <f>COUNTIFS('OB History S2'!$B:$B,$A$25,'OB History S2'!S:S, 1)</f>
        <v>0</v>
      </c>
      <c r="Y25" s="2">
        <f>COUNTIFS('OB History S2'!$B:$B,$A$25,'OB History S2'!T:T, 1)</f>
        <v>0</v>
      </c>
      <c r="Z25" s="2">
        <f>COUNTIFS('OB History S2'!$B:$B,$A$25,'OB History S2'!U:U, 1)</f>
        <v>1</v>
      </c>
      <c r="AA25" s="2">
        <f>COUNTIFS('OB History S2'!$B:$B,$A$25,'OB History S2'!V:V, 1)</f>
        <v>0</v>
      </c>
      <c r="AB25" s="2">
        <f>COUNTIFS('OB History S2'!$B:$B,$A$25,'OB History S2'!W:W, 1)</f>
        <v>0</v>
      </c>
      <c r="AC25" s="2">
        <f>COUNTIFS('OB History S2'!$B:$B,$A$25,'OB History S2'!X:X, 1)</f>
        <v>4</v>
      </c>
      <c r="AD25" s="2">
        <f>COUNTIFS('OB History S2'!$B:$B,$A$25,'OB History S2'!Y:Y, 1)</f>
        <v>1</v>
      </c>
      <c r="AE25" s="2">
        <f>COUNTIFS('OB History S2'!$B:$B,$A$25,'OB History S2'!Z:Z, 1)</f>
        <v>1</v>
      </c>
    </row>
    <row r="26" spans="1:31" x14ac:dyDescent="0.25">
      <c r="A26" s="2" t="s">
        <v>13</v>
      </c>
      <c r="B26" s="6" t="s">
        <v>124</v>
      </c>
      <c r="C26" s="6" t="s">
        <v>60</v>
      </c>
      <c r="D26" s="34">
        <f>SUMIFS('OB History S2'!C:C,'OB History S2'!B:B,A26)</f>
        <v>241</v>
      </c>
      <c r="E26" s="4">
        <f>AVERAGEIFS('OB History S2'!C:C,'OB History S2'!B:B,A26)</f>
        <v>21.90909090909091</v>
      </c>
      <c r="F26" s="35">
        <f t="array" ref="F26">MAX(IF('OB History S2'!B:B=A26, 'OB History S2'!C:C))</f>
        <v>35</v>
      </c>
      <c r="G26" s="34">
        <f>COUNTIFS('OB History S2'!B:B,A26,'OB History S2'!D:D, 1)</f>
        <v>9</v>
      </c>
      <c r="H26" s="2">
        <f>COUNTIFS('OB History S2'!B:B,A26,'OB History S2'!D:D, 0)</f>
        <v>2</v>
      </c>
      <c r="I26" s="88">
        <f>LOOKUP(2, 1/('OB History S2'!$B:$B=A26), 'OB History S2'!$AD:$AD)</f>
        <v>0.81818181818181823</v>
      </c>
      <c r="J26" s="34">
        <f>SUMIFS('OB History S2'!F:F,'OB History S2'!B:B,A26)</f>
        <v>30</v>
      </c>
      <c r="K26" s="2">
        <f>SUMIFS('OB History S2'!E:E,'OB History S2'!B:B,A26)-J26</f>
        <v>16</v>
      </c>
      <c r="L26" s="88">
        <f>LOOKUP(2, 1/('OB History S2'!$B:$B=A26), 'OB History S2'!$AB:$AB)</f>
        <v>0.67727272727272725</v>
      </c>
      <c r="M26" s="34">
        <f>SUMIFS('OB History S2'!H:H,'OB History S2'!B:B,A26)</f>
        <v>108</v>
      </c>
      <c r="N26" s="2">
        <f>SUMIFS('OB History S2'!G:G,'OB History S2'!B:B,A26)-M26</f>
        <v>71</v>
      </c>
      <c r="O26" s="88">
        <f>LOOKUP(2, 1/('OB History S2'!$B:$B=A26), 'OB History S2'!$AC:$AC)</f>
        <v>0.61727272727272731</v>
      </c>
      <c r="P26" s="2">
        <f>COUNTIFS('OB History S2'!$B:$B,$A$26,'OB History S2'!K:K, 1)</f>
        <v>2</v>
      </c>
      <c r="Q26" s="2">
        <f>COUNTIFS('OB History S2'!$B:$B,$A$26,'OB History S2'!L:L, 1)</f>
        <v>4</v>
      </c>
      <c r="R26" s="2">
        <f>COUNTIFS('OB History S2'!$B:$B,$A$26,'OB History S2'!M:M, 1)</f>
        <v>1</v>
      </c>
      <c r="S26" s="2">
        <f>COUNTIFS('OB History S2'!$B:$B,$A$26,'OB History S2'!N:N, 1)</f>
        <v>2</v>
      </c>
      <c r="T26" s="2">
        <f>COUNTIFS('OB History S2'!$B:$B,$A$26,'OB History S2'!O:O, 1)</f>
        <v>0</v>
      </c>
      <c r="U26" s="2">
        <f>COUNTIFS('OB History S2'!$B:$B,$A$26,'OB History S2'!P:P, 1)</f>
        <v>2</v>
      </c>
      <c r="V26" s="2">
        <f>COUNTIFS('OB History S2'!$B:$B,$A$26,'OB History S2'!Q:Q, 1)</f>
        <v>1</v>
      </c>
      <c r="W26" s="2">
        <f>COUNTIFS('OB History S2'!$B:$B,$A$26,'OB History S2'!R:R, 1)</f>
        <v>2</v>
      </c>
      <c r="X26" s="2">
        <f>COUNTIFS('OB History S2'!$B:$B,$A$26,'OB History S2'!S:S, 1)</f>
        <v>0</v>
      </c>
      <c r="Y26" s="2">
        <f>COUNTIFS('OB History S2'!$B:$B,$A$26,'OB History S2'!T:T, 1)</f>
        <v>1</v>
      </c>
      <c r="Z26" s="2">
        <f>COUNTIFS('OB History S2'!$B:$B,$A$26,'OB History S2'!U:U, 1)</f>
        <v>1</v>
      </c>
      <c r="AA26" s="2">
        <f>COUNTIFS('OB History S2'!$B:$B,$A$26,'OB History S2'!V:V, 1)</f>
        <v>0</v>
      </c>
      <c r="AB26" s="2">
        <f>COUNTIFS('OB History S2'!$B:$B,$A$26,'OB History S2'!W:W, 1)</f>
        <v>2</v>
      </c>
      <c r="AC26" s="2">
        <f>COUNTIFS('OB History S2'!$B:$B,$A$26,'OB History S2'!X:X, 1)</f>
        <v>3</v>
      </c>
      <c r="AD26" s="2">
        <f>COUNTIFS('OB History S2'!$B:$B,$A$26,'OB History S2'!Y:Y, 1)</f>
        <v>7</v>
      </c>
      <c r="AE26" s="2">
        <f>COUNTIFS('OB History S2'!$B:$B,$A$26,'OB History S2'!Z:Z, 1)</f>
        <v>2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SUMIFS('OB History S2'!C:C,'OB History S2'!B:B,A27)</f>
        <v>19</v>
      </c>
      <c r="E27" s="4">
        <f>AVERAGEIFS('OB History S2'!C:C,'OB History S2'!B:B,A27)</f>
        <v>9.5</v>
      </c>
      <c r="F27" s="35">
        <f t="array" ref="F27">MAX(IF('OB History S2'!B:B=A27, 'OB History S2'!C:C))</f>
        <v>11</v>
      </c>
      <c r="G27" s="34">
        <f>COUNTIFS('OB History S2'!B:B,A27,'OB History S2'!D:D, 1)</f>
        <v>1</v>
      </c>
      <c r="H27" s="2">
        <f>COUNTIFS('OB History S2'!B:B,A27,'OB History S2'!D:D, 0)</f>
        <v>1</v>
      </c>
      <c r="I27" s="88">
        <f>LOOKUP(2, 1/('OB History S2'!$B:$B=A27), 'OB History S2'!$AD:$AD)</f>
        <v>0.5</v>
      </c>
      <c r="J27" s="34">
        <f>SUMIFS('OB History S2'!F:F,'OB History S2'!B:B,A27)</f>
        <v>4</v>
      </c>
      <c r="K27" s="2">
        <f>SUMIFS('OB History S2'!E:E,'OB History S2'!B:B,A27)-J27</f>
        <v>5</v>
      </c>
      <c r="L27" s="88">
        <f>LOOKUP(2, 1/('OB History S2'!$B:$B=A27), 'OB History S2'!$AB:$AB)</f>
        <v>0.42499999999999999</v>
      </c>
      <c r="M27" s="34">
        <f>SUMIFS('OB History S2'!H:H,'OB History S2'!B:B,A27)</f>
        <v>16</v>
      </c>
      <c r="N27" s="2">
        <f>SUMIFS('OB History S2'!G:G,'OB History S2'!B:B,A27)-M27</f>
        <v>15</v>
      </c>
      <c r="O27" s="88">
        <f>LOOKUP(2, 1/('OB History S2'!$B:$B=A27), 'OB History S2'!$AC:$AC)</f>
        <v>0.505</v>
      </c>
      <c r="P27" s="2">
        <f>COUNTIFS('OB History S2'!$B:$B,$A$27,'OB History S2'!K:K, 1)</f>
        <v>0</v>
      </c>
      <c r="Q27" s="2">
        <f>COUNTIFS('OB History S2'!$B:$B,$A$27,'OB History S2'!L:L, 1)</f>
        <v>0</v>
      </c>
      <c r="R27" s="2">
        <f>COUNTIFS('OB History S2'!$B:$B,$A$27,'OB History S2'!M:M, 1)</f>
        <v>0</v>
      </c>
      <c r="S27" s="2">
        <f>COUNTIFS('OB History S2'!$B:$B,$A$27,'OB History S2'!N:N, 1)</f>
        <v>0</v>
      </c>
      <c r="T27" s="2">
        <f>COUNTIFS('OB History S2'!$B:$B,$A$27,'OB History S2'!O:O, 1)</f>
        <v>0</v>
      </c>
      <c r="U27" s="2">
        <f>COUNTIFS('OB History S2'!$B:$B,$A$27,'OB History S2'!P:P, 1)</f>
        <v>0</v>
      </c>
      <c r="V27" s="2">
        <f>COUNTIFS('OB History S2'!$B:$B,$A$27,'OB History S2'!Q:Q, 1)</f>
        <v>0</v>
      </c>
      <c r="W27" s="2">
        <f>COUNTIFS('OB History S2'!$B:$B,$A$27,'OB History S2'!R:R, 1)</f>
        <v>1</v>
      </c>
      <c r="X27" s="2">
        <f>COUNTIFS('OB History S2'!$B:$B,$A$27,'OB History S2'!S:S, 1)</f>
        <v>0</v>
      </c>
      <c r="Y27" s="2">
        <f>COUNTIFS('OB History S2'!$B:$B,$A$27,'OB History S2'!T:T, 1)</f>
        <v>0</v>
      </c>
      <c r="Z27" s="2">
        <f>COUNTIFS('OB History S2'!$B:$B,$A$27,'OB History S2'!U:U, 1)</f>
        <v>0</v>
      </c>
      <c r="AA27" s="2">
        <f>COUNTIFS('OB History S2'!$B:$B,$A$27,'OB History S2'!V:V, 1)</f>
        <v>0</v>
      </c>
      <c r="AB27" s="2">
        <f>COUNTIFS('OB History S2'!$B:$B,$A$27,'OB History S2'!W:W, 1)</f>
        <v>0</v>
      </c>
      <c r="AC27" s="2">
        <f>COUNTIFS('OB History S2'!$B:$B,$A$27,'OB History S2'!X:X, 1)</f>
        <v>1</v>
      </c>
      <c r="AD27" s="2">
        <f>COUNTIFS('OB History S2'!$B:$B,$A$27,'OB History S2'!Y:Y, 1)</f>
        <v>2</v>
      </c>
      <c r="AE27" s="2">
        <f>COUNTIFS('OB History S2'!$B:$B,$A$27,'OB History S2'!Z:Z, 1)</f>
        <v>0</v>
      </c>
    </row>
    <row r="28" spans="1:31" x14ac:dyDescent="0.25">
      <c r="A28" s="2" t="s">
        <v>142</v>
      </c>
      <c r="B28" s="2" t="s">
        <v>79</v>
      </c>
      <c r="C28" s="2" t="s">
        <v>79</v>
      </c>
      <c r="D28" s="34">
        <f>SUMIFS('OB History S2'!C:C,'OB History S2'!B:B,A28)</f>
        <v>51</v>
      </c>
      <c r="E28" s="4">
        <f>AVERAGEIFS('OB History S2'!C:C,'OB History S2'!B:B,A28)</f>
        <v>17</v>
      </c>
      <c r="F28" s="35">
        <f t="array" ref="F28">MAX(IF('OB History S2'!B:B=A28, 'OB History S2'!C:C))</f>
        <v>20</v>
      </c>
      <c r="G28" s="34">
        <f>COUNTIFS('OB History S2'!B:B,A28,'OB History S2'!D:D, 1)</f>
        <v>1</v>
      </c>
      <c r="H28" s="2">
        <f>COUNTIFS('OB History S2'!B:B,A28,'OB History S2'!D:D, 0)</f>
        <v>2</v>
      </c>
      <c r="I28" s="88">
        <f>LOOKUP(2, 1/('OB History S2'!$B:$B=A28), 'OB History S2'!$AD:$AD)</f>
        <v>0.33333333333333331</v>
      </c>
      <c r="J28" s="34">
        <f>SUMIFS('OB History S2'!F:F,'OB History S2'!B:B,A28)</f>
        <v>7</v>
      </c>
      <c r="K28" s="2">
        <f>SUMIFS('OB History S2'!E:E,'OB History S2'!B:B,A28)-J28</f>
        <v>6</v>
      </c>
      <c r="L28" s="88">
        <f>LOOKUP(2, 1/('OB History S2'!$B:$B=A28), 'OB History S2'!$AB:$AB)</f>
        <v>0.6</v>
      </c>
      <c r="M28" s="34">
        <f>SUMIFS('OB History S2'!H:H,'OB History S2'!B:B,A28)</f>
        <v>27</v>
      </c>
      <c r="N28" s="2">
        <f>SUMIFS('OB History S2'!G:G,'OB History S2'!B:B,A28)-M28</f>
        <v>28</v>
      </c>
      <c r="O28" s="88">
        <f>LOOKUP(2, 1/('OB History S2'!$B:$B=A28), 'OB History S2'!$AC:$AC)</f>
        <v>0.51666666666666661</v>
      </c>
      <c r="P28" s="2">
        <f>COUNTIFS('OB History S2'!$B:$B,$A$28,'OB History S2'!K:K, 1)</f>
        <v>1</v>
      </c>
      <c r="Q28" s="2">
        <f>COUNTIFS('OB History S2'!$B:$B,$A$28,'OB History S2'!L:L, 1)</f>
        <v>1</v>
      </c>
      <c r="R28" s="2">
        <f>COUNTIFS('OB History S2'!$B:$B,$A$28,'OB History S2'!M:M, 1)</f>
        <v>0</v>
      </c>
      <c r="S28" s="2">
        <f>COUNTIFS('OB History S2'!$B:$B,$A$28,'OB History S2'!N:N, 1)</f>
        <v>0</v>
      </c>
      <c r="T28" s="2">
        <f>COUNTIFS('OB History S2'!$B:$B,$A$28,'OB History S2'!O:O, 1)</f>
        <v>0</v>
      </c>
      <c r="U28" s="2">
        <f>COUNTIFS('OB History S2'!$B:$B,$A$28,'OB History S2'!P:P, 1)</f>
        <v>1</v>
      </c>
      <c r="V28" s="2">
        <f>COUNTIFS('OB History S2'!$B:$B,$A$28,'OB History S2'!Q:Q, 1)</f>
        <v>1</v>
      </c>
      <c r="W28" s="2">
        <f>COUNTIFS('OB History S2'!$B:$B,$A$28,'OB History S2'!R:R, 1)</f>
        <v>0</v>
      </c>
      <c r="X28" s="2">
        <f>COUNTIFS('OB History S2'!$B:$B,$A$28,'OB History S2'!S:S, 1)</f>
        <v>0</v>
      </c>
      <c r="Y28" s="2">
        <f>COUNTIFS('OB History S2'!$B:$B,$A$28,'OB History S2'!T:T, 1)</f>
        <v>0</v>
      </c>
      <c r="Z28" s="2">
        <f>COUNTIFS('OB History S2'!$B:$B,$A$28,'OB History S2'!U:U, 1)</f>
        <v>0</v>
      </c>
      <c r="AA28" s="2">
        <f>COUNTIFS('OB History S2'!$B:$B,$A$28,'OB History S2'!V:V, 1)</f>
        <v>0</v>
      </c>
      <c r="AB28" s="2">
        <f>COUNTIFS('OB History S2'!$B:$B,$A$28,'OB History S2'!W:W, 1)</f>
        <v>1</v>
      </c>
      <c r="AC28" s="2">
        <f>COUNTIFS('OB History S2'!$B:$B,$A$28,'OB History S2'!X:X, 1)</f>
        <v>1</v>
      </c>
      <c r="AD28" s="2">
        <f>COUNTIFS('OB History S2'!$B:$B,$A$28,'OB History S2'!Y:Y, 1)</f>
        <v>0</v>
      </c>
      <c r="AE28" s="2">
        <f>COUNTIFS('OB History S2'!$B:$B,$A$28,'OB History S2'!Z:Z, 1)</f>
        <v>1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SUMIFS('OB History S2'!C:C,'OB History S2'!B:B,A29)</f>
        <v>117</v>
      </c>
      <c r="E29" s="4">
        <f>AVERAGEIFS('OB History S2'!C:C,'OB History S2'!B:B,A29)</f>
        <v>16.714285714285715</v>
      </c>
      <c r="F29" s="35">
        <f t="array" ref="F29">MAX(IF('OB History S2'!B:B=A29, 'OB History S2'!C:C))</f>
        <v>25</v>
      </c>
      <c r="G29" s="34">
        <f>COUNTIFS('OB History S2'!B:B,A29,'OB History S2'!D:D, 1)</f>
        <v>2</v>
      </c>
      <c r="H29" s="2">
        <f>COUNTIFS('OB History S2'!B:B,A29,'OB History S2'!D:D, 0)</f>
        <v>5</v>
      </c>
      <c r="I29" s="88">
        <f>LOOKUP(2, 1/('OB History S2'!$B:$B=A29), 'OB History S2'!$AD:$AD)</f>
        <v>0.2857142857142857</v>
      </c>
      <c r="J29" s="34">
        <f>SUMIFS('OB History S2'!F:F,'OB History S2'!B:B,A29)</f>
        <v>13</v>
      </c>
      <c r="K29" s="2">
        <f>SUMIFS('OB History S2'!E:E,'OB History S2'!B:B,A29)-J29</f>
        <v>17</v>
      </c>
      <c r="L29" s="88">
        <f>LOOKUP(2, 1/('OB History S2'!$B:$B=A29), 'OB History S2'!$AB:$AB)</f>
        <v>0.43571428571428567</v>
      </c>
      <c r="M29" s="34">
        <f>SUMIFS('OB History S2'!H:H,'OB History S2'!B:B,A29)</f>
        <v>52</v>
      </c>
      <c r="N29" s="2">
        <f>SUMIFS('OB History S2'!G:G,'OB History S2'!B:B,A29)-M29</f>
        <v>67</v>
      </c>
      <c r="O29" s="88">
        <f>LOOKUP(2, 1/('OB History S2'!$B:$B=A29), 'OB History S2'!$AC:$AC)</f>
        <v>0.42571428571428571</v>
      </c>
      <c r="P29" s="2">
        <f>COUNTIFS('OB History S2'!$B:$B,$A$29,'OB History S2'!K:K, 1)</f>
        <v>0</v>
      </c>
      <c r="Q29" s="2">
        <f>COUNTIFS('OB History S2'!$B:$B,$A$29,'OB History S2'!L:L, 1)</f>
        <v>2</v>
      </c>
      <c r="R29" s="2">
        <f>COUNTIFS('OB History S2'!$B:$B,$A$29,'OB History S2'!M:M, 1)</f>
        <v>1</v>
      </c>
      <c r="S29" s="2">
        <f>COUNTIFS('OB History S2'!$B:$B,$A$29,'OB History S2'!N:N, 1)</f>
        <v>1</v>
      </c>
      <c r="T29" s="2">
        <f>COUNTIFS('OB History S2'!$B:$B,$A$29,'OB History S2'!O:O, 1)</f>
        <v>0</v>
      </c>
      <c r="U29" s="2">
        <f>COUNTIFS('OB History S2'!$B:$B,$A$29,'OB History S2'!P:P, 1)</f>
        <v>1</v>
      </c>
      <c r="V29" s="2">
        <f>COUNTIFS('OB History S2'!$B:$B,$A$29,'OB History S2'!Q:Q, 1)</f>
        <v>2</v>
      </c>
      <c r="W29" s="2">
        <f>COUNTIFS('OB History S2'!$B:$B,$A$29,'OB History S2'!R:R, 1)</f>
        <v>0</v>
      </c>
      <c r="X29" s="2">
        <f>COUNTIFS('OB History S2'!$B:$B,$A$29,'OB History S2'!S:S, 1)</f>
        <v>0</v>
      </c>
      <c r="Y29" s="2">
        <f>COUNTIFS('OB History S2'!$B:$B,$A$29,'OB History S2'!T:T, 1)</f>
        <v>0</v>
      </c>
      <c r="Z29" s="2">
        <f>COUNTIFS('OB History S2'!$B:$B,$A$29,'OB History S2'!U:U, 1)</f>
        <v>0</v>
      </c>
      <c r="AA29" s="2">
        <f>COUNTIFS('OB History S2'!$B:$B,$A$29,'OB History S2'!V:V, 1)</f>
        <v>0</v>
      </c>
      <c r="AB29" s="2">
        <f>COUNTIFS('OB History S2'!$B:$B,$A$29,'OB History S2'!W:W, 1)</f>
        <v>1</v>
      </c>
      <c r="AC29" s="2">
        <f>COUNTIFS('OB History S2'!$B:$B,$A$29,'OB History S2'!X:X, 1)</f>
        <v>2</v>
      </c>
      <c r="AD29" s="2">
        <f>COUNTIFS('OB History S2'!$B:$B,$A$29,'OB History S2'!Y:Y, 1)</f>
        <v>2</v>
      </c>
      <c r="AE29" s="2">
        <f>COUNTIFS('OB History S2'!$B:$B,$A$29,'OB History S2'!Z:Z, 1)</f>
        <v>1</v>
      </c>
    </row>
    <row r="30" spans="1:31" x14ac:dyDescent="0.25">
      <c r="A30" s="2" t="s">
        <v>148</v>
      </c>
      <c r="B30" s="2" t="s">
        <v>79</v>
      </c>
      <c r="C30" s="2" t="s">
        <v>79</v>
      </c>
      <c r="D30" s="34">
        <f>SUMIFS('OB History S2'!C:C,'OB History S2'!B:B,A30)</f>
        <v>24</v>
      </c>
      <c r="E30" s="4">
        <f>AVERAGEIFS('OB History S2'!C:C,'OB History S2'!B:B,A30)</f>
        <v>12</v>
      </c>
      <c r="F30" s="35">
        <f t="array" ref="F30">MAX(IF('OB History S2'!B:B=A30, 'OB History S2'!C:C))</f>
        <v>17</v>
      </c>
      <c r="G30" s="34">
        <f>COUNTIFS('OB History S2'!B:B,A30,'OB History S2'!D:D, 1)</f>
        <v>0</v>
      </c>
      <c r="H30" s="2">
        <f>COUNTIFS('OB History S2'!B:B,A30,'OB History S2'!D:D, 0)</f>
        <v>2</v>
      </c>
      <c r="I30" s="88">
        <f>LOOKUP(2, 1/('OB History S2'!$B:$B=A30), 'OB History S2'!$AD:$AD)</f>
        <v>0</v>
      </c>
      <c r="J30" s="34">
        <f>SUMIFS('OB History S2'!F:F,'OB History S2'!B:B,A30)</f>
        <v>0</v>
      </c>
      <c r="K30" s="2">
        <f>SUMIFS('OB History S2'!E:E,'OB History S2'!B:B,A30)-J30</f>
        <v>6</v>
      </c>
      <c r="L30" s="88">
        <f>LOOKUP(2, 1/('OB History S2'!$B:$B=A30), 'OB History S2'!$AB:$AB)</f>
        <v>0</v>
      </c>
      <c r="M30" s="34">
        <f>SUMIFS('OB History S2'!H:H,'OB History S2'!B:B,A30)</f>
        <v>6</v>
      </c>
      <c r="N30" s="2">
        <f>SUMIFS('OB History S2'!G:G,'OB History S2'!B:B,A30)-M30</f>
        <v>18</v>
      </c>
      <c r="O30" s="88">
        <f>LOOKUP(2, 1/('OB History S2'!$B:$B=A30), 'OB History S2'!$AC:$AC)</f>
        <v>0.245</v>
      </c>
      <c r="P30" s="2">
        <f>COUNTIFS('OB History S2'!$B:$B,$A$30,'OB History S2'!K:K, 1)</f>
        <v>0</v>
      </c>
      <c r="Q30" s="2">
        <f>COUNTIFS('OB History S2'!$B:$B,$A$30,'OB History S2'!L:L, 1)</f>
        <v>0</v>
      </c>
      <c r="R30" s="2">
        <f>COUNTIFS('OB History S2'!$B:$B,$A$30,'OB History S2'!M:M, 1)</f>
        <v>0</v>
      </c>
      <c r="S30" s="2">
        <f>COUNTIFS('OB History S2'!$B:$B,$A$30,'OB History S2'!N:N, 1)</f>
        <v>0</v>
      </c>
      <c r="T30" s="2">
        <f>COUNTIFS('OB History S2'!$B:$B,$A$30,'OB History S2'!O:O, 1)</f>
        <v>0</v>
      </c>
      <c r="U30" s="2">
        <f>COUNTIFS('OB History S2'!$B:$B,$A$30,'OB History S2'!P:P, 1)</f>
        <v>0</v>
      </c>
      <c r="V30" s="2">
        <f>COUNTIFS('OB History S2'!$B:$B,$A$30,'OB History S2'!Q:Q, 1)</f>
        <v>0</v>
      </c>
      <c r="W30" s="2">
        <f>COUNTIFS('OB History S2'!$B:$B,$A$30,'OB History S2'!R:R, 1)</f>
        <v>0</v>
      </c>
      <c r="X30" s="2">
        <f>COUNTIFS('OB History S2'!$B:$B,$A$30,'OB History S2'!S:S, 1)</f>
        <v>0</v>
      </c>
      <c r="Y30" s="2">
        <f>COUNTIFS('OB History S2'!$B:$B,$A$30,'OB History S2'!T:T, 1)</f>
        <v>0</v>
      </c>
      <c r="Z30" s="2">
        <f>COUNTIFS('OB History S2'!$B:$B,$A$30,'OB History S2'!U:U, 1)</f>
        <v>0</v>
      </c>
      <c r="AA30" s="2">
        <f>COUNTIFS('OB History S2'!$B:$B,$A$30,'OB History S2'!V:V, 1)</f>
        <v>0</v>
      </c>
      <c r="AB30" s="2">
        <f>COUNTIFS('OB History S2'!$B:$B,$A$30,'OB History S2'!W:W, 1)</f>
        <v>0</v>
      </c>
      <c r="AC30" s="2">
        <f>COUNTIFS('OB History S2'!$B:$B,$A$30,'OB History S2'!X:X, 1)</f>
        <v>0</v>
      </c>
      <c r="AD30" s="2">
        <f>COUNTIFS('OB History S2'!$B:$B,$A$30,'OB History S2'!Y:Y, 1)</f>
        <v>0</v>
      </c>
      <c r="AE30" s="2">
        <f>COUNTIFS('OB History S2'!$B:$B,$A$30,'OB History S2'!Z:Z, 1)</f>
        <v>0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SUMIFS('OB History S2'!C:C,'OB History S2'!B:B,A31)</f>
        <v>203</v>
      </c>
      <c r="E31" s="4">
        <f>AVERAGEIFS('OB History S2'!C:C,'OB History S2'!B:B,A31)</f>
        <v>22.555555555555557</v>
      </c>
      <c r="F31" s="35">
        <f t="array" ref="F31">MAX(IF('OB History S2'!B:B=A31, 'OB History S2'!C:C))</f>
        <v>43</v>
      </c>
      <c r="G31" s="34">
        <f>COUNTIFS('OB History S2'!B:B,A31,'OB History S2'!D:D, 1)</f>
        <v>4</v>
      </c>
      <c r="H31" s="2">
        <f>COUNTIFS('OB History S2'!B:B,A31,'OB History S2'!D:D, 0)</f>
        <v>5</v>
      </c>
      <c r="I31" s="88">
        <f>LOOKUP(2, 1/('OB History S2'!$B:$B=A31), 'OB History S2'!$AD:$AD)</f>
        <v>0.44444444444444442</v>
      </c>
      <c r="J31" s="34">
        <f>SUMIFS('OB History S2'!F:F,'OB History S2'!B:B,A31)</f>
        <v>16</v>
      </c>
      <c r="K31" s="2">
        <f>SUMIFS('OB History S2'!E:E,'OB History S2'!B:B,A31)-J31</f>
        <v>20</v>
      </c>
      <c r="L31" s="88">
        <f>LOOKUP(2, 1/('OB History S2'!$B:$B=A31), 'OB History S2'!$AB:$AB)</f>
        <v>0.43888888888888888</v>
      </c>
      <c r="M31" s="34">
        <f>SUMIFS('OB History S2'!H:H,'OB History S2'!B:B,A31)</f>
        <v>66</v>
      </c>
      <c r="N31" s="2">
        <f>SUMIFS('OB History S2'!G:G,'OB History S2'!B:B,A31)-M31</f>
        <v>70</v>
      </c>
      <c r="O31" s="88">
        <f>LOOKUP(2, 1/('OB History S2'!$B:$B=A31), 'OB History S2'!$AC:$AC)</f>
        <v>0.48666666666666664</v>
      </c>
      <c r="P31" s="2">
        <f>COUNTIFS('OB History S2'!$B:$B,$A$31,'OB History S2'!K:K, 1)</f>
        <v>0</v>
      </c>
      <c r="Q31" s="2">
        <f>COUNTIFS('OB History S2'!$B:$B,$A$31,'OB History S2'!L:L, 1)</f>
        <v>2</v>
      </c>
      <c r="R31" s="2">
        <f>COUNTIFS('OB History S2'!$B:$B,$A$31,'OB History S2'!M:M, 1)</f>
        <v>1</v>
      </c>
      <c r="S31" s="2">
        <f>COUNTIFS('OB History S2'!$B:$B,$A$31,'OB History S2'!N:N, 1)</f>
        <v>0</v>
      </c>
      <c r="T31" s="2">
        <f>COUNTIFS('OB History S2'!$B:$B,$A$31,'OB History S2'!O:O, 1)</f>
        <v>0</v>
      </c>
      <c r="U31" s="2">
        <f>COUNTIFS('OB History S2'!$B:$B,$A$31,'OB History S2'!P:P, 1)</f>
        <v>0</v>
      </c>
      <c r="V31" s="2">
        <f>COUNTIFS('OB History S2'!$B:$B,$A$31,'OB History S2'!Q:Q, 1)</f>
        <v>1</v>
      </c>
      <c r="W31" s="2">
        <f>COUNTIFS('OB History S2'!$B:$B,$A$31,'OB History S2'!R:R, 1)</f>
        <v>1</v>
      </c>
      <c r="X31" s="2">
        <f>COUNTIFS('OB History S2'!$B:$B,$A$31,'OB History S2'!S:S, 1)</f>
        <v>0</v>
      </c>
      <c r="Y31" s="2">
        <f>COUNTIFS('OB History S2'!$B:$B,$A$31,'OB History S2'!T:T, 1)</f>
        <v>1</v>
      </c>
      <c r="Z31" s="2">
        <f>COUNTIFS('OB History S2'!$B:$B,$A$31,'OB History S2'!U:U, 1)</f>
        <v>0</v>
      </c>
      <c r="AA31" s="2">
        <f>COUNTIFS('OB History S2'!$B:$B,$A$31,'OB History S2'!V:V, 1)</f>
        <v>0</v>
      </c>
      <c r="AB31" s="2">
        <f>COUNTIFS('OB History S2'!$B:$B,$A$31,'OB History S2'!W:W, 1)</f>
        <v>0</v>
      </c>
      <c r="AC31" s="2">
        <f>COUNTIFS('OB History S2'!$B:$B,$A$31,'OB History S2'!X:X, 1)</f>
        <v>6</v>
      </c>
      <c r="AD31" s="2">
        <f>COUNTIFS('OB History S2'!$B:$B,$A$31,'OB History S2'!Y:Y, 1)</f>
        <v>3</v>
      </c>
      <c r="AE31" s="2">
        <f>COUNTIFS('OB History S2'!$B:$B,$A$31,'OB History S2'!Z:Z, 1)</f>
        <v>1</v>
      </c>
    </row>
    <row r="32" spans="1:31" x14ac:dyDescent="0.25">
      <c r="A32" s="2" t="s">
        <v>156</v>
      </c>
      <c r="B32" s="2" t="s">
        <v>79</v>
      </c>
      <c r="C32" s="2" t="s">
        <v>79</v>
      </c>
      <c r="D32" s="34">
        <f>SUMIFS('OB History S2'!C:C,'OB History S2'!B:B,A32)</f>
        <v>126</v>
      </c>
      <c r="E32" s="4">
        <f>AVERAGEIFS('OB History S2'!C:C,'OB History S2'!B:B,A32)</f>
        <v>15.75</v>
      </c>
      <c r="F32" s="35">
        <f t="array" ref="F32">MAX(IF('OB History S2'!B:B=A32, 'OB History S2'!C:C))</f>
        <v>27</v>
      </c>
      <c r="G32" s="34">
        <f>COUNTIFS('OB History S2'!B:B,A32,'OB History S2'!D:D, 1)</f>
        <v>1</v>
      </c>
      <c r="H32" s="2">
        <f>COUNTIFS('OB History S2'!B:B,A32,'OB History S2'!D:D, 0)</f>
        <v>7</v>
      </c>
      <c r="I32" s="88">
        <f>LOOKUP(2, 1/('OB History S2'!$B:$B=A32), 'OB History S2'!$AD:$AD)</f>
        <v>0.125</v>
      </c>
      <c r="J32" s="34">
        <f>SUMIFS('OB History S2'!F:F,'OB History S2'!B:B,A32)</f>
        <v>12</v>
      </c>
      <c r="K32" s="2">
        <f>SUMIFS('OB History S2'!E:E,'OB History S2'!B:B,A32)-J32</f>
        <v>23</v>
      </c>
      <c r="L32" s="88">
        <f>LOOKUP(2, 1/('OB History S2'!$B:$B=A32), 'OB History S2'!$AB:$AB)</f>
        <v>0.33124999999999999</v>
      </c>
      <c r="M32" s="34">
        <f>SUMIFS('OB History S2'!H:H,'OB History S2'!B:B,A32)</f>
        <v>55</v>
      </c>
      <c r="N32" s="2">
        <f>SUMIFS('OB History S2'!G:G,'OB History S2'!B:B,A32)-M32</f>
        <v>79</v>
      </c>
      <c r="O32" s="88">
        <f>LOOKUP(2, 1/('OB History S2'!$B:$B=A32), 'OB History S2'!$AC:$AC)</f>
        <v>0.39624999999999999</v>
      </c>
      <c r="P32" s="2">
        <f>COUNTIFS('OB History S2'!$B:$B,$A$32,'OB History S2'!K:K, 1)</f>
        <v>0</v>
      </c>
      <c r="Q32" s="2">
        <f>COUNTIFS('OB History S2'!$B:$B,$A$32,'OB History S2'!L:L, 1)</f>
        <v>0</v>
      </c>
      <c r="R32" s="2">
        <f>COUNTIFS('OB History S2'!$B:$B,$A$32,'OB History S2'!M:M, 1)</f>
        <v>2</v>
      </c>
      <c r="S32" s="2">
        <f>COUNTIFS('OB History S2'!$B:$B,$A$32,'OB History S2'!N:N, 1)</f>
        <v>1</v>
      </c>
      <c r="T32" s="2">
        <f>COUNTIFS('OB History S2'!$B:$B,$A$32,'OB History S2'!O:O, 1)</f>
        <v>0</v>
      </c>
      <c r="U32" s="2">
        <f>COUNTIFS('OB History S2'!$B:$B,$A$32,'OB History S2'!P:P, 1)</f>
        <v>0</v>
      </c>
      <c r="V32" s="2">
        <f>COUNTIFS('OB History S2'!$B:$B,$A$32,'OB History S2'!Q:Q, 1)</f>
        <v>1</v>
      </c>
      <c r="W32" s="2">
        <f>COUNTIFS('OB History S2'!$B:$B,$A$32,'OB History S2'!R:R, 1)</f>
        <v>0</v>
      </c>
      <c r="X32" s="2">
        <f>COUNTIFS('OB History S2'!$B:$B,$A$32,'OB History S2'!S:S, 1)</f>
        <v>0</v>
      </c>
      <c r="Y32" s="2">
        <f>COUNTIFS('OB History S2'!$B:$B,$A$32,'OB History S2'!T:T, 1)</f>
        <v>1</v>
      </c>
      <c r="Z32" s="2">
        <f>COUNTIFS('OB History S2'!$B:$B,$A$32,'OB History S2'!U:U, 1)</f>
        <v>0</v>
      </c>
      <c r="AA32" s="2">
        <f>COUNTIFS('OB History S2'!$B:$B,$A$32,'OB History S2'!V:V, 1)</f>
        <v>0</v>
      </c>
      <c r="AB32" s="2">
        <f>COUNTIFS('OB History S2'!$B:$B,$A$32,'OB History S2'!W:W, 1)</f>
        <v>1</v>
      </c>
      <c r="AC32" s="2">
        <f>COUNTIFS('OB History S2'!$B:$B,$A$32,'OB History S2'!X:X, 1)</f>
        <v>3</v>
      </c>
      <c r="AD32" s="2">
        <f>COUNTIFS('OB History S2'!$B:$B,$A$32,'OB History S2'!Y:Y, 1)</f>
        <v>2</v>
      </c>
      <c r="AE32" s="2">
        <f>COUNTIFS('OB History S2'!$B:$B,$A$32,'OB History S2'!Z:Z, 1)</f>
        <v>1</v>
      </c>
    </row>
    <row r="33" spans="1:31" x14ac:dyDescent="0.25">
      <c r="A33" s="2" t="s">
        <v>6</v>
      </c>
      <c r="B33" s="2" t="s">
        <v>60</v>
      </c>
      <c r="C33" s="2" t="s">
        <v>79</v>
      </c>
      <c r="D33" s="34">
        <f>SUMIFS('OB History S2'!C:C,'OB History S2'!B:B,A33)</f>
        <v>71</v>
      </c>
      <c r="E33" s="4">
        <f>AVERAGEIFS('OB History S2'!C:C,'OB History S2'!B:B,A33)</f>
        <v>23.666666666666668</v>
      </c>
      <c r="F33" s="35">
        <f t="array" ref="F33">MAX(IF('OB History S2'!B:B=A33, 'OB History S2'!C:C))</f>
        <v>42</v>
      </c>
      <c r="G33" s="34">
        <f>COUNTIFS('OB History S2'!B:B,A33,'OB History S2'!D:D, 1)</f>
        <v>1</v>
      </c>
      <c r="H33" s="2">
        <f>COUNTIFS('OB History S2'!B:B,A33,'OB History S2'!D:D, 0)</f>
        <v>2</v>
      </c>
      <c r="I33" s="88">
        <f>LOOKUP(2, 1/('OB History S2'!$B:$B=A33), 'OB History S2'!$AD:$AD)</f>
        <v>0.33333333333333331</v>
      </c>
      <c r="J33" s="34">
        <f>SUMIFS('OB History S2'!F:F,'OB History S2'!B:B,A33)</f>
        <v>5</v>
      </c>
      <c r="K33" s="2">
        <f>SUMIFS('OB History S2'!E:E,'OB History S2'!B:B,A33)-J33</f>
        <v>8</v>
      </c>
      <c r="L33" s="88">
        <f>LOOKUP(2, 1/('OB History S2'!$B:$B=A33), 'OB History S2'!$AB:$AB)</f>
        <v>0.33333333333333331</v>
      </c>
      <c r="M33" s="34">
        <f>SUMIFS('OB History S2'!H:H,'OB History S2'!B:B,A33)</f>
        <v>28</v>
      </c>
      <c r="N33" s="2">
        <f>SUMIFS('OB History S2'!G:G,'OB History S2'!B:B,A33)-M33</f>
        <v>28</v>
      </c>
      <c r="O33" s="88">
        <f>LOOKUP(2, 1/('OB History S2'!$B:$B=A33), 'OB History S2'!$AC:$AC)</f>
        <v>0.47666666666666663</v>
      </c>
      <c r="P33" s="2">
        <f>COUNTIFS('OB History S2'!$B:$B,$A$33,'OB History S2'!K:K, 1)</f>
        <v>0</v>
      </c>
      <c r="Q33" s="2">
        <f>COUNTIFS('OB History S2'!$B:$B,$A$33,'OB History S2'!L:L, 1)</f>
        <v>0</v>
      </c>
      <c r="R33" s="2">
        <f>COUNTIFS('OB History S2'!$B:$B,$A$33,'OB History S2'!M:M, 1)</f>
        <v>2</v>
      </c>
      <c r="S33" s="2">
        <f>COUNTIFS('OB History S2'!$B:$B,$A$33,'OB History S2'!N:N, 1)</f>
        <v>0</v>
      </c>
      <c r="T33" s="2">
        <f>COUNTIFS('OB History S2'!$B:$B,$A$33,'OB History S2'!O:O, 1)</f>
        <v>0</v>
      </c>
      <c r="U33" s="2">
        <f>COUNTIFS('OB History S2'!$B:$B,$A$33,'OB History S2'!P:P, 1)</f>
        <v>0</v>
      </c>
      <c r="V33" s="2">
        <f>COUNTIFS('OB History S2'!$B:$B,$A$33,'OB History S2'!Q:Q, 1)</f>
        <v>1</v>
      </c>
      <c r="W33" s="2">
        <f>COUNTIFS('OB History S2'!$B:$B,$A$33,'OB History S2'!R:R, 1)</f>
        <v>0</v>
      </c>
      <c r="X33" s="2">
        <f>COUNTIFS('OB History S2'!$B:$B,$A$33,'OB History S2'!S:S, 1)</f>
        <v>0</v>
      </c>
      <c r="Y33" s="2">
        <f>COUNTIFS('OB History S2'!$B:$B,$A$33,'OB History S2'!T:T, 1)</f>
        <v>1</v>
      </c>
      <c r="Z33" s="2">
        <f>COUNTIFS('OB History S2'!$B:$B,$A$33,'OB History S2'!U:U, 1)</f>
        <v>0</v>
      </c>
      <c r="AA33" s="2">
        <f>COUNTIFS('OB History S2'!$B:$B,$A$33,'OB History S2'!V:V, 1)</f>
        <v>0</v>
      </c>
      <c r="AB33" s="2">
        <f>COUNTIFS('OB History S2'!$B:$B,$A$33,'OB History S2'!W:W, 1)</f>
        <v>0</v>
      </c>
      <c r="AC33" s="2">
        <f>COUNTIFS('OB History S2'!$B:$B,$A$33,'OB History S2'!X:X, 1)</f>
        <v>0</v>
      </c>
      <c r="AD33" s="2">
        <f>COUNTIFS('OB History S2'!$B:$B,$A$33,'OB History S2'!Y:Y, 1)</f>
        <v>1</v>
      </c>
      <c r="AE33" s="2">
        <f>COUNTIFS('OB History S2'!$B:$B,$A$33,'OB History S2'!Z:Z, 1)</f>
        <v>0</v>
      </c>
    </row>
    <row r="34" spans="1:31" x14ac:dyDescent="0.25">
      <c r="A34" s="2" t="s">
        <v>18</v>
      </c>
      <c r="B34" s="2" t="s">
        <v>79</v>
      </c>
      <c r="C34" s="2" t="s">
        <v>79</v>
      </c>
      <c r="D34" s="34">
        <f>SUMIFS('OB History S2'!C:C,'OB History S2'!B:B,A34)</f>
        <v>90</v>
      </c>
      <c r="E34" s="4">
        <f>AVERAGEIFS('OB History S2'!C:C,'OB History S2'!B:B,A34)</f>
        <v>22.5</v>
      </c>
      <c r="F34" s="35">
        <f t="array" ref="F34">MAX(IF('OB History S2'!B:B=A34, 'OB History S2'!C:C))</f>
        <v>28</v>
      </c>
      <c r="G34" s="34">
        <f>COUNTIFS('OB History S2'!B:B,A34,'OB History S2'!D:D, 1)</f>
        <v>4</v>
      </c>
      <c r="H34" s="2">
        <f>COUNTIFS('OB History S2'!B:B,A34,'OB History S2'!D:D, 0)</f>
        <v>0</v>
      </c>
      <c r="I34" s="88">
        <f>LOOKUP(2, 1/('OB History S2'!$B:$B=A34), 'OB History S2'!$AD:$AD)</f>
        <v>1</v>
      </c>
      <c r="J34" s="34">
        <f>SUMIFS('OB History S2'!F:F,'OB History S2'!B:B,A34)</f>
        <v>12</v>
      </c>
      <c r="K34" s="2">
        <f>SUMIFS('OB History S2'!E:E,'OB History S2'!B:B,A34)-J34</f>
        <v>2</v>
      </c>
      <c r="L34" s="88">
        <f>LOOKUP(2, 1/('OB History S2'!$B:$B=A34), 'OB History S2'!$AB:$AB)</f>
        <v>0.875</v>
      </c>
      <c r="M34" s="34">
        <f>SUMIFS('OB History S2'!H:H,'OB History S2'!B:B,A34)</f>
        <v>38</v>
      </c>
      <c r="N34" s="2">
        <f>SUMIFS('OB History S2'!G:G,'OB History S2'!B:B,A34)-M34</f>
        <v>15</v>
      </c>
      <c r="O34" s="88">
        <f>LOOKUP(2, 1/('OB History S2'!$B:$B=A34), 'OB History S2'!$AC:$AC)</f>
        <v>0.72</v>
      </c>
      <c r="P34" s="2">
        <f>COUNTIFS('OB History S2'!$B:$B,$A$34,'OB History S2'!K:K, 1)</f>
        <v>0</v>
      </c>
      <c r="Q34" s="2">
        <f>COUNTIFS('OB History S2'!$B:$B,$A$34,'OB History S2'!L:L, 1)</f>
        <v>2</v>
      </c>
      <c r="R34" s="2">
        <f>COUNTIFS('OB History S2'!$B:$B,$A$34,'OB History S2'!M:M, 1)</f>
        <v>0</v>
      </c>
      <c r="S34" s="2">
        <f>COUNTIFS('OB History S2'!$B:$B,$A$34,'OB History S2'!N:N, 1)</f>
        <v>1</v>
      </c>
      <c r="T34" s="2">
        <f>COUNTIFS('OB History S2'!$B:$B,$A$34,'OB History S2'!O:O, 1)</f>
        <v>0</v>
      </c>
      <c r="U34" s="2">
        <f>COUNTIFS('OB History S2'!$B:$B,$A$34,'OB History S2'!P:P, 1)</f>
        <v>1</v>
      </c>
      <c r="V34" s="2">
        <f>COUNTIFS('OB History S2'!$B:$B,$A$34,'OB History S2'!Q:Q, 1)</f>
        <v>1</v>
      </c>
      <c r="W34" s="2">
        <f>COUNTIFS('OB History S2'!$B:$B,$A$34,'OB History S2'!R:R, 1)</f>
        <v>0</v>
      </c>
      <c r="X34" s="2">
        <f>COUNTIFS('OB History S2'!$B:$B,$A$34,'OB History S2'!S:S, 1)</f>
        <v>0</v>
      </c>
      <c r="Y34" s="2">
        <f>COUNTIFS('OB History S2'!$B:$B,$A$34,'OB History S2'!T:T, 1)</f>
        <v>0</v>
      </c>
      <c r="Z34" s="2">
        <f>COUNTIFS('OB History S2'!$B:$B,$A$34,'OB History S2'!U:U, 1)</f>
        <v>1</v>
      </c>
      <c r="AA34" s="2">
        <f>COUNTIFS('OB History S2'!$B:$B,$A$34,'OB History S2'!V:V, 1)</f>
        <v>0</v>
      </c>
      <c r="AB34" s="2">
        <f>COUNTIFS('OB History S2'!$B:$B,$A$34,'OB History S2'!W:W, 1)</f>
        <v>1</v>
      </c>
      <c r="AC34" s="2">
        <f>COUNTIFS('OB History S2'!$B:$B,$A$34,'OB History S2'!X:X, 1)</f>
        <v>2</v>
      </c>
      <c r="AD34" s="2">
        <f>COUNTIFS('OB History S2'!$B:$B,$A$34,'OB History S2'!Y:Y, 1)</f>
        <v>2</v>
      </c>
      <c r="AE34" s="2">
        <f>COUNTIFS('OB History S2'!$B:$B,$A$34,'OB History S2'!Z:Z,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SUMIFS('OB History S2'!C:C,'OB History S2'!B:B,A35)</f>
        <v>69</v>
      </c>
      <c r="E35" s="4">
        <f>AVERAGEIFS('OB History S2'!C:C,'OB History S2'!B:B,A35)</f>
        <v>17.25</v>
      </c>
      <c r="F35" s="35">
        <f t="array" ref="F35">MAX(IF('OB History S2'!B:B=A35, 'OB History S2'!C:C))</f>
        <v>21</v>
      </c>
      <c r="G35" s="34">
        <f>COUNTIFS('OB History S2'!B:B,A35,'OB History S2'!D:D, 1)</f>
        <v>3</v>
      </c>
      <c r="H35" s="2">
        <f>COUNTIFS('OB History S2'!B:B,A35,'OB History S2'!D:D, 0)</f>
        <v>1</v>
      </c>
      <c r="I35" s="88">
        <f>LOOKUP(2, 1/('OB History S2'!$B:$B=A35), 'OB History S2'!$AD:$AD)</f>
        <v>0.75</v>
      </c>
      <c r="J35" s="34">
        <f>SUMIFS('OB History S2'!F:F,'OB History S2'!B:B,A35)</f>
        <v>9</v>
      </c>
      <c r="K35" s="2">
        <f>SUMIFS('OB History S2'!E:E,'OB History S2'!B:B,A35)-J35</f>
        <v>6</v>
      </c>
      <c r="L35" s="88">
        <f>LOOKUP(2, 1/('OB History S2'!$B:$B=A35), 'OB History S2'!$AB:$AB)</f>
        <v>0.58750000000000002</v>
      </c>
      <c r="M35" s="34">
        <f>SUMIFS('OB History S2'!H:H,'OB History S2'!B:B,A35)</f>
        <v>31</v>
      </c>
      <c r="N35" s="2">
        <f>SUMIFS('OB History S2'!G:G,'OB History S2'!B:B,A35)-M35</f>
        <v>28</v>
      </c>
      <c r="O35" s="88">
        <f>LOOKUP(2, 1/('OB History S2'!$B:$B=A35), 'OB History S2'!$AC:$AC)</f>
        <v>0.50749999999999995</v>
      </c>
      <c r="P35" s="2">
        <f>COUNTIFS('OB History S2'!$B:$B,$A$35,'OB History S2'!K:K, 1)</f>
        <v>0</v>
      </c>
      <c r="Q35" s="2">
        <f>COUNTIFS('OB History S2'!$B:$B,$A$35,'OB History S2'!L:L, 1)</f>
        <v>3</v>
      </c>
      <c r="R35" s="2">
        <f>COUNTIFS('OB History S2'!$B:$B,$A$35,'OB History S2'!M:M, 1)</f>
        <v>0</v>
      </c>
      <c r="S35" s="2">
        <f>COUNTIFS('OB History S2'!$B:$B,$A$35,'OB History S2'!N:N, 1)</f>
        <v>0</v>
      </c>
      <c r="T35" s="2">
        <f>COUNTIFS('OB History S2'!$B:$B,$A$35,'OB History S2'!O:O, 1)</f>
        <v>0</v>
      </c>
      <c r="U35" s="2">
        <f>COUNTIFS('OB History S2'!$B:$B,$A$35,'OB History S2'!P:P, 1)</f>
        <v>0</v>
      </c>
      <c r="V35" s="2">
        <f>COUNTIFS('OB History S2'!$B:$B,$A$35,'OB History S2'!Q:Q, 1)</f>
        <v>2</v>
      </c>
      <c r="W35" s="2">
        <f>COUNTIFS('OB History S2'!$B:$B,$A$35,'OB History S2'!R:R, 1)</f>
        <v>0</v>
      </c>
      <c r="X35" s="2">
        <f>COUNTIFS('OB History S2'!$B:$B,$A$35,'OB History S2'!S:S, 1)</f>
        <v>0</v>
      </c>
      <c r="Y35" s="2">
        <f>COUNTIFS('OB History S2'!$B:$B,$A$35,'OB History S2'!T:T, 1)</f>
        <v>0</v>
      </c>
      <c r="Z35" s="2">
        <f>COUNTIFS('OB History S2'!$B:$B,$A$35,'OB History S2'!U:U, 1)</f>
        <v>0</v>
      </c>
      <c r="AA35" s="2">
        <f>COUNTIFS('OB History S2'!$B:$B,$A$35,'OB History S2'!V:V, 1)</f>
        <v>0</v>
      </c>
      <c r="AB35" s="2">
        <f>COUNTIFS('OB History S2'!$B:$B,$A$35,'OB History S2'!W:W, 1)</f>
        <v>0</v>
      </c>
      <c r="AC35" s="2">
        <f>COUNTIFS('OB History S2'!$B:$B,$A$35,'OB History S2'!X:X, 1)</f>
        <v>2</v>
      </c>
      <c r="AD35" s="2">
        <f>COUNTIFS('OB History S2'!$B:$B,$A$35,'OB History S2'!Y:Y, 1)</f>
        <v>1</v>
      </c>
      <c r="AE35" s="2">
        <f>COUNTIFS('OB History S2'!$B:$B,$A$35,'OB History S2'!Z:Z, 1)</f>
        <v>1</v>
      </c>
    </row>
    <row r="36" spans="1:31" x14ac:dyDescent="0.25">
      <c r="A36" s="2" t="s">
        <v>14</v>
      </c>
      <c r="B36" s="6" t="s">
        <v>124</v>
      </c>
      <c r="C36" s="6" t="s">
        <v>124</v>
      </c>
      <c r="D36" s="34">
        <f>SUMIFS('OB History S2'!C:C,'OB History S2'!B:B,A36)</f>
        <v>155</v>
      </c>
      <c r="E36" s="4">
        <f>AVERAGEIFS('OB History S2'!C:C,'OB History S2'!B:B,A36)</f>
        <v>22.142857142857142</v>
      </c>
      <c r="F36" s="35">
        <f t="array" ref="F36">MAX(IF('OB History S2'!B:B=A36, 'OB History S2'!C:C))</f>
        <v>37</v>
      </c>
      <c r="G36" s="34">
        <f>COUNTIFS('OB History S2'!B:B,A36,'OB History S2'!D:D, 1)</f>
        <v>2</v>
      </c>
      <c r="H36" s="2">
        <f>COUNTIFS('OB History S2'!B:B,A36,'OB History S2'!D:D, 0)</f>
        <v>5</v>
      </c>
      <c r="I36" s="88">
        <f>LOOKUP(2, 1/('OB History S2'!$B:$B=A36), 'OB History S2'!$AD:$AD)</f>
        <v>0.2857142857142857</v>
      </c>
      <c r="J36" s="34">
        <f>SUMIFS('OB History S2'!F:F,'OB History S2'!B:B,A36)</f>
        <v>12</v>
      </c>
      <c r="K36" s="2">
        <f>SUMIFS('OB History S2'!E:E,'OB History S2'!B:B,A36)-J36</f>
        <v>16</v>
      </c>
      <c r="L36" s="88">
        <f>LOOKUP(2, 1/('OB History S2'!$B:$B=A36), 'OB History S2'!$AB:$AB)</f>
        <v>0.43571428571428567</v>
      </c>
      <c r="M36" s="34">
        <f>SUMIFS('OB History S2'!H:H,'OB History S2'!B:B,A36)</f>
        <v>47</v>
      </c>
      <c r="N36" s="2">
        <f>SUMIFS('OB History S2'!G:G,'OB History S2'!B:B,A36)-M36</f>
        <v>60</v>
      </c>
      <c r="O36" s="88">
        <f>LOOKUP(2, 1/('OB History S2'!$B:$B=A36), 'OB History S2'!$AC:$AC)</f>
        <v>0.45857142857142857</v>
      </c>
      <c r="P36" s="2">
        <f>COUNTIFS('OB History S2'!$B:$B,$A$36,'OB History S2'!K:K, 1)</f>
        <v>0</v>
      </c>
      <c r="Q36" s="2">
        <f>COUNTIFS('OB History S2'!$B:$B,$A$36,'OB History S2'!L:L, 1)</f>
        <v>2</v>
      </c>
      <c r="R36" s="2">
        <f>COUNTIFS('OB History S2'!$B:$B,$A$36,'OB History S2'!M:M, 1)</f>
        <v>0</v>
      </c>
      <c r="S36" s="2">
        <f>COUNTIFS('OB History S2'!$B:$B,$A$36,'OB History S2'!N:N, 1)</f>
        <v>1</v>
      </c>
      <c r="T36" s="2">
        <f>COUNTIFS('OB History S2'!$B:$B,$A$36,'OB History S2'!O:O, 1)</f>
        <v>0</v>
      </c>
      <c r="U36" s="2">
        <f>COUNTIFS('OB History S2'!$B:$B,$A$36,'OB History S2'!P:P, 1)</f>
        <v>1</v>
      </c>
      <c r="V36" s="2">
        <f>COUNTIFS('OB History S2'!$B:$B,$A$36,'OB History S2'!Q:Q, 1)</f>
        <v>1</v>
      </c>
      <c r="W36" s="2">
        <f>COUNTIFS('OB History S2'!$B:$B,$A$36,'OB History S2'!R:R, 1)</f>
        <v>0</v>
      </c>
      <c r="X36" s="2">
        <f>COUNTIFS('OB History S2'!$B:$B,$A$36,'OB History S2'!S:S, 1)</f>
        <v>0</v>
      </c>
      <c r="Y36" s="2">
        <f>COUNTIFS('OB History S2'!$B:$B,$A$36,'OB History S2'!T:T, 1)</f>
        <v>0</v>
      </c>
      <c r="Z36" s="2">
        <f>COUNTIFS('OB History S2'!$B:$B,$A$36,'OB History S2'!U:U, 1)</f>
        <v>0</v>
      </c>
      <c r="AA36" s="2">
        <f>COUNTIFS('OB History S2'!$B:$B,$A$36,'OB History S2'!V:V, 1)</f>
        <v>0</v>
      </c>
      <c r="AB36" s="2">
        <f>COUNTIFS('OB History S2'!$B:$B,$A$36,'OB History S2'!W:W, 1)</f>
        <v>1</v>
      </c>
      <c r="AC36" s="2">
        <f>COUNTIFS('OB History S2'!$B:$B,$A$36,'OB History S2'!X:X, 1)</f>
        <v>5</v>
      </c>
      <c r="AD36" s="2">
        <f>COUNTIFS('OB History S2'!$B:$B,$A$36,'OB History S2'!Y:Y, 1)</f>
        <v>1</v>
      </c>
      <c r="AE36" s="2">
        <f>COUNTIFS('OB History S2'!$B:$B,$A$36,'OB History S2'!Z:Z, 1)</f>
        <v>0</v>
      </c>
    </row>
    <row r="37" spans="1:31" x14ac:dyDescent="0.25">
      <c r="A37" s="2" t="s">
        <v>4</v>
      </c>
      <c r="B37" s="2" t="s">
        <v>79</v>
      </c>
      <c r="C37" s="2" t="s">
        <v>79</v>
      </c>
      <c r="D37" s="34">
        <f>SUMIFS('OB History S2'!C:C,'OB History S2'!B:B,A37)</f>
        <v>65</v>
      </c>
      <c r="E37" s="4">
        <f>AVERAGEIFS('OB History S2'!C:C,'OB History S2'!B:B,A37)</f>
        <v>21.666666666666668</v>
      </c>
      <c r="F37" s="35">
        <f t="array" ref="F37">MAX(IF('OB History S2'!B:B=A37, 'OB History S2'!C:C))</f>
        <v>31</v>
      </c>
      <c r="G37" s="34">
        <f>COUNTIFS('OB History S2'!B:B,A37,'OB History S2'!D:D, 1)</f>
        <v>1</v>
      </c>
      <c r="H37" s="2">
        <f>COUNTIFS('OB History S2'!B:B,A37,'OB History S2'!D:D, 0)</f>
        <v>2</v>
      </c>
      <c r="I37" s="88">
        <f>LOOKUP(2, 1/('OB History S2'!$B:$B=A37), 'OB History S2'!$AD:$AD)</f>
        <v>0.33333333333333331</v>
      </c>
      <c r="J37" s="34">
        <f>SUMIFS('OB History S2'!F:F,'OB History S2'!B:B,A37)</f>
        <v>5</v>
      </c>
      <c r="K37" s="2">
        <f>SUMIFS('OB History S2'!E:E,'OB History S2'!B:B,A37)-J37</f>
        <v>8</v>
      </c>
      <c r="L37" s="88">
        <f>LOOKUP(2, 1/('OB History S2'!$B:$B=A37), 'OB History S2'!$AB:$AB)</f>
        <v>0.33333333333333331</v>
      </c>
      <c r="M37" s="34">
        <f>SUMIFS('OB History S2'!H:H,'OB History S2'!B:B,A37)</f>
        <v>24</v>
      </c>
      <c r="N37" s="2">
        <f>SUMIFS('OB History S2'!G:G,'OB History S2'!B:B,A37)-M37</f>
        <v>30</v>
      </c>
      <c r="O37" s="88">
        <f>LOOKUP(2, 1/('OB History S2'!$B:$B=A37), 'OB History S2'!$AC:$AC)</f>
        <v>0.39999999999999997</v>
      </c>
      <c r="P37" s="2">
        <f>COUNTIFS('OB History S2'!$B:$B,$A$37,'OB History S2'!K:K, 1)</f>
        <v>0</v>
      </c>
      <c r="Q37" s="2">
        <f>COUNTIFS('OB History S2'!$B:$B,$A$37,'OB History S2'!L:L, 1)</f>
        <v>1</v>
      </c>
      <c r="R37" s="2">
        <f>COUNTIFS('OB History S2'!$B:$B,$A$37,'OB History S2'!M:M, 1)</f>
        <v>1</v>
      </c>
      <c r="S37" s="2">
        <f>COUNTIFS('OB History S2'!$B:$B,$A$37,'OB History S2'!N:N, 1)</f>
        <v>0</v>
      </c>
      <c r="T37" s="2">
        <f>COUNTIFS('OB History S2'!$B:$B,$A$37,'OB History S2'!O:O, 1)</f>
        <v>0</v>
      </c>
      <c r="U37" s="2">
        <f>COUNTIFS('OB History S2'!$B:$B,$A$37,'OB History S2'!P:P, 1)</f>
        <v>0</v>
      </c>
      <c r="V37" s="2">
        <f>COUNTIFS('OB History S2'!$B:$B,$A$37,'OB History S2'!Q:Q, 1)</f>
        <v>1</v>
      </c>
      <c r="W37" s="2">
        <f>COUNTIFS('OB History S2'!$B:$B,$A$37,'OB History S2'!R:R, 1)</f>
        <v>0</v>
      </c>
      <c r="X37" s="2">
        <f>COUNTIFS('OB History S2'!$B:$B,$A$37,'OB History S2'!S:S, 1)</f>
        <v>0</v>
      </c>
      <c r="Y37" s="2">
        <f>COUNTIFS('OB History S2'!$B:$B,$A$37,'OB History S2'!T:T, 1)</f>
        <v>0</v>
      </c>
      <c r="Z37" s="2">
        <f>COUNTIFS('OB History S2'!$B:$B,$A$37,'OB History S2'!U:U, 1)</f>
        <v>0</v>
      </c>
      <c r="AA37" s="2">
        <f>COUNTIFS('OB History S2'!$B:$B,$A$37,'OB History S2'!V:V, 1)</f>
        <v>0</v>
      </c>
      <c r="AB37" s="2">
        <f>COUNTIFS('OB History S2'!$B:$B,$A$37,'OB History S2'!W:W, 1)</f>
        <v>0</v>
      </c>
      <c r="AC37" s="2">
        <f>COUNTIFS('OB History S2'!$B:$B,$A$37,'OB History S2'!X:X, 1)</f>
        <v>1</v>
      </c>
      <c r="AD37" s="2">
        <f>COUNTIFS('OB History S2'!$B:$B,$A$37,'OB History S2'!Y:Y, 1)</f>
        <v>1</v>
      </c>
      <c r="AE37" s="2">
        <f>COUNTIFS('OB History S2'!$B:$B,$A$37,'OB History S2'!Z:Z, 1)</f>
        <v>0</v>
      </c>
    </row>
    <row r="38" spans="1:31" x14ac:dyDescent="0.25">
      <c r="A38" s="2" t="s">
        <v>55</v>
      </c>
      <c r="B38" s="2" t="s">
        <v>79</v>
      </c>
      <c r="C38" s="2" t="s">
        <v>79</v>
      </c>
      <c r="D38" s="34">
        <f>SUMIFS('OB History S2'!C:C,'OB History S2'!B:B,A38)</f>
        <v>16</v>
      </c>
      <c r="E38" s="4">
        <f>AVERAGEIFS('OB History S2'!C:C,'OB History S2'!B:B,A38)</f>
        <v>5.333333333333333</v>
      </c>
      <c r="F38" s="35">
        <f t="array" ref="F38">MAX(IF('OB History S2'!B:B=A38, 'OB History S2'!C:C))</f>
        <v>7</v>
      </c>
      <c r="G38" s="34">
        <f>COUNTIFS('OB History S2'!B:B,A38,'OB History S2'!D:D, 1)</f>
        <v>2</v>
      </c>
      <c r="H38" s="2">
        <f>COUNTIFS('OB History S2'!B:B,A38,'OB History S2'!D:D, 0)</f>
        <v>1</v>
      </c>
      <c r="I38" s="88">
        <f>LOOKUP(2, 1/('OB History S2'!$B:$B=A38), 'OB History S2'!$AD:$AD)</f>
        <v>0.66666666666666663</v>
      </c>
      <c r="J38" s="34">
        <f>SUMIFS('OB History S2'!F:F,'OB History S2'!B:B,A38)</f>
        <v>7</v>
      </c>
      <c r="K38" s="2">
        <f>SUMIFS('OB History S2'!E:E,'OB History S2'!B:B,A38)-J38</f>
        <v>4</v>
      </c>
      <c r="L38" s="88">
        <f>LOOKUP(2, 1/('OB History S2'!$B:$B=A38), 'OB History S2'!$AB:$AB)</f>
        <v>0.66666666666666663</v>
      </c>
      <c r="M38" s="34">
        <f>SUMIFS('OB History S2'!H:H,'OB History S2'!B:B,A38)</f>
        <v>25</v>
      </c>
      <c r="N38" s="2">
        <f>SUMIFS('OB History S2'!G:G,'OB History S2'!B:B,A38)-M38</f>
        <v>15</v>
      </c>
      <c r="O38" s="88">
        <f>LOOKUP(2, 1/('OB History S2'!$B:$B=A38), 'OB History S2'!$AC:$AC)</f>
        <v>0.6366666666666666</v>
      </c>
      <c r="P38" s="2">
        <f>COUNTIFS('OB History S2'!$B:$B,$A$38,'OB History S2'!K:K, 1)</f>
        <v>0</v>
      </c>
      <c r="Q38" s="2">
        <f>COUNTIFS('OB History S2'!$B:$B,$A$38,'OB History S2'!L:L, 1)</f>
        <v>1</v>
      </c>
      <c r="R38" s="2">
        <f>COUNTIFS('OB History S2'!$B:$B,$A$38,'OB History S2'!M:M, 1)</f>
        <v>0</v>
      </c>
      <c r="S38" s="2">
        <f>COUNTIFS('OB History S2'!$B:$B,$A$38,'OB History S2'!N:N, 1)</f>
        <v>1</v>
      </c>
      <c r="T38" s="2">
        <f>COUNTIFS('OB History S2'!$B:$B,$A$38,'OB History S2'!O:O, 1)</f>
        <v>0</v>
      </c>
      <c r="U38" s="2">
        <f>COUNTIFS('OB History S2'!$B:$B,$A$38,'OB History S2'!P:P, 1)</f>
        <v>0</v>
      </c>
      <c r="V38" s="2">
        <f>COUNTIFS('OB History S2'!$B:$B,$A$38,'OB History S2'!Q:Q, 1)</f>
        <v>0</v>
      </c>
      <c r="W38" s="2">
        <f>COUNTIFS('OB History S2'!$B:$B,$A$38,'OB History S2'!R:R, 1)</f>
        <v>0</v>
      </c>
      <c r="X38" s="2">
        <f>COUNTIFS('OB History S2'!$B:$B,$A$38,'OB History S2'!S:S, 1)</f>
        <v>0</v>
      </c>
      <c r="Y38" s="2">
        <f>COUNTIFS('OB History S2'!$B:$B,$A$38,'OB History S2'!T:T, 1)</f>
        <v>0</v>
      </c>
      <c r="Z38" s="2">
        <f>COUNTIFS('OB History S2'!$B:$B,$A$38,'OB History S2'!U:U, 1)</f>
        <v>1</v>
      </c>
      <c r="AA38" s="2">
        <f>COUNTIFS('OB History S2'!$B:$B,$A$38,'OB History S2'!V:V, 1)</f>
        <v>0</v>
      </c>
      <c r="AB38" s="2">
        <f>COUNTIFS('OB History S2'!$B:$B,$A$38,'OB History S2'!W:W, 1)</f>
        <v>0</v>
      </c>
      <c r="AC38" s="2">
        <f>COUNTIFS('OB History S2'!$B:$B,$A$38,'OB History S2'!X:X, 1)</f>
        <v>3</v>
      </c>
      <c r="AD38" s="2">
        <f>COUNTIFS('OB History S2'!$B:$B,$A$38,'OB History S2'!Y:Y, 1)</f>
        <v>1</v>
      </c>
      <c r="AE38" s="2">
        <f>COUNTIFS('OB History S2'!$B:$B,$A$38,'OB History S2'!Z:Z, 1)</f>
        <v>0</v>
      </c>
    </row>
  </sheetData>
  <autoFilter ref="A1:AE37" xr:uid="{EEC03B8F-669F-4FC0-BA62-50F3D395660C}">
    <sortState xmlns:xlrd2="http://schemas.microsoft.com/office/spreadsheetml/2017/richdata2" ref="A2:AE38">
      <sortCondition ref="A1:A37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8"/>
  <sheetViews>
    <sheetView tabSelected="1" workbookViewId="0">
      <pane ySplit="1" topLeftCell="A119" activePane="bottomLeft" state="frozen"/>
      <selection pane="bottomLeft" activeCell="G163" sqref="G163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149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142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156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149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153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142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142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149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148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147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149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148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141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155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151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149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156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140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155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149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151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156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140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140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156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149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140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149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156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140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156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149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140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151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156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149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155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149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153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156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/>
      <c r="AA152" s="86"/>
      <c r="AB152" s="86"/>
      <c r="AC152" s="86"/>
      <c r="AD152" s="86"/>
    </row>
    <row r="153" spans="1:30" x14ac:dyDescent="0.25">
      <c r="A153" s="85"/>
      <c r="AA153" s="86"/>
      <c r="AB153" s="86"/>
      <c r="AC153" s="86"/>
      <c r="AD153" s="86"/>
    </row>
    <row r="154" spans="1:30" x14ac:dyDescent="0.25">
      <c r="A154" s="85"/>
      <c r="AA154" s="86"/>
      <c r="AB154" s="86"/>
      <c r="AC154" s="86"/>
      <c r="AD154" s="86"/>
    </row>
    <row r="155" spans="1:30" x14ac:dyDescent="0.25">
      <c r="A155" s="85"/>
      <c r="AA155" s="86"/>
      <c r="AB155" s="86"/>
      <c r="AC155" s="86"/>
      <c r="AD155" s="86"/>
    </row>
    <row r="156" spans="1:30" x14ac:dyDescent="0.25">
      <c r="A156" s="85"/>
      <c r="AA156" s="86"/>
      <c r="AB156" s="86"/>
      <c r="AC156" s="86"/>
      <c r="AD156" s="86"/>
    </row>
    <row r="157" spans="1:30" x14ac:dyDescent="0.25">
      <c r="A157" s="85"/>
      <c r="AA157" s="86"/>
      <c r="AB157" s="86"/>
      <c r="AC157" s="86"/>
      <c r="AD157" s="86"/>
    </row>
    <row r="158" spans="1:30" x14ac:dyDescent="0.25">
      <c r="A158" s="85"/>
      <c r="AA158" s="86"/>
      <c r="AB158" s="86"/>
      <c r="AC158" s="86"/>
      <c r="AD158" s="86"/>
    </row>
    <row r="159" spans="1:30" x14ac:dyDescent="0.25">
      <c r="A159" s="85"/>
      <c r="AA159" s="86"/>
      <c r="AB159" s="86"/>
      <c r="AC159" s="86"/>
      <c r="AD159" s="86"/>
    </row>
    <row r="160" spans="1:30" x14ac:dyDescent="0.25">
      <c r="A160" s="85"/>
      <c r="AA160" s="86"/>
      <c r="AB160" s="86"/>
      <c r="AC160" s="86"/>
      <c r="AD160" s="86"/>
    </row>
    <row r="161" spans="1:30" x14ac:dyDescent="0.25">
      <c r="A161" s="85"/>
      <c r="AA161" s="86"/>
      <c r="AB161" s="86"/>
      <c r="AC161" s="86"/>
      <c r="AD161" s="86"/>
    </row>
    <row r="162" spans="1:30" x14ac:dyDescent="0.25">
      <c r="A162" s="85"/>
      <c r="AA162" s="86"/>
      <c r="AB162" s="86"/>
      <c r="AC162" s="86"/>
      <c r="AD162" s="86"/>
    </row>
    <row r="163" spans="1:30" x14ac:dyDescent="0.25">
      <c r="A163" s="85"/>
      <c r="AA163" s="86"/>
      <c r="AB163" s="86"/>
      <c r="AC163" s="86"/>
      <c r="AD163" s="86"/>
    </row>
    <row r="164" spans="1:30" x14ac:dyDescent="0.25">
      <c r="A164" s="85"/>
      <c r="AA164" s="86"/>
      <c r="AB164" s="86"/>
      <c r="AC164" s="86"/>
      <c r="AD164" s="86"/>
    </row>
    <row r="165" spans="1:30" x14ac:dyDescent="0.25">
      <c r="A165" s="85"/>
      <c r="AA165" s="86"/>
      <c r="AB165" s="86"/>
      <c r="AC165" s="86"/>
      <c r="AD165" s="86"/>
    </row>
    <row r="166" spans="1:30" x14ac:dyDescent="0.25">
      <c r="A166" s="85"/>
      <c r="AA166" s="86"/>
      <c r="AB166" s="86"/>
      <c r="AC166" s="86"/>
      <c r="AD166" s="86"/>
    </row>
    <row r="167" spans="1:30" x14ac:dyDescent="0.25">
      <c r="A167" s="85"/>
      <c r="AA167" s="86"/>
      <c r="AB167" s="86"/>
      <c r="AC167" s="86"/>
      <c r="AD167" s="86"/>
    </row>
    <row r="168" spans="1:30" x14ac:dyDescent="0.25">
      <c r="A168" s="85"/>
      <c r="AA168" s="86"/>
      <c r="AB168" s="86"/>
      <c r="AC168" s="86"/>
      <c r="AD168" s="86"/>
    </row>
    <row r="169" spans="1:30" x14ac:dyDescent="0.25">
      <c r="A169" s="85"/>
      <c r="AA169" s="86"/>
      <c r="AB169" s="86"/>
      <c r="AC169" s="86"/>
      <c r="AD169" s="86"/>
    </row>
    <row r="170" spans="1:30" x14ac:dyDescent="0.25">
      <c r="A170" s="85"/>
      <c r="AA170" s="86"/>
      <c r="AB170" s="86"/>
      <c r="AC170" s="86"/>
      <c r="AD170" s="86"/>
    </row>
    <row r="171" spans="1:30" x14ac:dyDescent="0.25">
      <c r="A171" s="85"/>
      <c r="AA171" s="86"/>
      <c r="AB171" s="86"/>
      <c r="AC171" s="86"/>
      <c r="AD171" s="86"/>
    </row>
    <row r="172" spans="1:30" x14ac:dyDescent="0.25">
      <c r="A172" s="85"/>
      <c r="AA172" s="86"/>
      <c r="AB172" s="86"/>
      <c r="AC172" s="86"/>
      <c r="AD172" s="86"/>
    </row>
    <row r="173" spans="1:30" x14ac:dyDescent="0.25">
      <c r="A173" s="85"/>
      <c r="AA173" s="86"/>
      <c r="AB173" s="86"/>
      <c r="AC173" s="86"/>
      <c r="AD173" s="86"/>
    </row>
    <row r="174" spans="1:30" x14ac:dyDescent="0.25">
      <c r="A174" s="85"/>
      <c r="AA174" s="86"/>
      <c r="AB174" s="86"/>
      <c r="AC174" s="86"/>
      <c r="AD174" s="86"/>
    </row>
    <row r="175" spans="1:30" x14ac:dyDescent="0.25">
      <c r="A175" s="85"/>
      <c r="AA175" s="86"/>
      <c r="AB175" s="86"/>
      <c r="AC175" s="86"/>
      <c r="AD175" s="86"/>
    </row>
    <row r="176" spans="1:30" x14ac:dyDescent="0.25">
      <c r="A176" s="85"/>
      <c r="AA176" s="86"/>
      <c r="AB176" s="86"/>
      <c r="AC176" s="86"/>
      <c r="AD176" s="86"/>
    </row>
    <row r="177" spans="1:30" x14ac:dyDescent="0.25">
      <c r="A177" s="85"/>
      <c r="AA177" s="86"/>
      <c r="AB177" s="86"/>
      <c r="AC177" s="86"/>
      <c r="AD177" s="86"/>
    </row>
    <row r="178" spans="1:30" x14ac:dyDescent="0.25">
      <c r="A178" s="85"/>
      <c r="AA178" s="86"/>
      <c r="AB178" s="86"/>
      <c r="AC178" s="86"/>
      <c r="AD178" s="86"/>
    </row>
    <row r="179" spans="1:30" x14ac:dyDescent="0.25">
      <c r="A179" s="85"/>
      <c r="AA179" s="86"/>
      <c r="AB179" s="86"/>
      <c r="AC179" s="86"/>
      <c r="AD179" s="86"/>
    </row>
    <row r="180" spans="1:30" x14ac:dyDescent="0.25">
      <c r="A180" s="85"/>
      <c r="AA180" s="86"/>
      <c r="AB180" s="86"/>
      <c r="AC180" s="86"/>
      <c r="AD180" s="86"/>
    </row>
    <row r="181" spans="1:30" x14ac:dyDescent="0.25">
      <c r="A181" s="85"/>
      <c r="AA181" s="86"/>
      <c r="AB181" s="86"/>
      <c r="AC181" s="86"/>
      <c r="AD181" s="86"/>
    </row>
    <row r="182" spans="1:30" x14ac:dyDescent="0.25">
      <c r="A182" s="85"/>
      <c r="AA182" s="86"/>
      <c r="AB182" s="86"/>
      <c r="AC182" s="86"/>
      <c r="AD182" s="86"/>
    </row>
    <row r="183" spans="1:30" x14ac:dyDescent="0.25">
      <c r="A183" s="85"/>
      <c r="AA183" s="86"/>
      <c r="AB183" s="86"/>
      <c r="AC183" s="86"/>
      <c r="AD183" s="86"/>
    </row>
    <row r="184" spans="1:30" x14ac:dyDescent="0.25">
      <c r="A184" s="85"/>
      <c r="AA184" s="86"/>
      <c r="AB184" s="86"/>
      <c r="AC184" s="86"/>
      <c r="AD184" s="86"/>
    </row>
    <row r="185" spans="1:30" x14ac:dyDescent="0.25">
      <c r="A185" s="85"/>
      <c r="AA185" s="86"/>
      <c r="AB185" s="86"/>
      <c r="AC185" s="86"/>
      <c r="AD185" s="86"/>
    </row>
    <row r="186" spans="1:30" x14ac:dyDescent="0.25">
      <c r="A186" s="85"/>
      <c r="AA186" s="86"/>
      <c r="AB186" s="86"/>
      <c r="AC186" s="86"/>
      <c r="AD186" s="86"/>
    </row>
    <row r="187" spans="1:30" x14ac:dyDescent="0.25">
      <c r="A187" s="85"/>
      <c r="AA187" s="86"/>
      <c r="AB187" s="86"/>
      <c r="AC187" s="86"/>
      <c r="AD187" s="86"/>
    </row>
    <row r="188" spans="1:30" x14ac:dyDescent="0.25">
      <c r="A188" s="85"/>
      <c r="AA188" s="86"/>
      <c r="AB188" s="86"/>
      <c r="AC188" s="86"/>
      <c r="AD188" s="86"/>
    </row>
    <row r="189" spans="1:30" x14ac:dyDescent="0.25">
      <c r="A189" s="85"/>
      <c r="AA189" s="86"/>
      <c r="AB189" s="86"/>
      <c r="AC189" s="86"/>
      <c r="AD189" s="86"/>
    </row>
    <row r="190" spans="1:30" x14ac:dyDescent="0.25">
      <c r="A190" s="85"/>
      <c r="AA190" s="86"/>
      <c r="AB190" s="86"/>
      <c r="AC190" s="86"/>
      <c r="AD190" s="86"/>
    </row>
    <row r="191" spans="1:30" x14ac:dyDescent="0.25">
      <c r="A191" s="85"/>
      <c r="AA191" s="86"/>
      <c r="AB191" s="86"/>
      <c r="AC191" s="86"/>
      <c r="AD191" s="86"/>
    </row>
    <row r="192" spans="1:30" x14ac:dyDescent="0.25">
      <c r="A192" s="85"/>
      <c r="AA192" s="86"/>
      <c r="AB192" s="86"/>
      <c r="AC192" s="86"/>
      <c r="AD192" s="86"/>
    </row>
    <row r="193" spans="1:30" x14ac:dyDescent="0.25">
      <c r="A193" s="85"/>
      <c r="AA193" s="86"/>
      <c r="AB193" s="86"/>
      <c r="AC193" s="86"/>
      <c r="AD193" s="86"/>
    </row>
    <row r="194" spans="1:30" x14ac:dyDescent="0.25">
      <c r="A194" s="85"/>
      <c r="AA194" s="86"/>
      <c r="AB194" s="86"/>
      <c r="AC194" s="86"/>
      <c r="AD194" s="86"/>
    </row>
    <row r="195" spans="1:30" x14ac:dyDescent="0.25">
      <c r="A195" s="85"/>
      <c r="AA195" s="86"/>
      <c r="AB195" s="86"/>
      <c r="AC195" s="86"/>
      <c r="AD195" s="86"/>
    </row>
    <row r="196" spans="1:30" x14ac:dyDescent="0.25">
      <c r="A196" s="85"/>
      <c r="AA196" s="86"/>
      <c r="AB196" s="86"/>
      <c r="AC196" s="86"/>
      <c r="AD196" s="86"/>
    </row>
    <row r="197" spans="1:30" x14ac:dyDescent="0.25">
      <c r="A197" s="85"/>
      <c r="AA197" s="86"/>
      <c r="AB197" s="86"/>
      <c r="AC197" s="86"/>
      <c r="AD197" s="86"/>
    </row>
    <row r="198" spans="1:30" x14ac:dyDescent="0.25">
      <c r="A198" s="85"/>
      <c r="AA198" s="86"/>
      <c r="AB198" s="86"/>
      <c r="AC198" s="86"/>
      <c r="AD198" s="86"/>
    </row>
    <row r="199" spans="1:30" x14ac:dyDescent="0.25">
      <c r="A199" s="85"/>
      <c r="AA199" s="86"/>
      <c r="AB199" s="86"/>
      <c r="AC199" s="86"/>
      <c r="AD199" s="86"/>
    </row>
    <row r="200" spans="1:30" x14ac:dyDescent="0.25">
      <c r="A200" s="85"/>
      <c r="AA200" s="86"/>
      <c r="AB200" s="86"/>
      <c r="AC200" s="86"/>
      <c r="AD200" s="86"/>
    </row>
    <row r="201" spans="1:30" x14ac:dyDescent="0.25">
      <c r="A201" s="85"/>
      <c r="AA201" s="86"/>
      <c r="AB201" s="86"/>
      <c r="AC201" s="86"/>
      <c r="AD201" s="86"/>
    </row>
    <row r="202" spans="1:30" x14ac:dyDescent="0.25">
      <c r="A202" s="85"/>
      <c r="AA202" s="86"/>
      <c r="AB202" s="86"/>
      <c r="AC202" s="86"/>
      <c r="AD202" s="86"/>
    </row>
    <row r="203" spans="1:30" x14ac:dyDescent="0.25">
      <c r="A203" s="85"/>
      <c r="AA203" s="86"/>
      <c r="AB203" s="86"/>
      <c r="AC203" s="86"/>
      <c r="AD203" s="86"/>
    </row>
    <row r="204" spans="1:30" x14ac:dyDescent="0.25">
      <c r="A204" s="85"/>
      <c r="AA204" s="86"/>
      <c r="AB204" s="86"/>
      <c r="AC204" s="86"/>
      <c r="AD204" s="86"/>
    </row>
    <row r="205" spans="1:30" x14ac:dyDescent="0.25">
      <c r="A205" s="85"/>
      <c r="AA205" s="86"/>
      <c r="AB205" s="86"/>
      <c r="AC205" s="86"/>
      <c r="AD205" s="86"/>
    </row>
    <row r="206" spans="1:30" x14ac:dyDescent="0.25">
      <c r="A206" s="85"/>
      <c r="AA206" s="86"/>
      <c r="AB206" s="86"/>
      <c r="AC206" s="86"/>
      <c r="AD206" s="86"/>
    </row>
    <row r="207" spans="1:30" x14ac:dyDescent="0.25">
      <c r="A207" s="85"/>
      <c r="AA207" s="86"/>
      <c r="AB207" s="86"/>
      <c r="AC207" s="86"/>
      <c r="AD207" s="86"/>
    </row>
    <row r="208" spans="1:30" x14ac:dyDescent="0.25">
      <c r="A208" s="85"/>
      <c r="AA208" s="86"/>
      <c r="AB208" s="86"/>
      <c r="AC208" s="86"/>
      <c r="AD208" s="86"/>
    </row>
    <row r="209" spans="1:30" x14ac:dyDescent="0.25">
      <c r="A209" s="85"/>
      <c r="AA209" s="86"/>
      <c r="AB209" s="86"/>
      <c r="AC209" s="86"/>
      <c r="AD209" s="86"/>
    </row>
    <row r="210" spans="1:30" x14ac:dyDescent="0.25">
      <c r="A210" s="85"/>
      <c r="AA210" s="86"/>
      <c r="AB210" s="86"/>
      <c r="AC210" s="86"/>
      <c r="AD210" s="86"/>
    </row>
    <row r="211" spans="1:30" x14ac:dyDescent="0.25">
      <c r="A211" s="85"/>
      <c r="AA211" s="86"/>
      <c r="AB211" s="86"/>
      <c r="AC211" s="86"/>
      <c r="AD211" s="86"/>
    </row>
    <row r="212" spans="1:30" x14ac:dyDescent="0.25">
      <c r="A212" s="85"/>
      <c r="AA212" s="86"/>
      <c r="AB212" s="86"/>
      <c r="AC212" s="86"/>
      <c r="AD212" s="86"/>
    </row>
    <row r="213" spans="1:30" x14ac:dyDescent="0.25">
      <c r="A213" s="85"/>
      <c r="AA213" s="86"/>
      <c r="AB213" s="86"/>
      <c r="AC213" s="86"/>
      <c r="AD213" s="86"/>
    </row>
    <row r="214" spans="1:30" x14ac:dyDescent="0.25">
      <c r="A214" s="85"/>
      <c r="AA214" s="86"/>
      <c r="AB214" s="86"/>
      <c r="AC214" s="86"/>
      <c r="AD214" s="86"/>
    </row>
    <row r="215" spans="1:30" x14ac:dyDescent="0.25">
      <c r="A215" s="85"/>
      <c r="AA215" s="86"/>
      <c r="AB215" s="86"/>
      <c r="AC215" s="86"/>
      <c r="AD215" s="86"/>
    </row>
    <row r="216" spans="1:30" x14ac:dyDescent="0.25">
      <c r="A216" s="85"/>
      <c r="AA216" s="86"/>
      <c r="AB216" s="86"/>
      <c r="AC216" s="86"/>
      <c r="AD216" s="86"/>
    </row>
    <row r="217" spans="1:30" x14ac:dyDescent="0.25">
      <c r="A217" s="85"/>
      <c r="AA217" s="86"/>
      <c r="AB217" s="86"/>
      <c r="AC217" s="86"/>
      <c r="AD217" s="86"/>
    </row>
    <row r="218" spans="1:30" x14ac:dyDescent="0.25">
      <c r="A218" s="85"/>
      <c r="AA218" s="86"/>
      <c r="AB218" s="86"/>
      <c r="AC218" s="86"/>
      <c r="AD218" s="86"/>
    </row>
    <row r="219" spans="1:30" x14ac:dyDescent="0.25">
      <c r="A219" s="85"/>
      <c r="AA219" s="86"/>
      <c r="AB219" s="86"/>
      <c r="AC219" s="86"/>
      <c r="AD219" s="86"/>
    </row>
    <row r="220" spans="1:30" x14ac:dyDescent="0.25">
      <c r="A220" s="85"/>
      <c r="AA220" s="86"/>
      <c r="AB220" s="86"/>
      <c r="AC220" s="86"/>
      <c r="AD220" s="86"/>
    </row>
    <row r="221" spans="1:30" x14ac:dyDescent="0.25">
      <c r="A221" s="85"/>
      <c r="AA221" s="86"/>
      <c r="AB221" s="86"/>
      <c r="AC221" s="86"/>
      <c r="AD221" s="86"/>
    </row>
    <row r="222" spans="1:30" x14ac:dyDescent="0.25">
      <c r="A222" s="85"/>
      <c r="AA222" s="86"/>
      <c r="AB222" s="86"/>
      <c r="AC222" s="86"/>
      <c r="AD222" s="86"/>
    </row>
    <row r="223" spans="1:30" x14ac:dyDescent="0.25">
      <c r="A223" s="85"/>
      <c r="AA223" s="86"/>
      <c r="AB223" s="86"/>
      <c r="AC223" s="86"/>
      <c r="AD223" s="86"/>
    </row>
    <row r="224" spans="1:30" x14ac:dyDescent="0.25">
      <c r="A224" s="85"/>
      <c r="AA224" s="86"/>
      <c r="AB224" s="86"/>
      <c r="AC224" s="86"/>
      <c r="AD224" s="86"/>
    </row>
    <row r="225" spans="1:30" x14ac:dyDescent="0.25">
      <c r="A225" s="85"/>
      <c r="AA225" s="86"/>
      <c r="AB225" s="86"/>
      <c r="AC225" s="86"/>
      <c r="AD225" s="86"/>
    </row>
    <row r="226" spans="1:30" x14ac:dyDescent="0.25">
      <c r="A226" s="85"/>
      <c r="AA226" s="86"/>
      <c r="AB226" s="86"/>
      <c r="AC226" s="86"/>
      <c r="AD226" s="86"/>
    </row>
    <row r="227" spans="1:30" x14ac:dyDescent="0.25">
      <c r="A227" s="85"/>
      <c r="AA227" s="86"/>
      <c r="AB227" s="86"/>
      <c r="AC227" s="86"/>
      <c r="AD227" s="86"/>
    </row>
    <row r="228" spans="1:30" x14ac:dyDescent="0.25">
      <c r="A228" s="85"/>
      <c r="AA228" s="86"/>
      <c r="AB228" s="86"/>
      <c r="AC228" s="86"/>
      <c r="AD228" s="86"/>
    </row>
    <row r="229" spans="1:30" x14ac:dyDescent="0.25">
      <c r="A229" s="85"/>
      <c r="AA229" s="86"/>
      <c r="AB229" s="86"/>
      <c r="AC229" s="86"/>
      <c r="AD229" s="86"/>
    </row>
    <row r="230" spans="1:30" x14ac:dyDescent="0.25">
      <c r="A230" s="85"/>
      <c r="AA230" s="86"/>
      <c r="AB230" s="86"/>
      <c r="AC230" s="86"/>
      <c r="AD230" s="86"/>
    </row>
    <row r="231" spans="1:30" x14ac:dyDescent="0.25">
      <c r="A231" s="85"/>
      <c r="AA231" s="86"/>
      <c r="AB231" s="86"/>
      <c r="AC231" s="86"/>
      <c r="AD231" s="86"/>
    </row>
    <row r="232" spans="1:30" x14ac:dyDescent="0.25">
      <c r="A232" s="85"/>
      <c r="AA232" s="86"/>
      <c r="AB232" s="86"/>
      <c r="AC232" s="86"/>
      <c r="AD232" s="86"/>
    </row>
    <row r="233" spans="1:30" x14ac:dyDescent="0.25">
      <c r="A233" s="85"/>
      <c r="AA233" s="86"/>
      <c r="AB233" s="86"/>
      <c r="AC233" s="86"/>
      <c r="AD233" s="86"/>
    </row>
    <row r="234" spans="1:30" x14ac:dyDescent="0.25">
      <c r="A234" s="85"/>
      <c r="AA234" s="86"/>
      <c r="AB234" s="86"/>
      <c r="AC234" s="86"/>
      <c r="AD234" s="86"/>
    </row>
    <row r="235" spans="1:30" x14ac:dyDescent="0.25">
      <c r="A235" s="85"/>
      <c r="AA235" s="86"/>
      <c r="AB235" s="86"/>
      <c r="AC235" s="86"/>
      <c r="AD235" s="86"/>
    </row>
    <row r="236" spans="1:30" x14ac:dyDescent="0.25">
      <c r="A236" s="85"/>
      <c r="AA236" s="86"/>
      <c r="AB236" s="86"/>
      <c r="AC236" s="86"/>
      <c r="AD236" s="86"/>
    </row>
    <row r="237" spans="1:30" x14ac:dyDescent="0.25">
      <c r="A237" s="85"/>
      <c r="AA237" s="86"/>
      <c r="AB237" s="86"/>
      <c r="AC237" s="86"/>
      <c r="AD237" s="86"/>
    </row>
    <row r="238" spans="1:30" x14ac:dyDescent="0.25">
      <c r="A238" s="85"/>
      <c r="AA238" s="86"/>
      <c r="AB238" s="86"/>
      <c r="AC238" s="86"/>
      <c r="AD238" s="86"/>
    </row>
    <row r="239" spans="1:30" x14ac:dyDescent="0.25">
      <c r="A239" s="85"/>
      <c r="AA239" s="86"/>
      <c r="AB239" s="86"/>
      <c r="AC239" s="86"/>
      <c r="AD239" s="86"/>
    </row>
    <row r="240" spans="1:30" x14ac:dyDescent="0.25">
      <c r="A240" s="85"/>
      <c r="AA240" s="86"/>
      <c r="AB240" s="86"/>
      <c r="AC240" s="86"/>
      <c r="AD240" s="86"/>
    </row>
    <row r="241" spans="1:30" x14ac:dyDescent="0.25">
      <c r="A241" s="85"/>
      <c r="AA241" s="86"/>
      <c r="AB241" s="86"/>
      <c r="AC241" s="86"/>
      <c r="AD241" s="86"/>
    </row>
    <row r="242" spans="1:30" x14ac:dyDescent="0.25">
      <c r="A242" s="85"/>
      <c r="AA242" s="86"/>
      <c r="AB242" s="86"/>
      <c r="AC242" s="86"/>
      <c r="AD242" s="86"/>
    </row>
    <row r="243" spans="1:30" x14ac:dyDescent="0.25">
      <c r="A243" s="85"/>
      <c r="AA243" s="86"/>
      <c r="AB243" s="86"/>
      <c r="AC243" s="86"/>
      <c r="AD243" s="86"/>
    </row>
    <row r="244" spans="1:30" x14ac:dyDescent="0.25">
      <c r="A244" s="85"/>
      <c r="AA244" s="86"/>
      <c r="AB244" s="86"/>
      <c r="AC244" s="86"/>
      <c r="AD244" s="86"/>
    </row>
    <row r="245" spans="1:30" x14ac:dyDescent="0.25">
      <c r="A245" s="85"/>
      <c r="AA245" s="86"/>
      <c r="AB245" s="86"/>
      <c r="AC245" s="86"/>
      <c r="AD245" s="86"/>
    </row>
    <row r="246" spans="1:30" x14ac:dyDescent="0.25">
      <c r="A246" s="85"/>
      <c r="AA246" s="86"/>
      <c r="AB246" s="86"/>
      <c r="AC246" s="86"/>
      <c r="AD246" s="86"/>
    </row>
    <row r="247" spans="1:30" x14ac:dyDescent="0.25">
      <c r="A247" s="85"/>
      <c r="AA247" s="86"/>
      <c r="AB247" s="86"/>
      <c r="AC247" s="86"/>
      <c r="AD247" s="86"/>
    </row>
    <row r="248" spans="1:30" x14ac:dyDescent="0.25">
      <c r="A248" s="85"/>
      <c r="AA248" s="86"/>
      <c r="AB248" s="86"/>
      <c r="AC248" s="86"/>
      <c r="AD248" s="86"/>
    </row>
    <row r="249" spans="1:30" x14ac:dyDescent="0.25">
      <c r="A249" s="85"/>
      <c r="AA249" s="86"/>
      <c r="AB249" s="86"/>
      <c r="AC249" s="86"/>
      <c r="AD249" s="86"/>
    </row>
    <row r="250" spans="1:30" x14ac:dyDescent="0.25">
      <c r="A250" s="85"/>
      <c r="AA250" s="86"/>
      <c r="AB250" s="86"/>
      <c r="AC250" s="86"/>
      <c r="AD250" s="86"/>
    </row>
    <row r="251" spans="1:30" x14ac:dyDescent="0.25">
      <c r="A251" s="85"/>
      <c r="AA251" s="86"/>
      <c r="AB251" s="86"/>
      <c r="AC251" s="86"/>
      <c r="AD251" s="86"/>
    </row>
    <row r="252" spans="1:30" x14ac:dyDescent="0.25">
      <c r="A252" s="85"/>
      <c r="AA252" s="86"/>
      <c r="AB252" s="86"/>
      <c r="AC252" s="86"/>
      <c r="AD252" s="86"/>
    </row>
    <row r="253" spans="1:30" x14ac:dyDescent="0.25">
      <c r="A253" s="85"/>
      <c r="AA253" s="86"/>
      <c r="AB253" s="86"/>
      <c r="AC253" s="86"/>
      <c r="AD253" s="86"/>
    </row>
    <row r="254" spans="1:30" x14ac:dyDescent="0.25">
      <c r="A254" s="85"/>
      <c r="AA254" s="86"/>
      <c r="AB254" s="86"/>
      <c r="AC254" s="86"/>
      <c r="AD254" s="86"/>
    </row>
    <row r="255" spans="1:30" x14ac:dyDescent="0.25">
      <c r="A255" s="85"/>
      <c r="AA255" s="86"/>
      <c r="AB255" s="86"/>
      <c r="AC255" s="86"/>
      <c r="AD255" s="86"/>
    </row>
    <row r="256" spans="1:30" x14ac:dyDescent="0.25">
      <c r="A256" s="85"/>
      <c r="AA256" s="86"/>
      <c r="AB256" s="86"/>
      <c r="AC256" s="86"/>
      <c r="AD256" s="86"/>
    </row>
    <row r="257" spans="1:30" x14ac:dyDescent="0.25">
      <c r="A257" s="85"/>
      <c r="AA257" s="86"/>
      <c r="AB257" s="86"/>
      <c r="AC257" s="86"/>
      <c r="AD257" s="86"/>
    </row>
    <row r="258" spans="1:30" x14ac:dyDescent="0.25">
      <c r="A258" s="85"/>
      <c r="AA258" s="86"/>
      <c r="AB258" s="86"/>
      <c r="AC258" s="86"/>
      <c r="AD258" s="86"/>
    </row>
    <row r="259" spans="1:30" x14ac:dyDescent="0.25">
      <c r="A259" s="85"/>
      <c r="AA259" s="86"/>
      <c r="AB259" s="86"/>
      <c r="AC259" s="86"/>
      <c r="AD259" s="86"/>
    </row>
    <row r="260" spans="1:30" x14ac:dyDescent="0.25">
      <c r="A260" s="85"/>
      <c r="AA260" s="86"/>
      <c r="AB260" s="86"/>
      <c r="AC260" s="86"/>
      <c r="AD260" s="86"/>
    </row>
    <row r="261" spans="1:30" x14ac:dyDescent="0.25">
      <c r="A261" s="85"/>
      <c r="AA261" s="86"/>
      <c r="AB261" s="86"/>
      <c r="AC261" s="86"/>
      <c r="AD261" s="86"/>
    </row>
    <row r="262" spans="1:30" x14ac:dyDescent="0.25">
      <c r="A262" s="85"/>
      <c r="AA262" s="86"/>
      <c r="AB262" s="86"/>
      <c r="AC262" s="86"/>
      <c r="AD262" s="86"/>
    </row>
    <row r="263" spans="1:30" x14ac:dyDescent="0.25">
      <c r="A263" s="85"/>
      <c r="AA263" s="86"/>
      <c r="AB263" s="86"/>
      <c r="AC263" s="86"/>
      <c r="AD263" s="86"/>
    </row>
    <row r="264" spans="1:30" x14ac:dyDescent="0.25">
      <c r="A264" s="85"/>
      <c r="AA264" s="86"/>
      <c r="AB264" s="86"/>
      <c r="AC264" s="86"/>
      <c r="AD264" s="86"/>
    </row>
    <row r="265" spans="1:30" x14ac:dyDescent="0.25">
      <c r="A265" s="85"/>
      <c r="AA265" s="86"/>
      <c r="AB265" s="86"/>
      <c r="AC265" s="86"/>
      <c r="AD265" s="86"/>
    </row>
    <row r="266" spans="1:30" x14ac:dyDescent="0.25">
      <c r="A266" s="85"/>
      <c r="AA266" s="86"/>
      <c r="AB266" s="86"/>
      <c r="AC266" s="86"/>
      <c r="AD266" s="86"/>
    </row>
    <row r="267" spans="1:30" x14ac:dyDescent="0.25">
      <c r="A267" s="85"/>
      <c r="AA267" s="86"/>
      <c r="AB267" s="86"/>
      <c r="AC267" s="86"/>
      <c r="AD267" s="86"/>
    </row>
    <row r="268" spans="1:30" x14ac:dyDescent="0.25">
      <c r="A268" s="85"/>
      <c r="AA268" s="86"/>
      <c r="AB268" s="86"/>
      <c r="AC268" s="86"/>
      <c r="AD268" s="86"/>
    </row>
    <row r="269" spans="1:30" x14ac:dyDescent="0.25">
      <c r="A269" s="85"/>
      <c r="AA269" s="86"/>
      <c r="AB269" s="86"/>
      <c r="AC269" s="86"/>
      <c r="AD269" s="86"/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</sheetData>
  <autoFilter ref="A1:AD478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6"/>
  <sheetViews>
    <sheetView workbookViewId="0">
      <pane xSplit="1" ySplit="1" topLeftCell="F20" activePane="bottomRight" state="frozen"/>
      <selection pane="topRight" activeCell="B1" sqref="B1"/>
      <selection pane="bottomLeft" activeCell="A2" sqref="A2"/>
      <selection pane="bottomRight" activeCell="J60" sqref="J60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174</v>
      </c>
      <c r="D2" s="66">
        <f>AVERAGEIFS('BA History'!C:C,'BA History'!B:B,A2)</f>
        <v>12.428571428571429</v>
      </c>
      <c r="E2" s="35">
        <f t="array" ref="E2">MAX(IF('BA History'!B:B=A2, 'BA History'!C:C))</f>
        <v>23</v>
      </c>
      <c r="F2" s="34">
        <f>COUNTIFS('BA History'!B:B,A2,'BA History'!D:D, 1)</f>
        <v>7</v>
      </c>
      <c r="G2" s="2">
        <f>COUNTIFS('BA History'!B:B,A2,'BA History'!D:D, 0)</f>
        <v>7</v>
      </c>
      <c r="H2" s="75">
        <f>LOOKUP(2, 1/('BA History'!$B:$B=A2), 'BA History'!$AJ:$AJ)</f>
        <v>0.5</v>
      </c>
      <c r="I2" s="34">
        <f>SUMIFS('BA History'!F:F,'BA History'!B:B,A2)</f>
        <v>28</v>
      </c>
      <c r="J2" s="2">
        <f>SUMIFS('BA History'!E:E,'BA History'!B:B,A2)-I2</f>
        <v>28</v>
      </c>
      <c r="K2" s="75">
        <f>LOOKUP(2, 1/('BA History'!$B:$B=A2), 'BA History'!$AH:$AH)</f>
        <v>0.49285714285714288</v>
      </c>
      <c r="L2" s="34">
        <f>SUMIFS('BA History'!H:H,'BA History'!B:B,A2)</f>
        <v>116</v>
      </c>
      <c r="M2" s="2">
        <f>SUMIFS('BA History'!G:G,'BA History'!B:B,A2)-L2</f>
        <v>112</v>
      </c>
      <c r="N2" s="89">
        <f>LOOKUP(2, 1/('BA History'!$B:$B=A2), 'BA History'!$AI:$AI)</f>
        <v>0.49571428571428572</v>
      </c>
      <c r="O2" s="2">
        <f>COUNTIFS('BA History'!$B:$B,$A$2,'BA History'!K:K, 1)</f>
        <v>1</v>
      </c>
      <c r="P2" s="2">
        <f>COUNTIFS('BA History'!$B:$B,$A$2,'BA History'!L:L, 1)</f>
        <v>2</v>
      </c>
      <c r="Q2" s="2">
        <f>COUNTIFS('BA History'!$B:$B,$A$2,'BA History'!M:M, 1)</f>
        <v>5</v>
      </c>
      <c r="R2" s="2">
        <f>COUNTIFS('BA History'!$B:$B,$A$2,'BA History'!N:N, 1)</f>
        <v>4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1</v>
      </c>
      <c r="V2" s="2">
        <f>COUNTIFS('BA History'!$B:$B,$A$2,'BA History'!R:R, 1)</f>
        <v>1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1</v>
      </c>
      <c r="AA2" s="2">
        <f>COUNTIFS('BA History'!$B:$B,$A$2,'BA History'!W:W, 1)</f>
        <v>1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3</v>
      </c>
      <c r="AE2" s="2">
        <f>COUNTIFS('BA History'!$B:$B,$A$2,'BA History'!AA:AA, 1)</f>
        <v>0</v>
      </c>
      <c r="AF2" s="2">
        <f>COUNTIFS('BA History'!$B:$B,$A$2,'BA History'!AB:AB, 1)</f>
        <v>3</v>
      </c>
      <c r="AG2" s="2">
        <f>COUNTIFS('BA History'!$B:$B,$A$2,'BA History'!AC:AC, 1)</f>
        <v>0</v>
      </c>
      <c r="AH2" s="2">
        <f>COUNTIFS('BA History'!$B:$B,$A$2,'BA History'!AD:AD, 1)</f>
        <v>3</v>
      </c>
      <c r="AI2" s="2">
        <f>COUNTIFS('BA History'!$B:$B,$A$2,'BA History'!AE:AE, 1)</f>
        <v>0</v>
      </c>
      <c r="AJ2" s="2">
        <f>COUNTIFS('BA History'!$B:$B,$A$2,'BA History'!AF:AF, 1)</f>
        <v>2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115</v>
      </c>
      <c r="D3" s="66">
        <f>AVERAGEIFS('BA History'!C:C,'BA History'!B:B,A3)</f>
        <v>12.777777777777779</v>
      </c>
      <c r="E3" s="35">
        <f t="array" ref="E3">MAX(IF('BA History'!B:B=A3, 'BA History'!C:C))</f>
        <v>19</v>
      </c>
      <c r="F3" s="34">
        <f>COUNTIFS('BA History'!B:B,A3,'BA History'!D:D, 1)</f>
        <v>4</v>
      </c>
      <c r="G3" s="2">
        <f>COUNTIFS('BA History'!B:B,A3,'BA History'!D:D, 0)</f>
        <v>5</v>
      </c>
      <c r="H3" s="75">
        <f>LOOKUP(2, 1/('BA History'!$B:$B=A3), 'BA History'!$AJ:$AJ)</f>
        <v>0.44444444444444442</v>
      </c>
      <c r="I3" s="34">
        <f>SUMIFS('BA History'!F:F,'BA History'!B:B,A3)</f>
        <v>20</v>
      </c>
      <c r="J3" s="2">
        <f>SUMIFS('BA History'!E:E,'BA History'!B:B,A3)-I3</f>
        <v>18</v>
      </c>
      <c r="K3" s="75">
        <f>LOOKUP(2, 1/('BA History'!$B:$B=A3), 'BA History'!$AH:$AH)</f>
        <v>0.53888888888888886</v>
      </c>
      <c r="L3" s="34">
        <f>SUMIFS('BA History'!H:H,'BA History'!B:B,A3)</f>
        <v>80</v>
      </c>
      <c r="M3" s="2">
        <f>SUMIFS('BA History'!G:G,'BA History'!B:B,A3)-L3</f>
        <v>79</v>
      </c>
      <c r="N3" s="89">
        <f>LOOKUP(2, 1/('BA History'!$B:$B=A3), 'BA History'!$AI:$AI)</f>
        <v>0.49222222222222217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3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1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2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>LOOKUP(2, 1/('BA History'!$B:$B=A4), 'BA History'!$AJ:$AJ)</f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>LOOKUP(2, 1/('BA History'!$B:$B=A4), 'BA History'!$AH:$AH)</f>
        <v>0.46666666666666662</v>
      </c>
      <c r="L4" s="34">
        <f>SUMIFS('BA History'!H:H,'BA History'!B:B,A4)</f>
        <v>24</v>
      </c>
      <c r="M4" s="2">
        <f>SUMIFS('BA History'!G:G,'BA History'!B:B,A4)-L4</f>
        <v>29</v>
      </c>
      <c r="N4" s="89">
        <f>LOOKUP(2, 1/('BA History'!$B:$B=A4), 'BA History'!$AI:$AI)</f>
        <v>0.44333333333333336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275</v>
      </c>
      <c r="D5" s="66">
        <f>AVERAGEIFS('BA History'!C:C,'BA History'!B:B,A5)</f>
        <v>11.956521739130435</v>
      </c>
      <c r="E5" s="35">
        <f t="array" ref="E5">MAX(IF('BA History'!B:B=A5, 'BA History'!C:C))</f>
        <v>19</v>
      </c>
      <c r="F5" s="34">
        <f>COUNTIFS('BA History'!B:B,A5,'BA History'!D:D, 1)</f>
        <v>11</v>
      </c>
      <c r="G5" s="2">
        <f>COUNTIFS('BA History'!B:B,A5,'BA History'!D:D, 0)</f>
        <v>12</v>
      </c>
      <c r="H5" s="75">
        <f>LOOKUP(2, 1/('BA History'!$B:$B=A5), 'BA History'!$AJ:$AJ)</f>
        <v>0.47826086956521741</v>
      </c>
      <c r="I5" s="34">
        <f>SUMIFS('BA History'!F:F,'BA History'!B:B,A5)</f>
        <v>44</v>
      </c>
      <c r="J5" s="2">
        <f>SUMIFS('BA History'!E:E,'BA History'!B:B,A5)-I5</f>
        <v>50</v>
      </c>
      <c r="K5" s="75">
        <f>LOOKUP(2, 1/('BA History'!$B:$B=A5), 'BA History'!$AH:$AH)</f>
        <v>0.44130434782608696</v>
      </c>
      <c r="L5" s="34">
        <f>SUMIFS('BA History'!H:H,'BA History'!B:B,A5)</f>
        <v>184</v>
      </c>
      <c r="M5" s="2">
        <f>SUMIFS('BA History'!G:G,'BA History'!B:B,A5)-L5</f>
        <v>200</v>
      </c>
      <c r="N5" s="89">
        <f>LOOKUP(2, 1/('BA History'!$B:$B=A5), 'BA History'!$AI:$AI)</f>
        <v>0.46347826086956523</v>
      </c>
      <c r="O5" s="2">
        <f>COUNTIFS('BA History'!$B:$B,$A$5,'BA History'!K:K, 1)</f>
        <v>3</v>
      </c>
      <c r="P5" s="2">
        <f>COUNTIFS('BA History'!$B:$B,$A$5,'BA History'!L:L, 1)</f>
        <v>4</v>
      </c>
      <c r="Q5" s="2">
        <f>COUNTIFS('BA History'!$B:$B,$A$5,'BA History'!M:M, 1)</f>
        <v>3</v>
      </c>
      <c r="R5" s="2">
        <f>COUNTIFS('BA History'!$B:$B,$A$5,'BA History'!N:N, 1)</f>
        <v>2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3</v>
      </c>
      <c r="AA5" s="2">
        <f>COUNTIFS('BA History'!$B:$B,$A$5,'BA History'!W:W, 1)</f>
        <v>2</v>
      </c>
      <c r="AB5" s="2">
        <f>COUNTIFS('BA History'!$B:$B,$A$5,'BA History'!X:X, 1)</f>
        <v>0</v>
      </c>
      <c r="AC5" s="2">
        <f>COUNTIFS('BA History'!$B:$B,$A$5,'BA History'!Y:Y, 1)</f>
        <v>7</v>
      </c>
      <c r="AD5" s="2">
        <f>COUNTIFS('BA History'!$B:$B,$A$5,'BA History'!Z:Z, 1)</f>
        <v>3</v>
      </c>
      <c r="AE5" s="2">
        <f>COUNTIFS('BA History'!$B:$B,$A$5,'BA History'!AA:AA, 1)</f>
        <v>1</v>
      </c>
      <c r="AF5" s="2">
        <f>COUNTIFS('BA History'!$B:$B,$A$5,'BA History'!AB:AB, 1)</f>
        <v>4</v>
      </c>
      <c r="AG5" s="2">
        <f>COUNTIFS('BA History'!$B:$B,$A$5,'BA History'!AC:AC, 1)</f>
        <v>3</v>
      </c>
      <c r="AH5" s="2">
        <f>COUNTIFS('BA History'!$B:$B,$A$5,'BA History'!AD:AD, 1)</f>
        <v>5</v>
      </c>
      <c r="AI5" s="2">
        <f>COUNTIFS('BA History'!$B:$B,$A$5,'BA History'!AE:AE, 1)</f>
        <v>1</v>
      </c>
      <c r="AJ5" s="2">
        <f>COUNTIFS('BA History'!$B:$B,$A$5,'BA History'!AF:AF, 1)</f>
        <v>2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>LOOKUP(2, 1/('BA History'!$B:$B=A6), 'BA History'!$AJ:$AJ)</f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>LOOKUP(2, 1/('BA History'!$B:$B=A6), 'BA History'!$AH:$AH)</f>
        <v>0.25</v>
      </c>
      <c r="L6" s="34">
        <f>SUMIFS('BA History'!H:H,'BA History'!B:B,A6)</f>
        <v>8</v>
      </c>
      <c r="M6" s="2">
        <f>SUMIFS('BA History'!G:G,'BA History'!B:B,A6)-L6</f>
        <v>11</v>
      </c>
      <c r="N6" s="89">
        <f>LOOKUP(2, 1/('BA History'!$B:$B=A6), 'BA History'!$AI:$AI)</f>
        <v>0.42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391</v>
      </c>
      <c r="D7" s="66">
        <f>AVERAGEIFS('BA History'!C:C,'BA History'!B:B,A7)</f>
        <v>10.861111111111111</v>
      </c>
      <c r="E7" s="35">
        <f t="array" ref="E7">MAX(IF('BA History'!B:B=A7, 'BA History'!C:C))</f>
        <v>24</v>
      </c>
      <c r="F7" s="34">
        <f>COUNTIFS('BA History'!B:B,A7,'BA History'!D:D, 1)</f>
        <v>16</v>
      </c>
      <c r="G7" s="2">
        <f>COUNTIFS('BA History'!B:B,A7,'BA History'!D:D, 0)</f>
        <v>20</v>
      </c>
      <c r="H7" s="75">
        <f>LOOKUP(2, 1/('BA History'!$B:$B=A7), 'BA History'!$AJ:$AJ)</f>
        <v>0.44444444444444442</v>
      </c>
      <c r="I7" s="34">
        <f>SUMIFS('BA History'!F:F,'BA History'!B:B,A7)</f>
        <v>71</v>
      </c>
      <c r="J7" s="2">
        <f>SUMIFS('BA History'!E:E,'BA History'!B:B,A7)-I7</f>
        <v>77</v>
      </c>
      <c r="K7" s="75">
        <f>LOOKUP(2, 1/('BA History'!$B:$B=A7), 'BA History'!$AH:$AH)</f>
        <v>0.46750000000000003</v>
      </c>
      <c r="L7" s="34">
        <f>SUMIFS('BA History'!H:H,'BA History'!B:B,A7)</f>
        <v>308</v>
      </c>
      <c r="M7" s="2">
        <f>SUMIFS('BA History'!G:G,'BA History'!B:B,A7)-L7</f>
        <v>313</v>
      </c>
      <c r="N7" s="89">
        <f>LOOKUP(2, 1/('BA History'!$B:$B=A7), 'BA History'!$AI:$AI)</f>
        <v>0.48861111111111111</v>
      </c>
      <c r="O7" s="2">
        <f>COUNTIFS('BA History'!$B:$B,$A$7,'BA History'!K:K, 1)</f>
        <v>2</v>
      </c>
      <c r="P7" s="2">
        <f>COUNTIFS('BA History'!$B:$B,$A$7,'BA History'!L:L, 1)</f>
        <v>4</v>
      </c>
      <c r="Q7" s="2">
        <f>COUNTIFS('BA History'!$B:$B,$A$7,'BA History'!M:M, 1)</f>
        <v>5</v>
      </c>
      <c r="R7" s="2">
        <f>COUNTIFS('BA History'!$B:$B,$A$7,'BA History'!N:N, 1)</f>
        <v>6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3</v>
      </c>
      <c r="V7" s="2">
        <f>COUNTIFS('BA History'!$B:$B,$A$7,'BA History'!R:R, 1)</f>
        <v>3</v>
      </c>
      <c r="W7" s="2">
        <f>COUNTIFS('BA History'!$B:$B,$A$7,'BA History'!S:S, 1)</f>
        <v>1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4</v>
      </c>
      <c r="AA7" s="2">
        <f>COUNTIFS('BA History'!$B:$B,$A$7,'BA History'!W:W, 1)</f>
        <v>1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8</v>
      </c>
      <c r="AE7" s="2">
        <f>COUNTIFS('BA History'!$B:$B,$A$7,'BA History'!AA:AA, 1)</f>
        <v>2</v>
      </c>
      <c r="AF7" s="2">
        <f>COUNTIFS('BA History'!$B:$B,$A$7,'BA History'!AB:AB, 1)</f>
        <v>7</v>
      </c>
      <c r="AG7" s="2">
        <f>COUNTIFS('BA History'!$B:$B,$A$7,'BA History'!AC:AC, 1)</f>
        <v>5</v>
      </c>
      <c r="AH7" s="2">
        <f>COUNTIFS('BA History'!$B:$B,$A$7,'BA History'!AD:AD, 1)</f>
        <v>7</v>
      </c>
      <c r="AI7" s="2">
        <f>COUNTIFS('BA History'!$B:$B,$A$7,'BA History'!AE:AE, 1)</f>
        <v>1</v>
      </c>
      <c r="AJ7" s="2">
        <f>COUNTIFS('BA History'!$B:$B,$A$7,'BA History'!AF:AF, 1)</f>
        <v>2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>LOOKUP(2, 1/('BA History'!$B:$B=A8), 'BA History'!$AJ:$AJ)</f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>LOOKUP(2, 1/('BA History'!$B:$B=A8), 'BA History'!$AH:$AH)</f>
        <v>0.60615384615384615</v>
      </c>
      <c r="L8" s="34">
        <f>SUMIFS('BA History'!H:H,'BA History'!B:B,A8)</f>
        <v>120</v>
      </c>
      <c r="M8" s="2">
        <f>SUMIFS('BA History'!G:G,'BA History'!B:B,A8)-L8</f>
        <v>92</v>
      </c>
      <c r="N8" s="89">
        <f>LOOKUP(2, 1/('BA History'!$B:$B=A8), 'BA History'!$AI:$AI)</f>
        <v>0.57846153846153836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635</v>
      </c>
      <c r="D9" s="66">
        <f>AVERAGEIFS('BA History'!C:C,'BA History'!B:B,A9)</f>
        <v>19.242424242424242</v>
      </c>
      <c r="E9" s="35">
        <f t="array" ref="E9">MAX(IF('BA History'!B:B=A9, 'BA History'!C:C))</f>
        <v>40</v>
      </c>
      <c r="F9" s="34">
        <f>COUNTIFS('BA History'!B:B,A9,'BA History'!D:D, 1)</f>
        <v>14</v>
      </c>
      <c r="G9" s="2">
        <f>COUNTIFS('BA History'!B:B,A9,'BA History'!D:D, 0)</f>
        <v>19</v>
      </c>
      <c r="H9" s="75">
        <f>LOOKUP(2, 1/('BA History'!$B:$B=A9), 'BA History'!$AJ:$AJ)</f>
        <v>0.42424242424242425</v>
      </c>
      <c r="I9" s="34">
        <f>SUMIFS('BA History'!F:F,'BA History'!B:B,A9)</f>
        <v>60</v>
      </c>
      <c r="J9" s="2">
        <f>SUMIFS('BA History'!E:E,'BA History'!B:B,A9)-I9</f>
        <v>77</v>
      </c>
      <c r="K9" s="75">
        <f>LOOKUP(2, 1/('BA History'!$B:$B=A9), 'BA History'!$AH:$AH)</f>
        <v>0.4242424242424242</v>
      </c>
      <c r="L9" s="34">
        <f>SUMIFS('BA History'!H:H,'BA History'!B:B,A9)</f>
        <v>258</v>
      </c>
      <c r="M9" s="2">
        <f>SUMIFS('BA History'!G:G,'BA History'!B:B,A9)-L9</f>
        <v>310</v>
      </c>
      <c r="N9" s="89">
        <f>LOOKUP(2, 1/('BA History'!$B:$B=A9), 'BA History'!$AI:$AI)</f>
        <v>0.443030303030303</v>
      </c>
      <c r="O9" s="2">
        <f>COUNTIFS('BA History'!$B:$B,$A$9,'BA History'!K:K, 1)</f>
        <v>3</v>
      </c>
      <c r="P9" s="2">
        <f>COUNTIFS('BA History'!$B:$B,$A$9,'BA History'!L:L, 1)</f>
        <v>6</v>
      </c>
      <c r="Q9" s="2">
        <f>COUNTIFS('BA History'!$B:$B,$A$9,'BA History'!M:M, 1)</f>
        <v>2</v>
      </c>
      <c r="R9" s="2">
        <f>COUNTIFS('BA History'!$B:$B,$A$9,'BA History'!N:N, 1)</f>
        <v>7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2</v>
      </c>
      <c r="V9" s="2">
        <f>COUNTIFS('BA History'!$B:$B,$A$9,'BA History'!R:R, 1)</f>
        <v>1</v>
      </c>
      <c r="W9" s="2">
        <f>COUNTIFS('BA History'!$B:$B,$A$9,'BA History'!S:S, 1)</f>
        <v>2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3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6</v>
      </c>
      <c r="AD9" s="2">
        <f>COUNTIFS('BA History'!$B:$B,$A$9,'BA History'!Z:Z, 1)</f>
        <v>7</v>
      </c>
      <c r="AE9" s="2">
        <f>COUNTIFS('BA History'!$B:$B,$A$9,'BA History'!AA:AA, 1)</f>
        <v>2</v>
      </c>
      <c r="AF9" s="2">
        <f>COUNTIFS('BA History'!$B:$B,$A$9,'BA History'!AB:AB, 1)</f>
        <v>6</v>
      </c>
      <c r="AG9" s="2">
        <f>COUNTIFS('BA History'!$B:$B,$A$9,'BA History'!AC:AC, 1)</f>
        <v>3</v>
      </c>
      <c r="AH9" s="2">
        <f>COUNTIFS('BA History'!$B:$B,$A$9,'BA History'!AD:AD, 1)</f>
        <v>6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>LOOKUP(2, 1/('BA History'!$B:$B=A10), 'BA History'!$AJ:$AJ)</f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>LOOKUP(2, 1/('BA History'!$B:$B=A10), 'BA History'!$AH:$AH)</f>
        <v>0.66666666666666663</v>
      </c>
      <c r="L10" s="34">
        <f>SUMIFS('BA History'!H:H,'BA History'!B:B,A10)</f>
        <v>53</v>
      </c>
      <c r="M10" s="2">
        <f>SUMIFS('BA History'!G:G,'BA History'!B:B,A10)-L10</f>
        <v>35</v>
      </c>
      <c r="N10" s="89">
        <f>LOOKUP(2, 1/('BA History'!$B:$B=A10), 'BA History'!$AI:$AI)</f>
        <v>0.63833333333333331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>LOOKUP(2, 1/('BA History'!$B:$B=A11), 'BA History'!$AJ:$AJ)</f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>LOOKUP(2, 1/('BA History'!$B:$B=A11), 'BA History'!$AH:$AH)</f>
        <v>0.45624999999999999</v>
      </c>
      <c r="L11" s="34">
        <f>SUMIFS('BA History'!H:H,'BA History'!B:B,A11)</f>
        <v>66</v>
      </c>
      <c r="M11" s="2">
        <f>SUMIFS('BA History'!G:G,'BA History'!B:B,A11)-L11</f>
        <v>71</v>
      </c>
      <c r="N11" s="89">
        <f>LOOKUP(2, 1/('BA History'!$B:$B=A11), 'BA History'!$AI:$AI)</f>
        <v>0.48374999999999996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147</v>
      </c>
      <c r="B12" s="2" t="s">
        <v>79</v>
      </c>
      <c r="C12" s="34">
        <f>SUMIFS('BA History'!C:C,'BA History'!B:B,A12)</f>
        <v>47</v>
      </c>
      <c r="D12" s="66">
        <f>AVERAGEIFS('BA History'!C:C,'BA History'!B:B,A12)</f>
        <v>7.833333333333333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5</v>
      </c>
      <c r="H12" s="75">
        <f>LOOKUP(2, 1/('BA History'!$B:$B=A12), 'BA History'!$AJ:$AJ)</f>
        <v>0.16666666666666666</v>
      </c>
      <c r="I12" s="34">
        <f>SUMIFS('BA History'!F:F,'BA History'!B:B,A12)</f>
        <v>5</v>
      </c>
      <c r="J12" s="2">
        <f>SUMIFS('BA History'!E:E,'BA History'!B:B,A12)-I12</f>
        <v>15</v>
      </c>
      <c r="K12" s="75">
        <f>LOOKUP(2, 1/('BA History'!$B:$B=A12), 'BA History'!$AH:$AH)</f>
        <v>0.25</v>
      </c>
      <c r="L12" s="34">
        <f>SUMIFS('BA History'!H:H,'BA History'!B:B,A12)</f>
        <v>27</v>
      </c>
      <c r="M12" s="2">
        <f>SUMIFS('BA History'!G:G,'BA History'!B:B,A12)-L12</f>
        <v>52</v>
      </c>
      <c r="N12" s="89">
        <f>LOOKUP(2, 1/('BA History'!$B:$B=A12), 'BA History'!$AI:$AI)</f>
        <v>0.3183333333333333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0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93</v>
      </c>
      <c r="D13" s="66">
        <f>AVERAGEIFS('BA History'!C:C,'BA History'!B:B,A13)</f>
        <v>11.625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6</v>
      </c>
      <c r="H13" s="75">
        <f>LOOKUP(2, 1/('BA History'!$B:$B=A13), 'BA History'!$AJ:$AJ)</f>
        <v>0.25</v>
      </c>
      <c r="I13" s="34">
        <f>SUMIFS('BA History'!F:F,'BA History'!B:B,A13)</f>
        <v>12</v>
      </c>
      <c r="J13" s="2">
        <f>SUMIFS('BA History'!E:E,'BA History'!B:B,A13)-I13</f>
        <v>22</v>
      </c>
      <c r="K13" s="75">
        <f>LOOKUP(2, 1/('BA History'!$B:$B=A13), 'BA History'!$AH:$AH)</f>
        <v>0.32500000000000001</v>
      </c>
      <c r="L13" s="34">
        <f>SUMIFS('BA History'!H:H,'BA History'!B:B,A13)</f>
        <v>52</v>
      </c>
      <c r="M13" s="2">
        <f>SUMIFS('BA History'!G:G,'BA History'!B:B,A13)-L13</f>
        <v>84</v>
      </c>
      <c r="N13" s="89">
        <f>LOOKUP(2, 1/('BA History'!$B:$B=A13), 'BA History'!$AI:$AI)</f>
        <v>0.36</v>
      </c>
      <c r="O13" s="2">
        <f>COUNTIFS('BA History'!$B:$B,$A$13,'BA History'!K:K, 1)</f>
        <v>0</v>
      </c>
      <c r="P13" s="2">
        <f>COUNTIFS('BA History'!$B:$B,$A$13,'BA History'!L:L, 1)</f>
        <v>1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74</v>
      </c>
      <c r="B14" s="2" t="s">
        <v>79</v>
      </c>
      <c r="C14" s="34">
        <f>SUMIFS('BA History'!C:C,'BA History'!B:B,A14)</f>
        <v>9</v>
      </c>
      <c r="D14" s="66">
        <f>AVERAGEIFS('BA History'!C:C,'BA History'!B:B,A14)</f>
        <v>9</v>
      </c>
      <c r="E14" s="35">
        <f t="array" ref="E14">MAX(IF('BA History'!B:B=A14, 'BA History'!C:C))</f>
        <v>9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>LOOKUP(2, 1/('BA History'!$B:$B=A14), 'BA History'!$AJ:$AJ)</f>
        <v>0</v>
      </c>
      <c r="I14" s="34">
        <f>SUMIFS('BA History'!F:F,'BA History'!B:B,A14)</f>
        <v>1</v>
      </c>
      <c r="J14" s="2">
        <f>SUMIFS('BA History'!E:E,'BA History'!B:B,A14)-I14</f>
        <v>3</v>
      </c>
      <c r="K14" s="75">
        <f>LOOKUP(2, 1/('BA History'!$B:$B=A14), 'BA History'!$AH:$AH)</f>
        <v>0.25</v>
      </c>
      <c r="L14" s="34">
        <f>SUMIFS('BA History'!H:H,'BA History'!B:B,A14)</f>
        <v>6</v>
      </c>
      <c r="M14" s="2">
        <f>SUMIFS('BA History'!G:G,'BA History'!B:B,A14)-L14</f>
        <v>9</v>
      </c>
      <c r="N14" s="89">
        <f>LOOKUP(2, 1/('BA History'!$B:$B=A14), 'BA History'!$AI:$AI)</f>
        <v>0.4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1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  <c r="AJ14" s="2">
        <f>COUNTIFS('BA History'!$B:$B,$A$14,'BA History'!AF:AF, 1)</f>
        <v>0</v>
      </c>
    </row>
    <row r="15" spans="1:36" x14ac:dyDescent="0.25">
      <c r="A15" s="2" t="s">
        <v>153</v>
      </c>
      <c r="B15" s="2" t="s">
        <v>79</v>
      </c>
      <c r="C15" s="34">
        <f>SUMIFS('BA History'!C:C,'BA History'!B:B,A15)</f>
        <v>12</v>
      </c>
      <c r="D15" s="66">
        <f>AVERAGEIFS('BA History'!C:C,'BA History'!B:B,A15)</f>
        <v>12</v>
      </c>
      <c r="E15" s="35">
        <f t="array" ref="E15">MAX(IF('BA History'!B:B=A15, 'BA History'!C:C))</f>
        <v>12</v>
      </c>
      <c r="F15" s="34">
        <f>COUNTIFS('BA History'!B:B,A15,'BA History'!D:D, 1)</f>
        <v>1</v>
      </c>
      <c r="G15" s="2">
        <f>COUNTIFS('BA History'!B:B,A15,'BA History'!D:D, 0)</f>
        <v>0</v>
      </c>
      <c r="H15" s="75">
        <f>LOOKUP(2, 1/('BA History'!$B:$B=A15), 'BA History'!$AJ:$AJ)</f>
        <v>1</v>
      </c>
      <c r="I15" s="34">
        <f>SUMIFS('BA History'!F:F,'BA History'!B:B,A15)</f>
        <v>4</v>
      </c>
      <c r="J15" s="2">
        <f>SUMIFS('BA History'!E:E,'BA History'!B:B,A15)-I15</f>
        <v>1</v>
      </c>
      <c r="K15" s="75">
        <f>LOOKUP(2, 1/('BA History'!$B:$B=A15), 'BA History'!$AH:$AH)</f>
        <v>0.8</v>
      </c>
      <c r="L15" s="34">
        <f>SUMIFS('BA History'!H:H,'BA History'!B:B,A15)</f>
        <v>14</v>
      </c>
      <c r="M15" s="2">
        <f>SUMIFS('BA History'!G:G,'BA History'!B:B,A15)-L15</f>
        <v>5</v>
      </c>
      <c r="N15" s="89">
        <f>LOOKUP(2, 1/('BA History'!$B:$B=A15), 'BA History'!$AI:$AI)</f>
        <v>0.74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1</v>
      </c>
      <c r="R15" s="2">
        <f>COUNTIFS('BA History'!$B:$B,$A$15,'BA History'!N:N, 1)</f>
        <v>1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0</v>
      </c>
      <c r="AE15" s="2">
        <f>COUNTIFS('BA History'!$B:$B,$A$15,'BA History'!AA:AA, 1)</f>
        <v>0</v>
      </c>
      <c r="AF15" s="2">
        <f>COUNTIFS('BA History'!$B:$B,$A$15,'BA History'!AB:AB, 1)</f>
        <v>1</v>
      </c>
      <c r="AG15" s="2">
        <f>COUNTIFS('BA History'!$B:$B,$A$15,'BA History'!AC:AC, 1)</f>
        <v>1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89</v>
      </c>
      <c r="B16" s="2" t="s">
        <v>79</v>
      </c>
      <c r="C16" s="34">
        <f>SUMIFS('BA History'!C:C,'BA History'!B:B,A16)</f>
        <v>3</v>
      </c>
      <c r="D16" s="66">
        <f>AVERAGEIFS('BA History'!C:C,'BA History'!B:B,A16)</f>
        <v>3</v>
      </c>
      <c r="E16" s="35">
        <f t="array" ref="E16">MAX(IF('BA History'!B:B=A16, 'BA History'!C:C))</f>
        <v>3</v>
      </c>
      <c r="F16" s="34">
        <f>COUNTIFS('BA History'!B:B,A16,'BA History'!D:D, 1)</f>
        <v>0</v>
      </c>
      <c r="G16" s="2">
        <f>COUNTIFS('BA History'!B:B,A16,'BA History'!D:D, 0)</f>
        <v>1</v>
      </c>
      <c r="H16" s="75">
        <f>LOOKUP(2, 1/('BA History'!$B:$B=A16), 'BA History'!$AJ:$AJ)</f>
        <v>0</v>
      </c>
      <c r="I16" s="34">
        <f>SUMIFS('BA History'!F:F,'BA History'!B:B,A16)</f>
        <v>0</v>
      </c>
      <c r="J16" s="2">
        <f>SUMIFS('BA History'!E:E,'BA History'!B:B,A16)-I16</f>
        <v>3</v>
      </c>
      <c r="K16" s="75">
        <f>LOOKUP(2, 1/('BA History'!$B:$B=A16), 'BA History'!$AH:$AH)</f>
        <v>0</v>
      </c>
      <c r="L16" s="34">
        <f>SUMIFS('BA History'!H:H,'BA History'!B:B,A16)</f>
        <v>4</v>
      </c>
      <c r="M16" s="2">
        <f>SUMIFS('BA History'!G:G,'BA History'!B:B,A16)-L16</f>
        <v>9</v>
      </c>
      <c r="N16" s="89">
        <f>LOOKUP(2, 1/('BA History'!$B:$B=A16), 'BA History'!$AI:$AI)</f>
        <v>0.31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0</v>
      </c>
      <c r="R16" s="2">
        <f>COUNTIFS('BA History'!$B:$B,$A$16,'BA History'!N:N, 1)</f>
        <v>0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0</v>
      </c>
      <c r="AD16" s="2">
        <f>COUNTIFS('BA History'!$B:$B,$A$16,'BA History'!Z:Z, 1)</f>
        <v>0</v>
      </c>
      <c r="AE16" s="2">
        <f>COUNTIFS('BA History'!$B:$B,$A$16,'BA History'!AA:AA, 1)</f>
        <v>0</v>
      </c>
      <c r="AF16" s="2">
        <f>COUNTIFS('BA History'!$B:$B,$A$16,'BA History'!AB:AB, 1)</f>
        <v>0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History'!$B:$B,$A$17,'BA History'!AF:AF, 1)</f>
        <v>0</v>
      </c>
    </row>
    <row r="17" spans="1:36" x14ac:dyDescent="0.25">
      <c r="A17" s="2" t="s">
        <v>45</v>
      </c>
      <c r="B17" s="2" t="s">
        <v>79</v>
      </c>
      <c r="C17" s="34">
        <f>SUMIFS('BA History'!C:C,'BA History'!B:B,A17)</f>
        <v>66</v>
      </c>
      <c r="D17" s="66">
        <f>AVERAGEIFS('BA History'!C:C,'BA History'!B:B,A17)</f>
        <v>9.4285714285714288</v>
      </c>
      <c r="E17" s="35">
        <f t="array" ref="E17">MAX(IF('BA History'!B:B=A17, 'BA History'!C:C))</f>
        <v>14</v>
      </c>
      <c r="F17" s="34">
        <f>COUNTIFS('BA History'!B:B,A17,'BA History'!D:D, 1)</f>
        <v>3</v>
      </c>
      <c r="G17" s="2">
        <f>COUNTIFS('BA History'!B:B,A17,'BA History'!D:D, 0)</f>
        <v>4</v>
      </c>
      <c r="H17" s="75">
        <f>LOOKUP(2, 1/('BA History'!$B:$B=A17), 'BA History'!$AJ:$AJ)</f>
        <v>0.42857142857142855</v>
      </c>
      <c r="I17" s="34">
        <f>SUMIFS('BA History'!F:F,'BA History'!B:B,A17)</f>
        <v>13</v>
      </c>
      <c r="J17" s="2">
        <f>SUMIFS('BA History'!E:E,'BA History'!B:B,A17)-I17</f>
        <v>15</v>
      </c>
      <c r="K17" s="75">
        <f>LOOKUP(2, 1/('BA History'!$B:$B=A17), 'BA History'!$AH:$AH)</f>
        <v>0.45999999999999996</v>
      </c>
      <c r="L17" s="34">
        <f>SUMIFS('BA History'!H:H,'BA History'!B:B,A17)</f>
        <v>62</v>
      </c>
      <c r="M17" s="2">
        <f>SUMIFS('BA History'!G:G,'BA History'!B:B,A17)-L17</f>
        <v>66</v>
      </c>
      <c r="N17" s="89">
        <f>LOOKUP(2, 1/('BA History'!$B:$B=A17), 'BA History'!$AI:$AI)</f>
        <v>0.48142857142857143</v>
      </c>
      <c r="O17" s="2">
        <f>COUNTIFS('BA History'!$B:$B,$A$17,'BA History'!K:K, 1)</f>
        <v>0</v>
      </c>
      <c r="P17" s="2">
        <f>COUNTIFS('BA History'!$B:$B,$A$17,'BA History'!L:L, 1)</f>
        <v>0</v>
      </c>
      <c r="Q17" s="2">
        <f>COUNTIFS('BA History'!$B:$B,$A$17,'BA History'!M:M, 1)</f>
        <v>1</v>
      </c>
      <c r="R17" s="2">
        <f>COUNTIFS('BA History'!$B:$B,$A$17,'BA History'!N:N, 1)</f>
        <v>2</v>
      </c>
      <c r="S17" s="2">
        <f>COUNTIFS('BA History'!$B:$B,$A$17,'BA History'!O:O, 1)</f>
        <v>1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0</v>
      </c>
      <c r="Y17" s="2">
        <f>COUNTIFS('BA History'!$B:$B,$A$17,'BA History'!U:U, 1)</f>
        <v>1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1</v>
      </c>
      <c r="AE17" s="2">
        <f>COUNTIFS('BA History'!$B:$B,$A$17,'BA History'!AA:AA, 1)</f>
        <v>1</v>
      </c>
      <c r="AF17" s="2">
        <f>COUNTIFS('BA History'!$B:$B,$A$17,'BA History'!AB:AB, 1)</f>
        <v>2</v>
      </c>
      <c r="AG17" s="2">
        <f>COUNTIFS('BA History'!$B:$B,$A$17,'BA History'!AC:AC, 1)</f>
        <v>2</v>
      </c>
      <c r="AH17" s="2">
        <f>COUNTIFS('BA History'!$B:$B,$A$17,'BA History'!AD:AD, 1)</f>
        <v>0</v>
      </c>
      <c r="AI17" s="2">
        <f>COUNTIFS('BA History'!$B:$B,$A$17,'BA History'!AE:AE, 1)</f>
        <v>0</v>
      </c>
      <c r="AJ17" s="2">
        <f>COUNTIFS('BA History'!$B:$B,$A$17,'BA History'!AF:AF, 1)</f>
        <v>0</v>
      </c>
    </row>
    <row r="18" spans="1:36" x14ac:dyDescent="0.25">
      <c r="A18" s="2" t="s">
        <v>50</v>
      </c>
      <c r="B18" s="2" t="s">
        <v>79</v>
      </c>
      <c r="C18" s="34">
        <f>SUMIFS('BA History'!C:C,'BA History'!B:B,A18)</f>
        <v>652</v>
      </c>
      <c r="D18" s="66">
        <f>AVERAGEIFS('BA History'!C:C,'BA History'!B:B,A18)</f>
        <v>18.111111111111111</v>
      </c>
      <c r="E18" s="35">
        <f t="array" ref="E18">MAX(IF('BA History'!B:B=A18, 'BA History'!C:C))</f>
        <v>31</v>
      </c>
      <c r="F18" s="34">
        <f>COUNTIFS('BA History'!B:B,A18,'BA History'!D:D, 1)</f>
        <v>19</v>
      </c>
      <c r="G18" s="2">
        <f>COUNTIFS('BA History'!B:B,A18,'BA History'!D:D, 0)</f>
        <v>17</v>
      </c>
      <c r="H18" s="75">
        <f>LOOKUP(2, 1/('BA History'!$B:$B=A18), 'BA History'!$AJ:$AJ)</f>
        <v>0.52777777777777779</v>
      </c>
      <c r="I18" s="34">
        <f>SUMIFS('BA History'!F:F,'BA History'!B:B,A18)</f>
        <v>74</v>
      </c>
      <c r="J18" s="2">
        <f>SUMIFS('BA History'!E:E,'BA History'!B:B,A18)-I18</f>
        <v>70</v>
      </c>
      <c r="K18" s="75">
        <f>LOOKUP(2, 1/('BA History'!$B:$B=A18), 'BA History'!$AH:$AH)</f>
        <v>0.52027777777777784</v>
      </c>
      <c r="L18" s="34">
        <f>SUMIFS('BA History'!H:H,'BA History'!B:B,A18)</f>
        <v>308</v>
      </c>
      <c r="M18" s="2">
        <f>SUMIFS('BA History'!G:G,'BA History'!B:B,A18)-L18</f>
        <v>299</v>
      </c>
      <c r="N18" s="89">
        <f>LOOKUP(2, 1/('BA History'!$B:$B=A18), 'BA History'!$AI:$AI)</f>
        <v>0.51888888888888873</v>
      </c>
      <c r="O18" s="2">
        <f>COUNTIFS('BA History'!$B:$B,$A$18,'BA History'!K:K, 1)</f>
        <v>3</v>
      </c>
      <c r="P18" s="2">
        <f>COUNTIFS('BA History'!$B:$B,$A$18,'BA History'!L:L, 1)</f>
        <v>6</v>
      </c>
      <c r="Q18" s="2">
        <f>COUNTIFS('BA History'!$B:$B,$A$18,'BA History'!M:M, 1)</f>
        <v>3</v>
      </c>
      <c r="R18" s="2">
        <f>COUNTIFS('BA History'!$B:$B,$A$18,'BA History'!N:N, 1)</f>
        <v>7</v>
      </c>
      <c r="S18" s="2">
        <f>COUNTIFS('BA History'!$B:$B,$A$18,'BA History'!O:O, 1)</f>
        <v>2</v>
      </c>
      <c r="T18" s="2">
        <f>COUNTIFS('BA History'!$B:$B,$A$18,'BA History'!P:P, 1)</f>
        <v>1</v>
      </c>
      <c r="U18" s="2">
        <f>COUNTIFS('BA History'!$B:$B,$A$18,'BA History'!Q:Q, 1)</f>
        <v>4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1</v>
      </c>
      <c r="Y18" s="2">
        <f>COUNTIFS('BA History'!$B:$B,$A$18,'BA History'!U:U, 1)</f>
        <v>0</v>
      </c>
      <c r="Z18" s="2">
        <f>COUNTIFS('BA History'!$B:$B,$A$18,'BA History'!V:V, 1)</f>
        <v>8</v>
      </c>
      <c r="AA18" s="2">
        <f>COUNTIFS('BA History'!$B:$B,$A$18,'BA History'!W:W, 1)</f>
        <v>2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9</v>
      </c>
      <c r="AE18" s="2">
        <f>COUNTIFS('BA History'!$B:$B,$A$18,'BA History'!AA:AA, 1)</f>
        <v>1</v>
      </c>
      <c r="AF18" s="2">
        <f>COUNTIFS('BA History'!$B:$B,$A$18,'BA History'!AB:AB, 1)</f>
        <v>9</v>
      </c>
      <c r="AG18" s="2">
        <f>COUNTIFS('BA History'!$B:$B,$A$18,'BA History'!AC:AC, 1)</f>
        <v>1</v>
      </c>
      <c r="AH18" s="2">
        <f>COUNTIFS('BA History'!$B:$B,$A$18,'BA History'!AD:AD, 1)</f>
        <v>8</v>
      </c>
      <c r="AI18" s="2">
        <f>COUNTIFS('BA History'!$B:$B,$A$18,'BA History'!AE:AE, 1)</f>
        <v>1</v>
      </c>
      <c r="AJ18" s="2">
        <f>COUNTIFS('BA History'!$B:$B,$A$18,'BA History'!AF:AF, 1)</f>
        <v>2</v>
      </c>
    </row>
    <row r="19" spans="1:36" x14ac:dyDescent="0.25">
      <c r="A19" s="2" t="s">
        <v>52</v>
      </c>
      <c r="B19" s="2" t="s">
        <v>79</v>
      </c>
      <c r="C19" s="34">
        <f>SUMIFS('BA History'!C:C,'BA History'!B:B,A19)</f>
        <v>208</v>
      </c>
      <c r="D19" s="66">
        <f>AVERAGEIFS('BA History'!C:C,'BA History'!B:B,A19)</f>
        <v>16</v>
      </c>
      <c r="E19" s="35">
        <f t="array" ref="E19">MAX(IF('BA History'!B:B=A19, 'BA History'!C:C))</f>
        <v>31</v>
      </c>
      <c r="F19" s="34">
        <f>COUNTIFS('BA History'!B:B,A19,'BA History'!D:D, 1)</f>
        <v>5</v>
      </c>
      <c r="G19" s="2">
        <f>COUNTIFS('BA History'!B:B,A19,'BA History'!D:D, 0)</f>
        <v>8</v>
      </c>
      <c r="H19" s="75">
        <f>LOOKUP(2, 1/('BA History'!$B:$B=A19), 'BA History'!$AJ:$AJ)</f>
        <v>0.38461538461538464</v>
      </c>
      <c r="I19" s="34">
        <f>SUMIFS('BA History'!F:F,'BA History'!B:B,A19)</f>
        <v>26</v>
      </c>
      <c r="J19" s="2">
        <f>SUMIFS('BA History'!E:E,'BA History'!B:B,A19)-I19</f>
        <v>29</v>
      </c>
      <c r="K19" s="75">
        <f>LOOKUP(2, 1/('BA History'!$B:$B=A19), 'BA History'!$AH:$AH)</f>
        <v>0.49230769230769234</v>
      </c>
      <c r="L19" s="34">
        <f>SUMIFS('BA History'!H:H,'BA History'!B:B,A19)</f>
        <v>104</v>
      </c>
      <c r="M19" s="2">
        <f>SUMIFS('BA History'!G:G,'BA History'!B:B,A19)-L19</f>
        <v>113</v>
      </c>
      <c r="N19" s="89">
        <f>LOOKUP(2, 1/('BA History'!$B:$B=A19), 'BA History'!$AI:$AI)</f>
        <v>0.49230769230769239</v>
      </c>
      <c r="O19" s="2">
        <f>COUNTIFS('BA History'!$B:$B,$A$19,'BA History'!K:K, 1)</f>
        <v>1</v>
      </c>
      <c r="P19" s="2">
        <f>COUNTIFS('BA History'!$B:$B,$A$19,'BA History'!L:L, 1)</f>
        <v>2</v>
      </c>
      <c r="Q19" s="2">
        <f>COUNTIFS('BA History'!$B:$B,$A$19,'BA History'!M:M, 1)</f>
        <v>2</v>
      </c>
      <c r="R19" s="2">
        <f>COUNTIFS('BA History'!$B:$B,$A$19,'BA History'!N:N, 1)</f>
        <v>2</v>
      </c>
      <c r="S19" s="2">
        <f>COUNTIFS('BA History'!$B:$B,$A$19,'BA History'!O:O, 1)</f>
        <v>1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4</v>
      </c>
      <c r="Z19" s="2">
        <f>COUNTIFS('BA History'!$B:$B,$A$19,'BA History'!V:V, 1)</f>
        <v>0</v>
      </c>
      <c r="AA19" s="2">
        <f>COUNTIFS('BA History'!$B:$B,$A$19,'BA History'!W:W, 1)</f>
        <v>1</v>
      </c>
      <c r="AB19" s="2">
        <f>COUNTIFS('BA History'!$B:$B,$A$19,'BA History'!X:X, 1)</f>
        <v>0</v>
      </c>
      <c r="AC19" s="2">
        <f>COUNTIFS('BA History'!$B:$B,$A$19,'BA History'!Y:Y, 1)</f>
        <v>1</v>
      </c>
      <c r="AD19" s="2">
        <f>COUNTIFS('BA History'!$B:$B,$A$19,'BA History'!Z:Z, 1)</f>
        <v>3</v>
      </c>
      <c r="AE19" s="2">
        <f>COUNTIFS('BA History'!$B:$B,$A$19,'BA History'!AA:AA, 1)</f>
        <v>0</v>
      </c>
      <c r="AF19" s="2">
        <f>COUNTIFS('BA History'!$B:$B,$A$19,'BA History'!AB:AB, 1)</f>
        <v>5</v>
      </c>
      <c r="AG19" s="2">
        <f>COUNTIFS('BA History'!$B:$B,$A$19,'BA History'!AC:AC, 1)</f>
        <v>2</v>
      </c>
      <c r="AH19" s="2">
        <f>COUNTIFS('BA History'!$B:$B,$A$19,'BA History'!AD:AD, 1)</f>
        <v>1</v>
      </c>
      <c r="AI19" s="2">
        <f>COUNTIFS('BA History'!$B:$B,$A$19,'BA History'!AE:AE, 1)</f>
        <v>0</v>
      </c>
      <c r="AJ19" s="2">
        <f>COUNTIFS('BA History'!$B:$B,$A$19,'BA History'!AF:AF, 1)</f>
        <v>0</v>
      </c>
    </row>
    <row r="20" spans="1:36" x14ac:dyDescent="0.25">
      <c r="A20" s="2" t="s">
        <v>44</v>
      </c>
      <c r="B20" s="2" t="s">
        <v>79</v>
      </c>
      <c r="C20" s="34">
        <f>SUMIFS('BA History'!C:C,'BA History'!B:B,A20)</f>
        <v>548</v>
      </c>
      <c r="D20" s="66">
        <f>AVERAGEIFS('BA History'!C:C,'BA History'!B:B,A20)</f>
        <v>16.606060606060606</v>
      </c>
      <c r="E20" s="35">
        <f t="array" ref="E20">MAX(IF('BA History'!B:B=A20, 'BA History'!C:C))</f>
        <v>36</v>
      </c>
      <c r="F20" s="34">
        <f>COUNTIFS('BA History'!B:B,A20,'BA History'!D:D, 1)</f>
        <v>20</v>
      </c>
      <c r="G20" s="2">
        <f>COUNTIFS('BA History'!B:B,A20,'BA History'!D:D, 0)</f>
        <v>13</v>
      </c>
      <c r="H20" s="75">
        <f>LOOKUP(2, 1/('BA History'!$B:$B=A20), 'BA History'!$AJ:$AJ)</f>
        <v>0.60606060606060608</v>
      </c>
      <c r="I20" s="34">
        <f>SUMIFS('BA History'!F:F,'BA History'!B:B,A20)</f>
        <v>69</v>
      </c>
      <c r="J20" s="2">
        <f>SUMIFS('BA History'!E:E,'BA History'!B:B,A20)-I20</f>
        <v>65</v>
      </c>
      <c r="K20" s="75">
        <f>LOOKUP(2, 1/('BA History'!$B:$B=A20), 'BA History'!$AH:$AH)</f>
        <v>0.49545454545454537</v>
      </c>
      <c r="L20" s="34">
        <f>SUMIFS('BA History'!H:H,'BA History'!B:B,A20)</f>
        <v>289</v>
      </c>
      <c r="M20" s="2">
        <f>SUMIFS('BA History'!G:G,'BA History'!B:B,A20)-L20</f>
        <v>272</v>
      </c>
      <c r="N20" s="89">
        <f>LOOKUP(2, 1/('BA History'!$B:$B=A20), 'BA History'!$AI:$AI)</f>
        <v>0.51333333333333331</v>
      </c>
      <c r="O20" s="2">
        <f>COUNTIFS('BA History'!$B:$B,$A$20,'BA History'!K:K, 1)</f>
        <v>3</v>
      </c>
      <c r="P20" s="2">
        <f>COUNTIFS('BA History'!$B:$B,$A$20,'BA History'!L:L, 1)</f>
        <v>4</v>
      </c>
      <c r="Q20" s="2">
        <f>COUNTIFS('BA History'!$B:$B,$A$20,'BA History'!M:M, 1)</f>
        <v>7</v>
      </c>
      <c r="R20" s="2">
        <f>COUNTIFS('BA History'!$B:$B,$A$20,'BA History'!N:N, 1)</f>
        <v>7</v>
      </c>
      <c r="S20" s="2">
        <f>COUNTIFS('BA History'!$B:$B,$A$20,'BA History'!O:O, 1)</f>
        <v>1</v>
      </c>
      <c r="T20" s="2">
        <f>COUNTIFS('BA History'!$B:$B,$A$20,'BA History'!P:P, 1)</f>
        <v>0</v>
      </c>
      <c r="U20" s="2">
        <f>COUNTIFS('BA History'!$B:$B,$A$20,'BA History'!Q:Q, 1)</f>
        <v>3</v>
      </c>
      <c r="V20" s="2">
        <f>COUNTIFS('BA History'!$B:$B,$A$20,'BA History'!R:R, 1)</f>
        <v>1</v>
      </c>
      <c r="W20" s="2">
        <f>COUNTIFS('BA History'!$B:$B,$A$20,'BA History'!S:S, 1)</f>
        <v>1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4</v>
      </c>
      <c r="AA20" s="2">
        <f>COUNTIFS('BA History'!$B:$B,$A$20,'BA History'!W:W, 1)</f>
        <v>4</v>
      </c>
      <c r="AB20" s="2">
        <f>COUNTIFS('BA History'!$B:$B,$A$20,'BA History'!X:X, 1)</f>
        <v>1</v>
      </c>
      <c r="AC20" s="2">
        <f>COUNTIFS('BA History'!$B:$B,$A$20,'BA History'!Y:Y, 1)</f>
        <v>3</v>
      </c>
      <c r="AD20" s="2">
        <f>COUNTIFS('BA History'!$B:$B,$A$20,'BA History'!Z:Z, 1)</f>
        <v>7</v>
      </c>
      <c r="AE20" s="2">
        <f>COUNTIFS('BA History'!$B:$B,$A$20,'BA History'!AA:AA, 1)</f>
        <v>2</v>
      </c>
      <c r="AF20" s="2">
        <f>COUNTIFS('BA History'!$B:$B,$A$20,'BA History'!AB:AB, 1)</f>
        <v>7</v>
      </c>
      <c r="AG20" s="2">
        <f>COUNTIFS('BA History'!$B:$B,$A$20,'BA History'!AC:AC, 1)</f>
        <v>5</v>
      </c>
      <c r="AH20" s="2">
        <f>COUNTIFS('BA History'!$B:$B,$A$20,'BA History'!AD:AD, 1)</f>
        <v>4</v>
      </c>
      <c r="AI20" s="2">
        <f>COUNTIFS('BA History'!$B:$B,$A$20,'BA History'!AE:AE, 1)</f>
        <v>1</v>
      </c>
      <c r="AJ20" s="2">
        <f>COUNTIFS('BA History'!$B:$B,$A$20,'BA History'!AF:AF, 1)</f>
        <v>4</v>
      </c>
    </row>
    <row r="21" spans="1:36" x14ac:dyDescent="0.25">
      <c r="A21" s="2" t="s">
        <v>139</v>
      </c>
      <c r="B21" s="2" t="s">
        <v>79</v>
      </c>
      <c r="C21" s="34">
        <f>SUMIFS('BA History'!C:C,'BA History'!B:B,A21)</f>
        <v>10</v>
      </c>
      <c r="D21" s="66">
        <f>AVERAGEIFS('BA History'!C:C,'BA History'!B:B,A21)</f>
        <v>10</v>
      </c>
      <c r="E21" s="35">
        <f t="array" ref="E21">MAX(IF('BA History'!B:B=A21, 'BA History'!C:C))</f>
        <v>10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>LOOKUP(2, 1/('BA History'!$B:$B=A21), 'BA History'!$AJ:$AJ)</f>
        <v>0</v>
      </c>
      <c r="I21" s="34">
        <f>SUMIFS('BA History'!F:F,'BA History'!B:B,A21)</f>
        <v>2</v>
      </c>
      <c r="J21" s="2">
        <f>SUMIFS('BA History'!E:E,'BA History'!B:B,A21)-I21</f>
        <v>3</v>
      </c>
      <c r="K21" s="75">
        <f>LOOKUP(2, 1/('BA History'!$B:$B=A21), 'BA History'!$AH:$AH)</f>
        <v>0.4</v>
      </c>
      <c r="L21" s="34">
        <f>SUMIFS('BA History'!H:H,'BA History'!B:B,A21)</f>
        <v>10</v>
      </c>
      <c r="M21" s="2">
        <f>SUMIFS('BA History'!G:G,'BA History'!B:B,A21)-L21</f>
        <v>12</v>
      </c>
      <c r="N21" s="89">
        <f>LOOKUP(2, 1/('BA History'!$B:$B=A21), 'BA History'!$AI:$AI)</f>
        <v>0.45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0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0</v>
      </c>
      <c r="AE21" s="2">
        <f>COUNTIFS('BA History'!$B:$B,$A$21,'BA History'!AA:AA, 1)</f>
        <v>1</v>
      </c>
      <c r="AF21" s="2">
        <f>COUNTIFS('BA History'!$B:$B,$A$21,'BA History'!AB:AB, 1)</f>
        <v>1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x14ac:dyDescent="0.25">
      <c r="A22" s="2" t="s">
        <v>1</v>
      </c>
      <c r="B22" s="1" t="s">
        <v>162</v>
      </c>
      <c r="C22" s="34">
        <f>SUMIFS('BA History'!C:C,'BA History'!B:B,A22)</f>
        <v>737</v>
      </c>
      <c r="D22" s="66">
        <f>AVERAGEIFS('BA History'!C:C,'BA History'!B:B,A22)</f>
        <v>26.321428571428573</v>
      </c>
      <c r="E22" s="35">
        <f t="array" ref="E22">MAX(IF('BA History'!B:B=A22, 'BA History'!C:C))</f>
        <v>50</v>
      </c>
      <c r="F22" s="34">
        <f>COUNTIFS('BA History'!B:B,A22,'BA History'!D:D, 1)</f>
        <v>13</v>
      </c>
      <c r="G22" s="2">
        <f>COUNTIFS('BA History'!B:B,A22,'BA History'!D:D, 0)</f>
        <v>15</v>
      </c>
      <c r="H22" s="75">
        <f>LOOKUP(2, 1/('BA History'!$B:$B=A22), 'BA History'!$AJ:$AJ)</f>
        <v>0.4642857142857143</v>
      </c>
      <c r="I22" s="34">
        <f>SUMIFS('BA History'!F:F,'BA History'!B:B,A22)</f>
        <v>52</v>
      </c>
      <c r="J22" s="2">
        <f>SUMIFS('BA History'!E:E,'BA History'!B:B,A22)-I22</f>
        <v>60</v>
      </c>
      <c r="K22" s="75">
        <f>LOOKUP(2, 1/('BA History'!$B:$B=A22), 'BA History'!$AH:$AH)</f>
        <v>0.45000000000000007</v>
      </c>
      <c r="L22" s="34">
        <f>SUMIFS('BA History'!H:H,'BA History'!B:B,A22)</f>
        <v>219</v>
      </c>
      <c r="M22" s="2">
        <f>SUMIFS('BA History'!G:G,'BA History'!B:B,A22)-L22</f>
        <v>243</v>
      </c>
      <c r="N22" s="89">
        <f>LOOKUP(2, 1/('BA History'!$B:$B=A22), 'BA History'!$AI:$AI)</f>
        <v>0.46857142857142858</v>
      </c>
      <c r="O22" s="2">
        <f>COUNTIFS('BA History'!$B:$B,$A$22,'BA History'!K:K, 1)</f>
        <v>4</v>
      </c>
      <c r="P22" s="2">
        <f>COUNTIFS('BA History'!$B:$B,$A$22,'BA History'!L:L, 1)</f>
        <v>6</v>
      </c>
      <c r="Q22" s="2">
        <f>COUNTIFS('BA History'!$B:$B,$A$22,'BA History'!M:M, 1)</f>
        <v>4</v>
      </c>
      <c r="R22" s="2">
        <f>COUNTIFS('BA History'!$B:$B,$A$22,'BA History'!N:N, 1)</f>
        <v>3</v>
      </c>
      <c r="S22" s="2">
        <f>COUNTIFS('BA History'!$B:$B,$A$22,'BA History'!O:O, 1)</f>
        <v>3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1</v>
      </c>
      <c r="X22" s="2">
        <f>COUNTIFS('BA History'!$B:$B,$A$22,'BA History'!T:T, 1)</f>
        <v>0</v>
      </c>
      <c r="Y22" s="2">
        <f>COUNTIFS('BA History'!$B:$B,$A$22,'BA History'!U:U, 1)</f>
        <v>1</v>
      </c>
      <c r="Z22" s="2">
        <f>COUNTIFS('BA History'!$B:$B,$A$22,'BA History'!V:V, 1)</f>
        <v>4</v>
      </c>
      <c r="AA22" s="2">
        <f>COUNTIFS('BA History'!$B:$B,$A$22,'BA History'!W:W, 1)</f>
        <v>2</v>
      </c>
      <c r="AB22" s="2">
        <f>COUNTIFS('BA History'!$B:$B,$A$22,'BA History'!X:X, 1)</f>
        <v>0</v>
      </c>
      <c r="AC22" s="2">
        <f>COUNTIFS('BA History'!$B:$B,$A$22,'BA History'!Y:Y, 1)</f>
        <v>3</v>
      </c>
      <c r="AD22" s="2">
        <f>COUNTIFS('BA History'!$B:$B,$A$22,'BA History'!Z:Z, 1)</f>
        <v>4</v>
      </c>
      <c r="AE22" s="2">
        <f>COUNTIFS('BA History'!$B:$B,$A$22,'BA History'!AA:AA, 1)</f>
        <v>1</v>
      </c>
      <c r="AF22" s="2">
        <f>COUNTIFS('BA History'!$B:$B,$A$22,'BA History'!AB:AB, 1)</f>
        <v>3</v>
      </c>
      <c r="AG22" s="2">
        <f>COUNTIFS('BA History'!$B:$B,$A$22,'BA History'!AC:AC, 1)</f>
        <v>4</v>
      </c>
      <c r="AH22" s="2">
        <f>COUNTIFS('BA History'!$B:$B,$A$22,'BA History'!AD:AD, 1)</f>
        <v>6</v>
      </c>
      <c r="AI22" s="2">
        <f>COUNTIFS('BA History'!$B:$B,$A$22,'BA History'!AE:AE, 1)</f>
        <v>1</v>
      </c>
      <c r="AJ22" s="2">
        <f>COUNTIFS('BA History'!$B:$B,$A$22,'BA History'!AF:AF, 1)</f>
        <v>2</v>
      </c>
    </row>
    <row r="23" spans="1:36" ht="15.75" x14ac:dyDescent="0.25">
      <c r="A23" s="2" t="s">
        <v>152</v>
      </c>
      <c r="B23" s="95" t="s">
        <v>79</v>
      </c>
      <c r="C23" s="34">
        <f>SUMIFS('BA History'!C:C,'BA History'!B:B,A23)</f>
        <v>7</v>
      </c>
      <c r="D23" s="66">
        <f>AVERAGEIFS('BA History'!C:C,'BA History'!B:B,A23)</f>
        <v>7</v>
      </c>
      <c r="E23" s="35">
        <f t="array" ref="E23">MAX(IF('BA History'!B:B=A23, 'BA History'!C:C))</f>
        <v>7</v>
      </c>
      <c r="F23" s="34">
        <f>COUNTIFS('BA History'!B:B,A23,'BA History'!D:D, 1)</f>
        <v>0</v>
      </c>
      <c r="G23" s="2">
        <f>COUNTIFS('BA History'!B:B,A23,'BA History'!D:D, 0)</f>
        <v>1</v>
      </c>
      <c r="H23" s="75">
        <f>LOOKUP(2, 1/('BA History'!$B:$B=A23), 'BA History'!$AJ:$AJ)</f>
        <v>0</v>
      </c>
      <c r="I23" s="34">
        <f>SUMIFS('BA History'!F:F,'BA History'!B:B,A23)</f>
        <v>1</v>
      </c>
      <c r="J23" s="2">
        <f>SUMIFS('BA History'!E:E,'BA History'!B:B,A23)-I23</f>
        <v>4</v>
      </c>
      <c r="K23" s="75">
        <f>LOOKUP(2, 1/('BA History'!$B:$B=A23), 'BA History'!$AH:$AH)</f>
        <v>0.2</v>
      </c>
      <c r="L23" s="34">
        <f>SUMIFS('BA History'!H:H,'BA History'!B:B,A23)</f>
        <v>5</v>
      </c>
      <c r="M23" s="2">
        <f>SUMIFS('BA History'!G:G,'BA History'!B:B,A23)-L23</f>
        <v>14</v>
      </c>
      <c r="N23" s="89">
        <f>LOOKUP(2, 1/('BA History'!$B:$B=A23), 'BA History'!$AI:$AI)</f>
        <v>0.26</v>
      </c>
      <c r="O23" s="2">
        <f>COUNTIFS('BA History'!$B:$B,$A$23,'BA History'!K:K, 1)</f>
        <v>0</v>
      </c>
      <c r="P23" s="2">
        <f>COUNTIFS('BA History'!$B:$B,$A$23,'BA History'!L:L, 1)</f>
        <v>1</v>
      </c>
      <c r="Q23" s="2">
        <f>COUNTIFS('BA History'!$B:$B,$A$23,'BA History'!M:M, 1)</f>
        <v>0</v>
      </c>
      <c r="R23" s="2">
        <f>COUNTIFS('BA History'!$B:$B,$A$23,'BA History'!N:N, 1)</f>
        <v>0</v>
      </c>
      <c r="S23" s="2">
        <f>COUNTIFS('BA History'!$B:$B,$A$23,'BA History'!O:O, 1)</f>
        <v>0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0</v>
      </c>
      <c r="Z23" s="2">
        <f>COUNTIFS('BA History'!$B:$B,$A$23,'BA History'!V:V, 1)</f>
        <v>0</v>
      </c>
      <c r="AA23" s="2">
        <f>COUNTIFS('BA History'!$B:$B,$A$23,'BA History'!W:W, 1)</f>
        <v>0</v>
      </c>
      <c r="AB23" s="2">
        <f>COUNTIFS('BA History'!$B:$B,$A$23,'BA History'!X:X, 1)</f>
        <v>0</v>
      </c>
      <c r="AC23" s="2">
        <f>COUNTIFS('BA History'!$B:$B,$A$23,'BA History'!Y:Y, 1)</f>
        <v>0</v>
      </c>
      <c r="AD23" s="2">
        <f>COUNTIFS('BA History'!$B:$B,$A$23,'BA History'!Z:Z, 1)</f>
        <v>0</v>
      </c>
      <c r="AE23" s="2">
        <f>COUNTIFS('BA History'!$B:$B,$A$23,'BA History'!AA:AA, 1)</f>
        <v>0</v>
      </c>
      <c r="AF23" s="2">
        <f>COUNTIFS('BA History'!$B:$B,$A$23,'BA History'!AB:AB, 1)</f>
        <v>0</v>
      </c>
      <c r="AG23" s="2">
        <f>COUNTIFS('BA History'!$B:$B,$A$23,'BA History'!AC:AC, 1)</f>
        <v>0</v>
      </c>
      <c r="AH23" s="2">
        <f>COUNTIFS('BA History'!$B:$B,$A$23,'BA History'!AD:AD, 1)</f>
        <v>0</v>
      </c>
      <c r="AI23" s="2">
        <f>COUNTIFS('BA History'!$B:$B,$A$23,'BA History'!AE:AE, 1)</f>
        <v>0</v>
      </c>
      <c r="AJ23" s="2">
        <f>COUNTIFS('BA History'!$B:$B,$A$23,'BA History'!AF:AF, 1)</f>
        <v>0</v>
      </c>
    </row>
    <row r="24" spans="1:36" ht="15.75" x14ac:dyDescent="0.25">
      <c r="A24" s="2" t="s">
        <v>151</v>
      </c>
      <c r="B24" s="95" t="s">
        <v>79</v>
      </c>
      <c r="C24" s="34">
        <f>SUMIFS('BA History'!C:C,'BA History'!B:B,A24)</f>
        <v>126</v>
      </c>
      <c r="D24" s="66">
        <f>AVERAGEIFS('BA History'!C:C,'BA History'!B:B,A24)</f>
        <v>14</v>
      </c>
      <c r="E24" s="35">
        <f t="array" ref="E24">MAX(IF('BA History'!B:B=A24, 'BA History'!C:C))</f>
        <v>21</v>
      </c>
      <c r="F24" s="34">
        <f>COUNTIFS('BA History'!B:B,A24,'BA History'!D:D, 1)</f>
        <v>5</v>
      </c>
      <c r="G24" s="2">
        <f>COUNTIFS('BA History'!B:B,A24,'BA History'!D:D, 0)</f>
        <v>4</v>
      </c>
      <c r="H24" s="75">
        <f>LOOKUP(2, 1/('BA History'!$B:$B=A24), 'BA History'!$AJ:$AJ)</f>
        <v>0.55555555555555558</v>
      </c>
      <c r="I24" s="34">
        <f>SUMIFS('BA History'!F:F,'BA History'!B:B,A24)</f>
        <v>22</v>
      </c>
      <c r="J24" s="2">
        <f>SUMIFS('BA History'!E:E,'BA History'!B:B,A24)-I24</f>
        <v>16</v>
      </c>
      <c r="K24" s="75">
        <f>LOOKUP(2, 1/('BA History'!$B:$B=A24), 'BA History'!$AH:$AH)</f>
        <v>0.6166666666666667</v>
      </c>
      <c r="L24" s="34">
        <f>SUMIFS('BA History'!H:H,'BA History'!B:B,A24)</f>
        <v>87</v>
      </c>
      <c r="M24" s="2">
        <f>SUMIFS('BA History'!G:G,'BA History'!B:B,A24)-L24</f>
        <v>67</v>
      </c>
      <c r="N24" s="89">
        <f>LOOKUP(2, 1/('BA History'!$B:$B=A24), 'BA History'!$AI:$AI)</f>
        <v>0.59555555555555562</v>
      </c>
      <c r="O24" s="2">
        <f>COUNTIFS('BA History'!$B:$B,$A$24,'BA History'!K:K, 1)</f>
        <v>0</v>
      </c>
      <c r="P24" s="2">
        <f>COUNTIFS('BA History'!$B:$B,$A$24,'BA History'!L:L, 1)</f>
        <v>2</v>
      </c>
      <c r="Q24" s="2">
        <f>COUNTIFS('BA History'!$B:$B,$A$24,'BA History'!M:M, 1)</f>
        <v>3</v>
      </c>
      <c r="R24" s="2">
        <f>COUNTIFS('BA History'!$B:$B,$A$24,'BA History'!N:N, 1)</f>
        <v>2</v>
      </c>
      <c r="S24" s="2">
        <f>COUNTIFS('BA History'!$B:$B,$A$24,'BA History'!O:O, 1)</f>
        <v>1</v>
      </c>
      <c r="T24" s="2">
        <f>COUNTIFS('BA History'!$B:$B,$A$24,'BA History'!P:P, 1)</f>
        <v>0</v>
      </c>
      <c r="U24" s="2">
        <f>COUNTIFS('BA History'!$B:$B,$A$24,'BA History'!Q:Q, 1)</f>
        <v>2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0</v>
      </c>
      <c r="Z24" s="2">
        <f>COUNTIFS('BA History'!$B:$B,$A$24,'BA History'!V:V, 1)</f>
        <v>1</v>
      </c>
      <c r="AA24" s="2">
        <f>COUNTIFS('BA History'!$B:$B,$A$24,'BA History'!W:W, 1)</f>
        <v>2</v>
      </c>
      <c r="AB24" s="2">
        <f>COUNTIFS('BA History'!$B:$B,$A$24,'BA History'!X:X, 1)</f>
        <v>0</v>
      </c>
      <c r="AC24" s="2">
        <f>COUNTIFS('BA History'!$B:$B,$A$24,'BA History'!Y:Y, 1)</f>
        <v>1</v>
      </c>
      <c r="AD24" s="2">
        <f>COUNTIFS('BA History'!$B:$B,$A$24,'BA History'!Z:Z, 1)</f>
        <v>3</v>
      </c>
      <c r="AE24" s="2">
        <f>COUNTIFS('BA History'!$B:$B,$A$24,'BA History'!AA:AA, 1)</f>
        <v>0</v>
      </c>
      <c r="AF24" s="2">
        <f>COUNTIFS('BA History'!$B:$B,$A$24,'BA History'!AB:AB, 1)</f>
        <v>3</v>
      </c>
      <c r="AG24" s="2">
        <f>COUNTIFS('BA History'!$B:$B,$A$24,'BA History'!AC:AC, 1)</f>
        <v>0</v>
      </c>
      <c r="AH24" s="2">
        <f>COUNTIFS('BA History'!$B:$B,$A$24,'BA History'!AD:AD, 1)</f>
        <v>2</v>
      </c>
      <c r="AI24" s="2">
        <f>COUNTIFS('BA History'!$B:$B,$A$24,'BA History'!AE:AE, 1)</f>
        <v>0</v>
      </c>
      <c r="AJ24" s="2">
        <f>COUNTIFS('BA History'!$B:$B,$A$24,'BA History'!AF:AF, 1)</f>
        <v>0</v>
      </c>
    </row>
    <row r="25" spans="1:36" x14ac:dyDescent="0.25">
      <c r="A25" s="2" t="s">
        <v>46</v>
      </c>
      <c r="B25" s="1" t="s">
        <v>162</v>
      </c>
      <c r="C25" s="34">
        <f>SUMIFS('BA History'!C:C,'BA History'!B:B,A25)</f>
        <v>494</v>
      </c>
      <c r="D25" s="66">
        <f>AVERAGEIFS('BA History'!C:C,'BA History'!B:B,A25)</f>
        <v>18.296296296296298</v>
      </c>
      <c r="E25" s="35">
        <f t="array" ref="E25">MAX(IF('BA History'!B:B=A25, 'BA History'!C:C))</f>
        <v>34</v>
      </c>
      <c r="F25" s="34">
        <f>COUNTIFS('BA History'!B:B,A25,'BA History'!D:D, 1)</f>
        <v>9</v>
      </c>
      <c r="G25" s="2">
        <f>COUNTIFS('BA History'!B:B,A25,'BA History'!D:D, 0)</f>
        <v>18</v>
      </c>
      <c r="H25" s="75">
        <f>LOOKUP(2, 1/('BA History'!$B:$B=A25), 'BA History'!$AJ:$AJ)</f>
        <v>0.33333333333333331</v>
      </c>
      <c r="I25" s="34">
        <f>SUMIFS('BA History'!F:F,'BA History'!B:B,A25)</f>
        <v>48</v>
      </c>
      <c r="J25" s="2">
        <f>SUMIFS('BA History'!E:E,'BA History'!B:B,A25)-I25</f>
        <v>67</v>
      </c>
      <c r="K25" s="75">
        <f>LOOKUP(2, 1/('BA History'!$B:$B=A25), 'BA History'!$AH:$AH)</f>
        <v>0.39999999999999997</v>
      </c>
      <c r="L25" s="34">
        <f>SUMIFS('BA History'!H:H,'BA History'!B:B,A25)</f>
        <v>221</v>
      </c>
      <c r="M25" s="2">
        <f>SUMIFS('BA History'!G:G,'BA History'!B:B,A25)-L25</f>
        <v>262</v>
      </c>
      <c r="N25" s="89">
        <f>LOOKUP(2, 1/('BA History'!$B:$B=A25), 'BA History'!$AI:$AI)</f>
        <v>0.44814814814814818</v>
      </c>
      <c r="O25" s="2">
        <f>COUNTIFS('BA History'!$B:$B,$A$25,'BA History'!K:K, 1)</f>
        <v>6</v>
      </c>
      <c r="P25" s="2">
        <f>COUNTIFS('BA History'!$B:$B,$A$25,'BA History'!L:L, 1)</f>
        <v>3</v>
      </c>
      <c r="Q25" s="2">
        <f>COUNTIFS('BA History'!$B:$B,$A$25,'BA History'!M:M, 1)</f>
        <v>3</v>
      </c>
      <c r="R25" s="2">
        <f>COUNTIFS('BA History'!$B:$B,$A$25,'BA History'!N:N, 1)</f>
        <v>3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1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1</v>
      </c>
      <c r="Z25" s="2">
        <f>COUNTIFS('BA History'!$B:$B,$A$25,'BA History'!V:V, 1)</f>
        <v>1</v>
      </c>
      <c r="AA25" s="2">
        <f>COUNTIFS('BA History'!$B:$B,$A$25,'BA History'!W:W, 1)</f>
        <v>3</v>
      </c>
      <c r="AB25" s="2">
        <f>COUNTIFS('BA History'!$B:$B,$A$25,'BA History'!X:X, 1)</f>
        <v>1</v>
      </c>
      <c r="AC25" s="2">
        <f>COUNTIFS('BA History'!$B:$B,$A$25,'BA History'!Y:Y, 1)</f>
        <v>1</v>
      </c>
      <c r="AD25" s="2">
        <f>COUNTIFS('BA History'!$B:$B,$A$25,'BA History'!Z:Z, 1)</f>
        <v>7</v>
      </c>
      <c r="AE25" s="2">
        <f>COUNTIFS('BA History'!$B:$B,$A$25,'BA History'!AA:AA, 1)</f>
        <v>2</v>
      </c>
      <c r="AF25" s="2">
        <f>COUNTIFS('BA History'!$B:$B,$A$25,'BA History'!AB:AB, 1)</f>
        <v>5</v>
      </c>
      <c r="AG25" s="2">
        <f>COUNTIFS('BA History'!$B:$B,$A$25,'BA History'!AC:AC, 1)</f>
        <v>1</v>
      </c>
      <c r="AH25" s="2">
        <f>COUNTIFS('BA History'!$B:$B,$A$25,'BA History'!AD:AD, 1)</f>
        <v>3</v>
      </c>
      <c r="AI25" s="2">
        <f>COUNTIFS('BA History'!$B:$B,$A$25,'BA History'!AE:AE, 1)</f>
        <v>2</v>
      </c>
      <c r="AJ25" s="2">
        <f>COUNTIFS('BA History'!$B:$B,$A$25,'BA History'!AF:AF, 1)</f>
        <v>4</v>
      </c>
    </row>
    <row r="26" spans="1:36" x14ac:dyDescent="0.25">
      <c r="A26" s="2" t="s">
        <v>28</v>
      </c>
      <c r="B26" s="2" t="s">
        <v>79</v>
      </c>
      <c r="C26" s="34">
        <f>SUMIFS('BA History'!C:C,'BA History'!B:B,A26)</f>
        <v>381</v>
      </c>
      <c r="D26" s="66">
        <f>AVERAGEIFS('BA History'!C:C,'BA History'!B:B,A26)</f>
        <v>13.607142857142858</v>
      </c>
      <c r="E26" s="35">
        <f t="array" ref="E26">MAX(IF('BA History'!B:B=A26, 'BA History'!C:C))</f>
        <v>25</v>
      </c>
      <c r="F26" s="34">
        <f>COUNTIFS('BA History'!B:B,A26,'BA History'!D:D, 1)</f>
        <v>11</v>
      </c>
      <c r="G26" s="2">
        <f>COUNTIFS('BA History'!B:B,A26,'BA History'!D:D, 0)</f>
        <v>17</v>
      </c>
      <c r="H26" s="75">
        <f>LOOKUP(2, 1/('BA History'!$B:$B=A26), 'BA History'!$AJ:$AJ)</f>
        <v>0.39285714285714285</v>
      </c>
      <c r="I26" s="34">
        <f>SUMIFS('BA History'!F:F,'BA History'!B:B,A26)</f>
        <v>46</v>
      </c>
      <c r="J26" s="2">
        <f>SUMIFS('BA History'!E:E,'BA History'!B:B,A26)-I26</f>
        <v>60</v>
      </c>
      <c r="K26" s="75">
        <f>LOOKUP(2, 1/('BA History'!$B:$B=A26), 'BA History'!$AH:$AH)</f>
        <v>0.43321428571428566</v>
      </c>
      <c r="L26" s="34">
        <f>SUMIFS('BA History'!H:H,'BA History'!B:B,A26)</f>
        <v>199</v>
      </c>
      <c r="M26" s="2">
        <f>SUMIFS('BA History'!G:G,'BA History'!B:B,A26)-L26</f>
        <v>230</v>
      </c>
      <c r="N26" s="89">
        <f>LOOKUP(2, 1/('BA History'!$B:$B=A26), 'BA History'!$AI:$AI)</f>
        <v>0.45714285714285702</v>
      </c>
      <c r="O26" s="2">
        <f>COUNTIFS('BA History'!$B:$B,$A$26,'BA History'!K:K, 1)</f>
        <v>1</v>
      </c>
      <c r="P26" s="2">
        <f>COUNTIFS('BA History'!$B:$B,$A$26,'BA History'!L:L, 1)</f>
        <v>4</v>
      </c>
      <c r="Q26" s="2">
        <f>COUNTIFS('BA History'!$B:$B,$A$26,'BA History'!M:M, 1)</f>
        <v>2</v>
      </c>
      <c r="R26" s="2">
        <f>COUNTIFS('BA History'!$B:$B,$A$26,'BA History'!N:N, 1)</f>
        <v>5</v>
      </c>
      <c r="S26" s="2">
        <f>COUNTIFS('BA History'!$B:$B,$A$26,'BA History'!O:O, 1)</f>
        <v>3</v>
      </c>
      <c r="T26" s="2">
        <f>COUNTIFS('BA History'!$B:$B,$A$26,'BA History'!P:P, 1)</f>
        <v>1</v>
      </c>
      <c r="U26" s="2">
        <f>COUNTIFS('BA History'!$B:$B,$A$26,'BA History'!Q:Q, 1)</f>
        <v>2</v>
      </c>
      <c r="V26" s="2">
        <f>COUNTIFS('BA History'!$B:$B,$A$26,'BA History'!R:R, 1)</f>
        <v>1</v>
      </c>
      <c r="W26" s="2">
        <f>COUNTIFS('BA History'!$B:$B,$A$26,'BA History'!S:S, 1)</f>
        <v>0</v>
      </c>
      <c r="X26" s="2">
        <f>COUNTIFS('BA History'!$B:$B,$A$26,'BA History'!T:T, 1)</f>
        <v>1</v>
      </c>
      <c r="Y26" s="2">
        <f>COUNTIFS('BA History'!$B:$B,$A$26,'BA History'!U:U, 1)</f>
        <v>3</v>
      </c>
      <c r="Z26" s="2">
        <f>COUNTIFS('BA History'!$B:$B,$A$26,'BA History'!V:V, 1)</f>
        <v>2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3</v>
      </c>
      <c r="AD26" s="2">
        <f>COUNTIFS('BA History'!$B:$B,$A$26,'BA History'!Z:Z, 1)</f>
        <v>4</v>
      </c>
      <c r="AE26" s="2">
        <f>COUNTIFS('BA History'!$B:$B,$A$26,'BA History'!AA:AA, 1)</f>
        <v>2</v>
      </c>
      <c r="AF26" s="2">
        <f>COUNTIFS('BA History'!$B:$B,$A$26,'BA History'!AB:AB, 1)</f>
        <v>3</v>
      </c>
      <c r="AG26" s="2">
        <f>COUNTIFS('BA History'!$B:$B,$A$26,'BA History'!AC:AC, 1)</f>
        <v>3</v>
      </c>
      <c r="AH26" s="2">
        <f>COUNTIFS('BA History'!$B:$B,$A$26,'BA History'!AD:AD, 1)</f>
        <v>4</v>
      </c>
      <c r="AI26" s="2">
        <f>COUNTIFS('BA History'!$B:$B,$A$26,'BA History'!AE:AE, 1)</f>
        <v>0</v>
      </c>
      <c r="AJ26" s="2">
        <f>COUNTIFS('BA History'!$B:$B,$A$26,'BA History'!AF:AF, 1)</f>
        <v>1</v>
      </c>
    </row>
    <row r="27" spans="1:36" x14ac:dyDescent="0.25">
      <c r="A27" s="2" t="s">
        <v>53</v>
      </c>
      <c r="B27" s="2" t="s">
        <v>79</v>
      </c>
      <c r="C27" s="34">
        <f>SUMIFS('BA History'!C:C,'BA History'!B:B,A27)</f>
        <v>317</v>
      </c>
      <c r="D27" s="66">
        <f>AVERAGEIFS('BA History'!C:C,'BA History'!B:B,A27)</f>
        <v>15.85</v>
      </c>
      <c r="E27" s="35">
        <f t="array" ref="E27">MAX(IF('BA History'!B:B=A27, 'BA History'!C:C))</f>
        <v>36</v>
      </c>
      <c r="F27" s="34">
        <f>COUNTIFS('BA History'!B:B,A27,'BA History'!D:D, 1)</f>
        <v>10</v>
      </c>
      <c r="G27" s="2">
        <f>COUNTIFS('BA History'!B:B,A27,'BA History'!D:D, 0)</f>
        <v>10</v>
      </c>
      <c r="H27" s="75">
        <f>LOOKUP(2, 1/('BA History'!$B:$B=A27), 'BA History'!$AJ:$AJ)</f>
        <v>0.5</v>
      </c>
      <c r="I27" s="34">
        <f>SUMIFS('BA History'!F:F,'BA History'!B:B,A27)</f>
        <v>41</v>
      </c>
      <c r="J27" s="2">
        <f>SUMIFS('BA History'!E:E,'BA History'!B:B,A27)-I27</f>
        <v>35</v>
      </c>
      <c r="K27" s="75">
        <f>LOOKUP(2, 1/('BA History'!$B:$B=A27), 'BA History'!$AH:$AH)</f>
        <v>0.56000000000000005</v>
      </c>
      <c r="L27" s="34">
        <f>SUMIFS('BA History'!H:H,'BA History'!B:B,A27)</f>
        <v>159</v>
      </c>
      <c r="M27" s="2">
        <f>SUMIFS('BA History'!G:G,'BA History'!B:B,A27)-L27</f>
        <v>149</v>
      </c>
      <c r="N27" s="89">
        <f>LOOKUP(2, 1/('BA History'!$B:$B=A27), 'BA History'!$AI:$AI)</f>
        <v>0.52950000000000008</v>
      </c>
      <c r="O27" s="2">
        <f>COUNTIFS('BA History'!$B:$B,$A$27,'BA History'!K:K, 1)</f>
        <v>2</v>
      </c>
      <c r="P27" s="2">
        <f>COUNTIFS('BA History'!$B:$B,$A$27,'BA History'!L:L, 1)</f>
        <v>5</v>
      </c>
      <c r="Q27" s="2">
        <f>COUNTIFS('BA History'!$B:$B,$A$27,'BA History'!M:M, 1)</f>
        <v>0</v>
      </c>
      <c r="R27" s="2">
        <f>COUNTIFS('BA History'!$B:$B,$A$27,'BA History'!N:N, 1)</f>
        <v>5</v>
      </c>
      <c r="S27" s="2">
        <f>COUNTIFS('BA History'!$B:$B,$A$27,'BA History'!O:O, 1)</f>
        <v>1</v>
      </c>
      <c r="T27" s="2">
        <f>COUNTIFS('BA History'!$B:$B,$A$27,'BA History'!P:P, 1)</f>
        <v>0</v>
      </c>
      <c r="U27" s="2">
        <f>COUNTIFS('BA History'!$B:$B,$A$27,'BA History'!Q:Q, 1)</f>
        <v>2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2</v>
      </c>
      <c r="AA27" s="2">
        <f>COUNTIFS('BA History'!$B:$B,$A$27,'BA History'!W:W, 1)</f>
        <v>1</v>
      </c>
      <c r="AB27" s="2">
        <f>COUNTIFS('BA History'!$B:$B,$A$27,'BA History'!X:X, 1)</f>
        <v>1</v>
      </c>
      <c r="AC27" s="2">
        <f>COUNTIFS('BA History'!$B:$B,$A$27,'BA History'!Y:Y, 1)</f>
        <v>3</v>
      </c>
      <c r="AD27" s="2">
        <f>COUNTIFS('BA History'!$B:$B,$A$27,'BA History'!Z:Z, 1)</f>
        <v>7</v>
      </c>
      <c r="AE27" s="2">
        <f>COUNTIFS('BA History'!$B:$B,$A$27,'BA History'!AA:AA, 1)</f>
        <v>0</v>
      </c>
      <c r="AF27" s="2">
        <f>COUNTIFS('BA History'!$B:$B,$A$27,'BA History'!AB:AB, 1)</f>
        <v>6</v>
      </c>
      <c r="AG27" s="2">
        <f>COUNTIFS('BA History'!$B:$B,$A$27,'BA History'!AC:AC, 1)</f>
        <v>2</v>
      </c>
      <c r="AH27" s="2">
        <f>COUNTIFS('BA History'!$B:$B,$A$27,'BA History'!AD:AD, 1)</f>
        <v>2</v>
      </c>
      <c r="AI27" s="2">
        <f>COUNTIFS('BA History'!$B:$B,$A$27,'BA History'!AE:AE, 1)</f>
        <v>0</v>
      </c>
      <c r="AJ27" s="2">
        <f>COUNTIFS('BA History'!$B:$B,$A$27,'BA History'!AF:AF, 1)</f>
        <v>2</v>
      </c>
    </row>
    <row r="28" spans="1:36" x14ac:dyDescent="0.25">
      <c r="A28" s="2" t="s">
        <v>51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10.5</v>
      </c>
      <c r="E28" s="35">
        <f t="array" ref="E28">MAX(IF('BA History'!B:B=A28, 'BA History'!C:C))</f>
        <v>16</v>
      </c>
      <c r="F28" s="34">
        <f>COUNTIFS('BA History'!B:B,A28,'BA History'!D:D, 1)</f>
        <v>1</v>
      </c>
      <c r="G28" s="2">
        <f>COUNTIFS('BA History'!B:B,A28,'BA History'!D:D, 0)</f>
        <v>1</v>
      </c>
      <c r="H28" s="75">
        <f>LOOKUP(2, 1/('BA History'!$B:$B=A28), 'BA History'!$AJ:$AJ)</f>
        <v>0.5</v>
      </c>
      <c r="I28" s="34">
        <f>SUMIFS('BA History'!F:F,'BA History'!B:B,A28)</f>
        <v>2</v>
      </c>
      <c r="J28" s="2">
        <f>SUMIFS('BA History'!E:E,'BA History'!B:B,A28)-I28</f>
        <v>4</v>
      </c>
      <c r="K28" s="75">
        <f>LOOKUP(2, 1/('BA History'!$B:$B=A28), 'BA History'!$AH:$AH)</f>
        <v>0.33500000000000002</v>
      </c>
      <c r="L28" s="34">
        <f>SUMIFS('BA History'!H:H,'BA History'!B:B,A28)</f>
        <v>10</v>
      </c>
      <c r="M28" s="2">
        <f>SUMIFS('BA History'!G:G,'BA History'!B:B,A28)-L28</f>
        <v>16</v>
      </c>
      <c r="N28" s="89">
        <f>LOOKUP(2, 1/('BA History'!$B:$B=A28), 'BA History'!$AI:$AI)</f>
        <v>0.35499999999999998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1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1</v>
      </c>
      <c r="AH28" s="2">
        <f>COUNTIFS('BA History'!$B:$B,$A$28,'BA History'!AD:AD, 1)</f>
        <v>0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47</v>
      </c>
      <c r="B29" s="2" t="s">
        <v>79</v>
      </c>
      <c r="C29" s="34">
        <f>SUMIFS('BA History'!C:C,'BA History'!B:B,A29)</f>
        <v>40</v>
      </c>
      <c r="D29" s="66">
        <f>AVERAGEIFS('BA History'!C:C,'BA History'!B:B,A29)</f>
        <v>6.666666666666667</v>
      </c>
      <c r="E29" s="35">
        <f t="array" ref="E29">MAX(IF('BA History'!B:B=A29, 'BA History'!C:C))</f>
        <v>11</v>
      </c>
      <c r="F29" s="34">
        <f>COUNTIFS('BA History'!B:B,A29,'BA History'!D:D, 1)</f>
        <v>2</v>
      </c>
      <c r="G29" s="2">
        <f>COUNTIFS('BA History'!B:B,A29,'BA History'!D:D, 0)</f>
        <v>4</v>
      </c>
      <c r="H29" s="75">
        <f>LOOKUP(2, 1/('BA History'!$B:$B=A29), 'BA History'!$AJ:$AJ)</f>
        <v>0.33333333333333331</v>
      </c>
      <c r="I29" s="34">
        <f>SUMIFS('BA History'!F:F,'BA History'!B:B,A29)</f>
        <v>13</v>
      </c>
      <c r="J29" s="2">
        <f>SUMIFS('BA History'!E:E,'BA History'!B:B,A29)-I29</f>
        <v>14</v>
      </c>
      <c r="K29" s="75">
        <f>LOOKUP(2, 1/('BA History'!$B:$B=A29), 'BA History'!$AH:$AH)</f>
        <v>0.5083333333333333</v>
      </c>
      <c r="L29" s="34">
        <f>SUMIFS('BA History'!H:H,'BA History'!B:B,A29)</f>
        <v>51</v>
      </c>
      <c r="M29" s="2">
        <f>SUMIFS('BA History'!G:G,'BA History'!B:B,A29)-L29</f>
        <v>54</v>
      </c>
      <c r="N29" s="89">
        <f>LOOKUP(2, 1/('BA History'!$B:$B=A29), 'BA History'!$AI:$AI)</f>
        <v>0.51666666666666661</v>
      </c>
      <c r="O29" s="2">
        <f>COUNTIFS('BA History'!$B:$B,$A$29,'BA History'!K:K, 1)</f>
        <v>2</v>
      </c>
      <c r="P29" s="2">
        <f>COUNTIFS('BA History'!$B:$B,$A$29,'BA History'!L:L, 1)</f>
        <v>1</v>
      </c>
      <c r="Q29" s="2">
        <f>COUNTIFS('BA History'!$B:$B,$A$29,'BA History'!M:M, 1)</f>
        <v>2</v>
      </c>
      <c r="R29" s="2">
        <f>COUNTIFS('BA History'!$B:$B,$A$29,'BA History'!N:N, 1)</f>
        <v>1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2</v>
      </c>
      <c r="AB29" s="2">
        <f>COUNTIFS('BA History'!$B:$B,$A$29,'BA History'!X:X, 1)</f>
        <v>0</v>
      </c>
      <c r="AC29" s="2">
        <f>COUNTIFS('BA History'!$B:$B,$A$29,'BA History'!Y:Y, 1)</f>
        <v>1</v>
      </c>
      <c r="AD29" s="2">
        <f>COUNTIFS('BA History'!$B:$B,$A$29,'BA History'!Z:Z, 1)</f>
        <v>1</v>
      </c>
      <c r="AE29" s="2">
        <f>COUNTIFS('BA History'!$B:$B,$A$29,'BA History'!AA:AA, 1)</f>
        <v>0</v>
      </c>
      <c r="AF29" s="2">
        <f>COUNTIFS('BA History'!$B:$B,$A$29,'BA History'!AB:AB, 1)</f>
        <v>1</v>
      </c>
      <c r="AG29" s="2">
        <f>COUNTIFS('BA History'!$B:$B,$A$29,'BA History'!AC:AC, 1)</f>
        <v>0</v>
      </c>
      <c r="AH29" s="2">
        <f>COUNTIFS('BA History'!$B:$B,$A$29,'BA History'!AD:AD, 1)</f>
        <v>1</v>
      </c>
      <c r="AI29" s="2">
        <f>COUNTIFS('BA History'!$B:$B,$A$29,'BA History'!AE:AE, 1)</f>
        <v>0</v>
      </c>
      <c r="AJ29" s="2">
        <f>COUNTIFS('BA History'!$B:$B,$A$29,'BA History'!AF:AF, 1)</f>
        <v>1</v>
      </c>
    </row>
    <row r="30" spans="1:36" x14ac:dyDescent="0.25">
      <c r="A30" s="2" t="s">
        <v>3</v>
      </c>
      <c r="B30" s="1" t="s">
        <v>162</v>
      </c>
      <c r="C30" s="34">
        <f>SUMIFS('BA History'!C:C,'BA History'!B:B,A30)</f>
        <v>157</v>
      </c>
      <c r="D30" s="66">
        <f>AVERAGEIFS('BA History'!C:C,'BA History'!B:B,A30)</f>
        <v>19.625</v>
      </c>
      <c r="E30" s="35">
        <f t="array" ref="E30">MAX(IF('BA History'!B:B=A30, 'BA History'!C:C))</f>
        <v>27</v>
      </c>
      <c r="F30" s="34">
        <f>COUNTIFS('BA History'!B:B,A30,'BA History'!D:D, 1)</f>
        <v>3</v>
      </c>
      <c r="G30" s="2">
        <f>COUNTIFS('BA History'!B:B,A30,'BA History'!D:D, 0)</f>
        <v>5</v>
      </c>
      <c r="H30" s="75">
        <f>LOOKUP(2, 1/('BA History'!$B:$B=A30), 'BA History'!$AJ:$AJ)</f>
        <v>0.375</v>
      </c>
      <c r="I30" s="34">
        <f>SUMIFS('BA History'!F:F,'BA History'!B:B,A30)</f>
        <v>16</v>
      </c>
      <c r="J30" s="2">
        <f>SUMIFS('BA History'!E:E,'BA History'!B:B,A30)-I30</f>
        <v>20</v>
      </c>
      <c r="K30" s="75">
        <f>LOOKUP(2, 1/('BA History'!$B:$B=A30), 'BA History'!$AH:$AH)</f>
        <v>0.42499999999999999</v>
      </c>
      <c r="L30" s="34">
        <f>SUMIFS('BA History'!H:H,'BA History'!B:B,A30)</f>
        <v>74</v>
      </c>
      <c r="M30" s="2">
        <f>SUMIFS('BA History'!G:G,'BA History'!B:B,A30)-L30</f>
        <v>83</v>
      </c>
      <c r="N30" s="89">
        <f>LOOKUP(2, 1/('BA History'!$B:$B=A30), 'BA History'!$AI:$AI)</f>
        <v>0.46875</v>
      </c>
      <c r="O30" s="2">
        <f>COUNTIFS('BA History'!$B:$B,$A$30,'BA History'!K:K, 1)</f>
        <v>0</v>
      </c>
      <c r="P30" s="2">
        <f>COUNTIFS('BA History'!$B:$B,$A$30,'BA History'!L:L, 1)</f>
        <v>2</v>
      </c>
      <c r="Q30" s="2">
        <f>COUNTIFS('BA History'!$B:$B,$A$30,'BA History'!M:M, 1)</f>
        <v>2</v>
      </c>
      <c r="R30" s="2">
        <f>COUNTIFS('BA History'!$B:$B,$A$30,'BA History'!N:N, 1)</f>
        <v>1</v>
      </c>
      <c r="S30" s="2">
        <f>COUNTIFS('BA History'!$B:$B,$A$30,'BA History'!O:O, 1)</f>
        <v>0</v>
      </c>
      <c r="T30" s="2">
        <f>COUNTIFS('BA History'!$B:$B,$A$30,'BA History'!P:P, 1)</f>
        <v>1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1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2</v>
      </c>
      <c r="AD30" s="2">
        <f>COUNTIFS('BA History'!$B:$B,$A$30,'BA History'!Z:Z, 1)</f>
        <v>1</v>
      </c>
      <c r="AE30" s="2">
        <f>COUNTIFS('BA History'!$B:$B,$A$30,'BA History'!AA:AA, 1)</f>
        <v>0</v>
      </c>
      <c r="AF30" s="2">
        <f>COUNTIFS('BA History'!$B:$B,$A$30,'BA History'!AB:AB, 1)</f>
        <v>1</v>
      </c>
      <c r="AG30" s="2">
        <f>COUNTIFS('BA History'!$B:$B,$A$30,'BA History'!AC:AC, 1)</f>
        <v>3</v>
      </c>
      <c r="AH30" s="2">
        <f>COUNTIFS('BA History'!$B:$B,$A$30,'BA History'!AD:AD, 1)</f>
        <v>2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165</v>
      </c>
      <c r="B31" s="1" t="s">
        <v>79</v>
      </c>
      <c r="C31" s="34">
        <f>SUMIFS('BA History'!C:C,'BA History'!B:B,A31)</f>
        <v>4</v>
      </c>
      <c r="D31" s="66">
        <f>AVERAGEIFS('BA History'!C:C,'BA History'!B:B,A31)</f>
        <v>4</v>
      </c>
      <c r="E31" s="35">
        <f t="array" ref="E31">MAX(IF('BA History'!B:B=A31, 'BA History'!C:C))</f>
        <v>4</v>
      </c>
      <c r="F31" s="34">
        <f>COUNTIFS('BA History'!B:B,A31,'BA History'!D:D, 1)</f>
        <v>1</v>
      </c>
      <c r="G31" s="2">
        <f>COUNTIFS('BA History'!B:B,A31,'BA History'!D:D, 0)</f>
        <v>0</v>
      </c>
      <c r="H31" s="75">
        <f>LOOKUP(2, 1/('BA History'!$B:$B=A31), 'BA History'!$AJ:$AJ)</f>
        <v>1</v>
      </c>
      <c r="I31" s="34">
        <f>SUMIFS('BA History'!F:F,'BA History'!B:B,A31)</f>
        <v>3</v>
      </c>
      <c r="J31" s="2">
        <f>SUMIFS('BA History'!E:E,'BA History'!B:B,A31)-I31</f>
        <v>1</v>
      </c>
      <c r="K31" s="75">
        <f>LOOKUP(2, 1/('BA History'!$B:$B=A31), 'BA History'!$AH:$AH)</f>
        <v>0.75</v>
      </c>
      <c r="L31" s="34">
        <f>SUMIFS('BA History'!H:H,'BA History'!B:B,A31)</f>
        <v>11</v>
      </c>
      <c r="M31" s="2">
        <f>SUMIFS('BA History'!G:G,'BA History'!B:B,A31)-L31</f>
        <v>7</v>
      </c>
      <c r="N31" s="89">
        <f>LOOKUP(2, 1/('BA History'!$B:$B=A31), 'BA History'!$AI:$AI)</f>
        <v>0.61</v>
      </c>
      <c r="O31" s="2">
        <f>COUNTIFS('BA History'!$B:$B,$A$31,'BA History'!K:K, 1)</f>
        <v>1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0</v>
      </c>
      <c r="AG31" s="2">
        <f>COUNTIFS('BA History'!$B:$B,$A$31,'BA History'!AC:AC, 1)</f>
        <v>1</v>
      </c>
      <c r="AH31" s="2">
        <f>COUNTIFS('BA History'!$B:$B,$A$31,'BA History'!AD:AD, 1)</f>
        <v>1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15</v>
      </c>
      <c r="B32" s="2" t="s">
        <v>79</v>
      </c>
      <c r="C32" s="34">
        <f>SUMIFS('BA History'!C:C,'BA History'!B:B,A32)</f>
        <v>4</v>
      </c>
      <c r="D32" s="66">
        <f>AVERAGEIFS('BA History'!C:C,'BA History'!B:B,A32)</f>
        <v>4</v>
      </c>
      <c r="E32" s="35">
        <f t="array" ref="E32">MAX(IF('BA History'!B:B=A32, 'BA History'!C:C))</f>
        <v>4</v>
      </c>
      <c r="F32" s="34">
        <f>COUNTIFS('BA History'!B:B,A32,'BA History'!D:D, 1)</f>
        <v>0</v>
      </c>
      <c r="G32" s="2">
        <f>COUNTIFS('BA History'!B:B,A32,'BA History'!D:D, 0)</f>
        <v>1</v>
      </c>
      <c r="H32" s="75">
        <f>LOOKUP(2, 1/('BA History'!$B:$B=A32), 'BA History'!$AJ:$AJ)</f>
        <v>0</v>
      </c>
      <c r="I32" s="34">
        <f>SUMIFS('BA History'!F:F,'BA History'!B:B,A32)</f>
        <v>0</v>
      </c>
      <c r="J32" s="2">
        <f>SUMIFS('BA History'!E:E,'BA History'!B:B,A32)-I32</f>
        <v>3</v>
      </c>
      <c r="K32" s="75">
        <f>LOOKUP(2, 1/('BA History'!$B:$B=A32), 'BA History'!$AH:$AH)</f>
        <v>0</v>
      </c>
      <c r="L32" s="34">
        <f>SUMIFS('BA History'!H:H,'BA History'!B:B,A32)</f>
        <v>1</v>
      </c>
      <c r="M32" s="2">
        <f>SUMIFS('BA History'!G:G,'BA History'!B:B,A32)-L32</f>
        <v>9</v>
      </c>
      <c r="N32" s="89">
        <f>LOOKUP(2, 1/('BA History'!$B:$B=A32), 'BA History'!$AI:$AI)</f>
        <v>0.1</v>
      </c>
      <c r="O32" s="2">
        <f>COUNTIFS('BA History'!$B:$B,$A$32,'BA History'!K:K, 1)</f>
        <v>0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0</v>
      </c>
      <c r="AG32" s="2">
        <f>COUNTIFS('BA History'!$B:$B,$A$32,'BA History'!AC:AC, 1)</f>
        <v>0</v>
      </c>
      <c r="AH32" s="2">
        <f>COUNTIFS('BA History'!$B:$B,$A$32,'BA History'!AD:AD, 1)</f>
        <v>0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143</v>
      </c>
      <c r="B33" s="2" t="s">
        <v>79</v>
      </c>
      <c r="C33" s="34">
        <f>SUMIFS('BA History'!C:C,'BA History'!B:B,A33)</f>
        <v>25</v>
      </c>
      <c r="D33" s="66">
        <f>AVERAGEIFS('BA History'!C:C,'BA History'!B:B,A33)</f>
        <v>8.3333333333333339</v>
      </c>
      <c r="E33" s="35">
        <f t="array" ref="E33">MAX(IF('BA History'!B:B=A33, 'BA History'!C:C))</f>
        <v>9</v>
      </c>
      <c r="F33" s="34">
        <f>COUNTIFS('BA History'!B:B,A33,'BA History'!D:D, 1)</f>
        <v>0</v>
      </c>
      <c r="G33" s="2">
        <f>COUNTIFS('BA History'!B:B,A33,'BA History'!D:D, 0)</f>
        <v>3</v>
      </c>
      <c r="H33" s="75">
        <f>LOOKUP(2, 1/('BA History'!$B:$B=A33), 'BA History'!$AJ:$AJ)</f>
        <v>0</v>
      </c>
      <c r="I33" s="34">
        <f>SUMIFS('BA History'!F:F,'BA History'!B:B,A33)</f>
        <v>2</v>
      </c>
      <c r="J33" s="2">
        <f>SUMIFS('BA History'!E:E,'BA History'!B:B,A33)-I33</f>
        <v>9</v>
      </c>
      <c r="K33" s="75">
        <f>LOOKUP(2, 1/('BA History'!$B:$B=A33), 'BA History'!$AH:$AH)</f>
        <v>0.16666666666666666</v>
      </c>
      <c r="L33" s="34">
        <f>SUMIFS('BA History'!H:H,'BA History'!B:B,A33)</f>
        <v>14</v>
      </c>
      <c r="M33" s="2">
        <f>SUMIFS('BA History'!G:G,'BA History'!B:B,A33)-L33</f>
        <v>29</v>
      </c>
      <c r="N33" s="89">
        <f>LOOKUP(2, 1/('BA History'!$B:$B=A33), 'BA History'!$AI:$AI)</f>
        <v>0.32666666666666666</v>
      </c>
      <c r="O33" s="2">
        <f>COUNTIFS('BA History'!$B:$B,$A$33,'BA History'!K:K, 1)</f>
        <v>0</v>
      </c>
      <c r="P33" s="2">
        <f>COUNTIFS('BA History'!$B:$B,$A$33,'BA History'!L:L, 1)</f>
        <v>0</v>
      </c>
      <c r="Q33" s="2">
        <f>COUNTIFS('BA History'!$B:$B,$A$33,'BA History'!M:M, 1)</f>
        <v>0</v>
      </c>
      <c r="R33" s="2">
        <f>COUNTIFS('BA History'!$B:$B,$A$33,'BA History'!N:N, 1)</f>
        <v>0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0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0</v>
      </c>
      <c r="AD33" s="2">
        <f>COUNTIFS('BA History'!$B:$B,$A$33,'BA History'!Z:Z, 1)</f>
        <v>0</v>
      </c>
      <c r="AE33" s="2">
        <f>COUNTIFS('BA History'!$B:$B,$A$33,'BA History'!AA:AA, 1)</f>
        <v>0</v>
      </c>
      <c r="AF33" s="2">
        <f>COUNTIFS('BA History'!$B:$B,$A$33,'BA History'!AB:AB, 1)</f>
        <v>0</v>
      </c>
      <c r="AG33" s="2">
        <f>COUNTIFS('BA History'!$B:$B,$A$33,'BA History'!AC:AC, 1)</f>
        <v>0</v>
      </c>
      <c r="AH33" s="2">
        <f>COUNTIFS('BA History'!$B:$B,$A$33,'BA History'!AD:AD, 1)</f>
        <v>2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x14ac:dyDescent="0.25">
      <c r="A34" s="2" t="s">
        <v>90</v>
      </c>
      <c r="B34" s="2" t="s">
        <v>79</v>
      </c>
      <c r="C34" s="34">
        <f>SUMIFS('BA History'!C:C,'BA History'!B:B,A34)</f>
        <v>3</v>
      </c>
      <c r="D34" s="66">
        <f>AVERAGEIFS('BA History'!C:C,'BA History'!B:B,A34)</f>
        <v>3</v>
      </c>
      <c r="E34" s="35">
        <f t="array" ref="E34">MAX(IF('BA History'!B:B=A34, 'BA History'!C:C))</f>
        <v>3</v>
      </c>
      <c r="F34" s="34">
        <f>COUNTIFS('BA History'!B:B,A34,'BA History'!D:D, 1)</f>
        <v>1</v>
      </c>
      <c r="G34" s="2">
        <f>COUNTIFS('BA History'!B:B,A34,'BA History'!D:D, 0)</f>
        <v>0</v>
      </c>
      <c r="H34" s="75">
        <f>LOOKUP(2, 1/('BA History'!$B:$B=A34), 'BA History'!$AJ:$AJ)</f>
        <v>1</v>
      </c>
      <c r="I34" s="34">
        <f>SUMIFS('BA History'!F:F,'BA History'!B:B,A34)</f>
        <v>3</v>
      </c>
      <c r="J34" s="2">
        <f>SUMIFS('BA History'!E:E,'BA History'!B:B,A34)-I34</f>
        <v>0</v>
      </c>
      <c r="K34" s="75">
        <f>LOOKUP(2, 1/('BA History'!$B:$B=A34), 'BA History'!$AH:$AH)</f>
        <v>1</v>
      </c>
      <c r="L34" s="34">
        <f>SUMIFS('BA History'!H:H,'BA History'!B:B,A34)</f>
        <v>9</v>
      </c>
      <c r="M34" s="2">
        <f>SUMIFS('BA History'!G:G,'BA History'!B:B,A34)-L34</f>
        <v>5</v>
      </c>
      <c r="N34" s="89">
        <f>LOOKUP(2, 1/('BA History'!$B:$B=A34), 'BA History'!$AI:$AI)</f>
        <v>0.64</v>
      </c>
      <c r="O34" s="2">
        <f>COUNTIFS('BA History'!$B:$B,$A$34,'BA History'!K:K, 1)</f>
        <v>0</v>
      </c>
      <c r="P34" s="2">
        <f>COUNTIFS('BA History'!$B:$B,$A$34,'BA History'!L:L, 1)</f>
        <v>0</v>
      </c>
      <c r="Q34" s="2">
        <f>COUNTIFS('BA History'!$B:$B,$A$34,'BA History'!M:M, 1)</f>
        <v>0</v>
      </c>
      <c r="R34" s="2">
        <f>COUNTIFS('BA History'!$B:$B,$A$34,'BA History'!N:N, 1)</f>
        <v>0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0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0</v>
      </c>
      <c r="Z34" s="2">
        <f>COUNTIFS('BA History'!$B:$B,$A$34,'BA History'!V:V, 1)</f>
        <v>1</v>
      </c>
      <c r="AA34" s="2">
        <f>COUNTIFS('BA History'!$B:$B,$A$34,'BA History'!W:W, 1)</f>
        <v>0</v>
      </c>
      <c r="AB34" s="2">
        <f>COUNTIFS('BA History'!$B:$B,$A$34,'BA History'!X:X, 1)</f>
        <v>0</v>
      </c>
      <c r="AC34" s="2">
        <f>COUNTIFS('BA History'!$B:$B,$A$34,'BA History'!Y:Y, 1)</f>
        <v>0</v>
      </c>
      <c r="AD34" s="2">
        <f>COUNTIFS('BA History'!$B:$B,$A$34,'BA History'!Z:Z, 1)</f>
        <v>0</v>
      </c>
      <c r="AE34" s="2">
        <f>COUNTIFS('BA History'!$B:$B,$A$34,'BA History'!AA:AA, 1)</f>
        <v>0</v>
      </c>
      <c r="AF34" s="2">
        <f>COUNTIFS('BA History'!$B:$B,$A$34,'BA History'!AB:AB, 1)</f>
        <v>1</v>
      </c>
      <c r="AG34" s="2">
        <f>COUNTIFS('BA History'!$B:$B,$A$34,'BA History'!AC:AC, 1)</f>
        <v>1</v>
      </c>
      <c r="AH34" s="2">
        <f>COUNTIFS('BA History'!$B:$B,$A$34,'BA History'!AD:AD, 1)</f>
        <v>0</v>
      </c>
      <c r="AI34" s="2">
        <f>COUNTIFS('BA History'!$B:$B,$A$34,'BA History'!AE:AE, 1)</f>
        <v>0</v>
      </c>
      <c r="AJ34" s="2">
        <f>COUNTIFS('BA History'!$B:$B,$A$34,'BA History'!AF:AF, 1)</f>
        <v>0</v>
      </c>
    </row>
    <row r="35" spans="1:36" x14ac:dyDescent="0.25">
      <c r="A35" s="2" t="s">
        <v>13</v>
      </c>
      <c r="B35" s="2" t="s">
        <v>79</v>
      </c>
      <c r="C35" s="34">
        <f>SUMIFS('BA History'!C:C,'BA History'!B:B,A35)</f>
        <v>202</v>
      </c>
      <c r="D35" s="66">
        <f>AVERAGEIFS('BA History'!C:C,'BA History'!B:B,A35)</f>
        <v>13.466666666666667</v>
      </c>
      <c r="E35" s="35">
        <f t="array" ref="E35">MAX(IF('BA History'!B:B=A35, 'BA History'!C:C))</f>
        <v>21</v>
      </c>
      <c r="F35" s="34">
        <f>COUNTIFS('BA History'!B:B,A35,'BA History'!D:D, 1)</f>
        <v>6</v>
      </c>
      <c r="G35" s="2">
        <f>COUNTIFS('BA History'!B:B,A35,'BA History'!D:D, 0)</f>
        <v>9</v>
      </c>
      <c r="H35" s="75">
        <f>LOOKUP(2, 1/('BA History'!$B:$B=A35), 'BA History'!$AJ:$AJ)</f>
        <v>0.4</v>
      </c>
      <c r="I35" s="34">
        <f>SUMIFS('BA History'!F:F,'BA History'!B:B,A35)</f>
        <v>28</v>
      </c>
      <c r="J35" s="2">
        <f>SUMIFS('BA History'!E:E,'BA History'!B:B,A35)-I35</f>
        <v>30</v>
      </c>
      <c r="K35" s="75">
        <f>LOOKUP(2, 1/('BA History'!$B:$B=A35), 'BA History'!$AH:$AH)</f>
        <v>0.4966666666666667</v>
      </c>
      <c r="L35" s="34">
        <f>SUMIFS('BA History'!H:H,'BA History'!B:B,A35)</f>
        <v>118</v>
      </c>
      <c r="M35" s="2">
        <f>SUMIFS('BA History'!G:G,'BA History'!B:B,A35)-L35</f>
        <v>127</v>
      </c>
      <c r="N35" s="89">
        <f>LOOKUP(2, 1/('BA History'!$B:$B=A35), 'BA History'!$AI:$AI)</f>
        <v>0.5026666666666666</v>
      </c>
      <c r="O35" s="2">
        <f>COUNTIFS('BA History'!$B:$B,$A$35,'BA History'!K:K, 1)</f>
        <v>5</v>
      </c>
      <c r="P35" s="2">
        <f>COUNTIFS('BA History'!$B:$B,$A$35,'BA History'!L:L, 1)</f>
        <v>1</v>
      </c>
      <c r="Q35" s="2">
        <f>COUNTIFS('BA History'!$B:$B,$A$35,'BA History'!M:M, 1)</f>
        <v>2</v>
      </c>
      <c r="R35" s="2">
        <f>COUNTIFS('BA History'!$B:$B,$A$35,'BA History'!N:N, 1)</f>
        <v>1</v>
      </c>
      <c r="S35" s="2">
        <f>COUNTIFS('BA History'!$B:$B,$A$35,'BA History'!O:O, 1)</f>
        <v>0</v>
      </c>
      <c r="T35" s="2">
        <f>COUNTIFS('BA History'!$B:$B,$A$35,'BA History'!P:P, 1)</f>
        <v>0</v>
      </c>
      <c r="U35" s="2">
        <f>COUNTIFS('BA History'!$B:$B,$A$35,'BA History'!Q:Q, 1)</f>
        <v>1</v>
      </c>
      <c r="V35" s="2">
        <f>COUNTIFS('BA History'!$B:$B,$A$35,'BA History'!R:R, 1)</f>
        <v>0</v>
      </c>
      <c r="W35" s="2">
        <f>COUNTIFS('BA History'!$B:$B,$A$35,'BA History'!S:S, 1)</f>
        <v>0</v>
      </c>
      <c r="X35" s="2">
        <f>COUNTIFS('BA History'!$B:$B,$A$35,'BA History'!T:T, 1)</f>
        <v>0</v>
      </c>
      <c r="Y35" s="2">
        <f>COUNTIFS('BA History'!$B:$B,$A$35,'BA History'!U:U, 1)</f>
        <v>0</v>
      </c>
      <c r="Z35" s="2">
        <f>COUNTIFS('BA History'!$B:$B,$A$35,'BA History'!V:V, 1)</f>
        <v>0</v>
      </c>
      <c r="AA35" s="2">
        <f>COUNTIFS('BA History'!$B:$B,$A$35,'BA History'!W:W, 1)</f>
        <v>1</v>
      </c>
      <c r="AB35" s="2">
        <f>COUNTIFS('BA History'!$B:$B,$A$35,'BA History'!X:X, 1)</f>
        <v>0</v>
      </c>
      <c r="AC35" s="2">
        <f>COUNTIFS('BA History'!$B:$B,$A$35,'BA History'!Y:Y, 1)</f>
        <v>3</v>
      </c>
      <c r="AD35" s="2">
        <f>COUNTIFS('BA History'!$B:$B,$A$35,'BA History'!Z:Z, 1)</f>
        <v>3</v>
      </c>
      <c r="AE35" s="2">
        <f>COUNTIFS('BA History'!$B:$B,$A$35,'BA History'!AA:AA, 1)</f>
        <v>0</v>
      </c>
      <c r="AF35" s="2">
        <f>COUNTIFS('BA History'!$B:$B,$A$35,'BA History'!AB:AB, 1)</f>
        <v>2</v>
      </c>
      <c r="AG35" s="2">
        <f>COUNTIFS('BA History'!$B:$B,$A$35,'BA History'!AC:AC, 1)</f>
        <v>3</v>
      </c>
      <c r="AH35" s="2">
        <f>COUNTIFS('BA History'!$B:$B,$A$35,'BA History'!AD:AD, 1)</f>
        <v>3</v>
      </c>
      <c r="AI35" s="2">
        <f>COUNTIFS('BA History'!$B:$B,$A$35,'BA History'!AE:AE, 1)</f>
        <v>0</v>
      </c>
      <c r="AJ35" s="2">
        <f>COUNTIFS('BA History'!$B:$B,$A$35,'BA History'!AF:AF, 1)</f>
        <v>3</v>
      </c>
    </row>
    <row r="36" spans="1:36" x14ac:dyDescent="0.25">
      <c r="A36" s="2" t="s">
        <v>2</v>
      </c>
      <c r="B36" s="1" t="s">
        <v>162</v>
      </c>
      <c r="C36" s="34">
        <f>SUMIFS('BA History'!C:C,'BA History'!B:B,A36)</f>
        <v>812</v>
      </c>
      <c r="D36" s="66">
        <f>AVERAGEIFS('BA History'!C:C,'BA History'!B:B,A36)</f>
        <v>23.882352941176471</v>
      </c>
      <c r="E36" s="35">
        <f t="array" ref="E36">MAX(IF('BA History'!B:B=A36, 'BA History'!C:C))</f>
        <v>43</v>
      </c>
      <c r="F36" s="34">
        <f>COUNTIFS('BA History'!B:B,A36,'BA History'!D:D, 1)</f>
        <v>19</v>
      </c>
      <c r="G36" s="2">
        <f>COUNTIFS('BA History'!B:B,A36,'BA History'!D:D, 0)</f>
        <v>15</v>
      </c>
      <c r="H36" s="75">
        <f>LOOKUP(2, 1/('BA History'!$B:$B=A36), 'BA History'!$AJ:$AJ)</f>
        <v>0.55882352941176472</v>
      </c>
      <c r="I36" s="34">
        <f>SUMIFS('BA History'!F:F,'BA History'!B:B,A36)</f>
        <v>73</v>
      </c>
      <c r="J36" s="2">
        <f>SUMIFS('BA History'!E:E,'BA History'!B:B,A36)-I36</f>
        <v>59</v>
      </c>
      <c r="K36" s="75">
        <f>LOOKUP(2, 1/('BA History'!$B:$B=A36), 'BA History'!$AH:$AH)</f>
        <v>0.5655882352941175</v>
      </c>
      <c r="L36" s="34">
        <f>SUMIFS('BA History'!H:H,'BA History'!B:B,A36)</f>
        <v>297</v>
      </c>
      <c r="M36" s="2">
        <f>SUMIFS('BA History'!G:G,'BA History'!B:B,A36)-L36</f>
        <v>251</v>
      </c>
      <c r="N36" s="89">
        <f>LOOKUP(2, 1/('BA History'!$B:$B=A36), 'BA History'!$AI:$AI)</f>
        <v>0.55970588235294116</v>
      </c>
      <c r="O36" s="2">
        <f>COUNTIFS('BA History'!$B:$B,$A$36,'BA History'!K:K, 1)</f>
        <v>5</v>
      </c>
      <c r="P36" s="2">
        <f>COUNTIFS('BA History'!$B:$B,$A$36,'BA History'!L:L, 1)</f>
        <v>2</v>
      </c>
      <c r="Q36" s="2">
        <f>COUNTIFS('BA History'!$B:$B,$A$36,'BA History'!M:M, 1)</f>
        <v>5</v>
      </c>
      <c r="R36" s="2">
        <f>COUNTIFS('BA History'!$B:$B,$A$36,'BA History'!N:N, 1)</f>
        <v>8</v>
      </c>
      <c r="S36" s="2">
        <f>COUNTIFS('BA History'!$B:$B,$A$36,'BA History'!O:O, 1)</f>
        <v>1</v>
      </c>
      <c r="T36" s="2">
        <f>COUNTIFS('BA History'!$B:$B,$A$36,'BA History'!P:P, 1)</f>
        <v>1</v>
      </c>
      <c r="U36" s="2">
        <f>COUNTIFS('BA History'!$B:$B,$A$36,'BA History'!Q:Q, 1)</f>
        <v>2</v>
      </c>
      <c r="V36" s="2">
        <f>COUNTIFS('BA History'!$B:$B,$A$36,'BA History'!R:R, 1)</f>
        <v>1</v>
      </c>
      <c r="W36" s="2">
        <f>COUNTIFS('BA History'!$B:$B,$A$36,'BA History'!S:S, 1)</f>
        <v>1</v>
      </c>
      <c r="X36" s="2">
        <f>COUNTIFS('BA History'!$B:$B,$A$36,'BA History'!T:T, 1)</f>
        <v>0</v>
      </c>
      <c r="Y36" s="2">
        <f>COUNTIFS('BA History'!$B:$B,$A$36,'BA History'!U:U, 1)</f>
        <v>2</v>
      </c>
      <c r="Z36" s="2">
        <f>COUNTIFS('BA History'!$B:$B,$A$36,'BA History'!V:V, 1)</f>
        <v>3</v>
      </c>
      <c r="AA36" s="2">
        <f>COUNTIFS('BA History'!$B:$B,$A$36,'BA History'!W:W, 1)</f>
        <v>1</v>
      </c>
      <c r="AB36" s="2">
        <f>COUNTIFS('BA History'!$B:$B,$A$36,'BA History'!X:X, 1)</f>
        <v>1</v>
      </c>
      <c r="AC36" s="2">
        <f>COUNTIFS('BA History'!$B:$B,$A$36,'BA History'!Y:Y, 1)</f>
        <v>6</v>
      </c>
      <c r="AD36" s="2">
        <f>COUNTIFS('BA History'!$B:$B,$A$36,'BA History'!Z:Z, 1)</f>
        <v>9</v>
      </c>
      <c r="AE36" s="2">
        <f>COUNTIFS('BA History'!$B:$B,$A$36,'BA History'!AA:AA, 1)</f>
        <v>0</v>
      </c>
      <c r="AF36" s="2">
        <f>COUNTIFS('BA History'!$B:$B,$A$36,'BA History'!AB:AB, 1)</f>
        <v>12</v>
      </c>
      <c r="AG36" s="2">
        <f>COUNTIFS('BA History'!$B:$B,$A$36,'BA History'!AC:AC, 1)</f>
        <v>4</v>
      </c>
      <c r="AH36" s="2">
        <f>COUNTIFS('BA History'!$B:$B,$A$36,'BA History'!AD:AD, 1)</f>
        <v>5</v>
      </c>
      <c r="AI36" s="2">
        <f>COUNTIFS('BA History'!$B:$B,$A$36,'BA History'!AE:AE, 1)</f>
        <v>0</v>
      </c>
      <c r="AJ36" s="2">
        <f>COUNTIFS('BA History'!$B:$B,$A$36,'BA History'!AF:AF, 1)</f>
        <v>4</v>
      </c>
    </row>
    <row r="37" spans="1:36" x14ac:dyDescent="0.25">
      <c r="A37" s="2" t="s">
        <v>54</v>
      </c>
      <c r="B37" s="2" t="s">
        <v>79</v>
      </c>
      <c r="C37" s="34">
        <f>SUMIFS('BA History'!C:C,'BA History'!B:B,A37)</f>
        <v>1165</v>
      </c>
      <c r="D37" s="66">
        <f>AVERAGEIFS('BA History'!C:C,'BA History'!B:B,A37)</f>
        <v>23.775510204081634</v>
      </c>
      <c r="E37" s="35">
        <f t="array" ref="E37">MAX(IF('BA History'!B:B=A37, 'BA History'!C:C))</f>
        <v>37</v>
      </c>
      <c r="F37" s="34">
        <f>COUNTIFS('BA History'!B:B,A37,'BA History'!D:D, 1)</f>
        <v>28</v>
      </c>
      <c r="G37" s="2">
        <f>COUNTIFS('BA History'!B:B,A37,'BA History'!D:D, 0)</f>
        <v>21</v>
      </c>
      <c r="H37" s="75">
        <f>LOOKUP(2, 1/('BA History'!$B:$B=A37), 'BA History'!$AJ:$AJ)</f>
        <v>0.5714285714285714</v>
      </c>
      <c r="I37" s="34">
        <f>SUMIFS('BA History'!F:F,'BA History'!B:B,A37)</f>
        <v>108</v>
      </c>
      <c r="J37" s="2">
        <f>SUMIFS('BA History'!E:E,'BA History'!B:B,A37)-I37</f>
        <v>90</v>
      </c>
      <c r="K37" s="75">
        <f>LOOKUP(2, 1/('BA History'!$B:$B=A37), 'BA History'!$AH:$AH)</f>
        <v>0.55142857142857149</v>
      </c>
      <c r="L37" s="34">
        <f>SUMIFS('BA History'!H:H,'BA History'!B:B,A37)</f>
        <v>425</v>
      </c>
      <c r="M37" s="2">
        <f>SUMIFS('BA History'!G:G,'BA History'!B:B,A37)-L37</f>
        <v>396</v>
      </c>
      <c r="N37" s="89">
        <f>LOOKUP(2, 1/('BA History'!$B:$B=A37), 'BA History'!$AI:$AI)</f>
        <v>0.52244897959183667</v>
      </c>
      <c r="O37" s="2">
        <f>COUNTIFS('BA History'!$B:$B,$A$37,'BA History'!K:K, 1)</f>
        <v>5</v>
      </c>
      <c r="P37" s="2">
        <f>COUNTIFS('BA History'!$B:$B,$A$37,'BA History'!L:L, 1)</f>
        <v>8</v>
      </c>
      <c r="Q37" s="2">
        <f>COUNTIFS('BA History'!$B:$B,$A$37,'BA History'!M:M, 1)</f>
        <v>7</v>
      </c>
      <c r="R37" s="2">
        <f>COUNTIFS('BA History'!$B:$B,$A$37,'BA History'!N:N, 1)</f>
        <v>9</v>
      </c>
      <c r="S37" s="2">
        <f>COUNTIFS('BA History'!$B:$B,$A$37,'BA History'!O:O, 1)</f>
        <v>1</v>
      </c>
      <c r="T37" s="2">
        <f>COUNTIFS('BA History'!$B:$B,$A$37,'BA History'!P:P, 1)</f>
        <v>1</v>
      </c>
      <c r="U37" s="2">
        <f>COUNTIFS('BA History'!$B:$B,$A$37,'BA History'!Q:Q, 1)</f>
        <v>4</v>
      </c>
      <c r="V37" s="2">
        <f>COUNTIFS('BA History'!$B:$B,$A$37,'BA History'!R:R, 1)</f>
        <v>2</v>
      </c>
      <c r="W37" s="2">
        <f>COUNTIFS('BA History'!$B:$B,$A$37,'BA History'!S:S, 1)</f>
        <v>0</v>
      </c>
      <c r="X37" s="2">
        <f>COUNTIFS('BA History'!$B:$B,$A$37,'BA History'!T:T, 1)</f>
        <v>1</v>
      </c>
      <c r="Y37" s="2">
        <f>COUNTIFS('BA History'!$B:$B,$A$37,'BA History'!U:U, 1)</f>
        <v>3</v>
      </c>
      <c r="Z37" s="2">
        <f>COUNTIFS('BA History'!$B:$B,$A$37,'BA History'!V:V, 1)</f>
        <v>7</v>
      </c>
      <c r="AA37" s="2">
        <f>COUNTIFS('BA History'!$B:$B,$A$37,'BA History'!W:W, 1)</f>
        <v>1</v>
      </c>
      <c r="AB37" s="2">
        <f>COUNTIFS('BA History'!$B:$B,$A$37,'BA History'!X:X, 1)</f>
        <v>0</v>
      </c>
      <c r="AC37" s="2">
        <f>COUNTIFS('BA History'!$B:$B,$A$37,'BA History'!Y:Y, 1)</f>
        <v>9</v>
      </c>
      <c r="AD37" s="2">
        <f>COUNTIFS('BA History'!$B:$B,$A$37,'BA History'!Z:Z, 1)</f>
        <v>10</v>
      </c>
      <c r="AE37" s="2">
        <f>COUNTIFS('BA History'!$B:$B,$A$37,'BA History'!AA:AA, 1)</f>
        <v>3</v>
      </c>
      <c r="AF37" s="2">
        <f>COUNTIFS('BA History'!$B:$B,$A$37,'BA History'!AB:AB, 1)</f>
        <v>13</v>
      </c>
      <c r="AG37" s="2">
        <f>COUNTIFS('BA History'!$B:$B,$A$37,'BA History'!AC:AC, 1)</f>
        <v>9</v>
      </c>
      <c r="AH37" s="2">
        <f>COUNTIFS('BA History'!$B:$B,$A$37,'BA History'!AD:AD, 1)</f>
        <v>8</v>
      </c>
      <c r="AI37" s="2">
        <f>COUNTIFS('BA History'!$B:$B,$A$37,'BA History'!AE:AE, 1)</f>
        <v>2</v>
      </c>
      <c r="AJ37" s="2">
        <f>COUNTIFS('BA History'!$B:$B,$A$37,'BA History'!AF:AF, 1)</f>
        <v>5</v>
      </c>
    </row>
    <row r="38" spans="1:36" x14ac:dyDescent="0.25">
      <c r="A38" s="2" t="s">
        <v>5</v>
      </c>
      <c r="B38" s="1" t="s">
        <v>162</v>
      </c>
      <c r="C38" s="34">
        <f>SUMIFS('BA History'!C:C,'BA History'!B:B,A38)</f>
        <v>388</v>
      </c>
      <c r="D38" s="66">
        <f>AVERAGEIFS('BA History'!C:C,'BA History'!B:B,A38)</f>
        <v>20.421052631578949</v>
      </c>
      <c r="E38" s="35">
        <f t="array" ref="E38">MAX(IF('BA History'!B:B=A38, 'BA History'!C:C))</f>
        <v>36</v>
      </c>
      <c r="F38" s="34">
        <f>COUNTIFS('BA History'!B:B,A38,'BA History'!D:D, 1)</f>
        <v>15</v>
      </c>
      <c r="G38" s="2">
        <f>COUNTIFS('BA History'!B:B,A38,'BA History'!D:D, 0)</f>
        <v>4</v>
      </c>
      <c r="H38" s="75">
        <f>LOOKUP(2, 1/('BA History'!$B:$B=A38), 'BA History'!$AJ:$AJ)</f>
        <v>0.78947368421052633</v>
      </c>
      <c r="I38" s="34">
        <f>SUMIFS('BA History'!F:F,'BA History'!B:B,A38)</f>
        <v>47</v>
      </c>
      <c r="J38" s="2">
        <f>SUMIFS('BA History'!E:E,'BA History'!B:B,A38)-I38</f>
        <v>26</v>
      </c>
      <c r="K38" s="75">
        <f>LOOKUP(2, 1/('BA History'!$B:$B=A38), 'BA History'!$AH:$AH)</f>
        <v>0.65631578947368419</v>
      </c>
      <c r="L38" s="34">
        <f>SUMIFS('BA History'!H:H,'BA History'!B:B,A38)</f>
        <v>177</v>
      </c>
      <c r="M38" s="2">
        <f>SUMIFS('BA History'!G:G,'BA History'!B:B,A38)-L38</f>
        <v>138</v>
      </c>
      <c r="N38" s="89">
        <f>LOOKUP(2, 1/('BA History'!$B:$B=A38), 'BA History'!$AI:$AI)</f>
        <v>0.57789473684210524</v>
      </c>
      <c r="O38" s="2">
        <f>COUNTIFS('BA History'!$B:$B,$A$38,'BA History'!K:K, 1)</f>
        <v>1</v>
      </c>
      <c r="P38" s="2">
        <f>COUNTIFS('BA History'!$B:$B,$A$38,'BA History'!L:L, 1)</f>
        <v>4</v>
      </c>
      <c r="Q38" s="2">
        <f>COUNTIFS('BA History'!$B:$B,$A$38,'BA History'!M:M, 1)</f>
        <v>2</v>
      </c>
      <c r="R38" s="2">
        <f>COUNTIFS('BA History'!$B:$B,$A$38,'BA History'!N:N, 1)</f>
        <v>7</v>
      </c>
      <c r="S38" s="2">
        <f>COUNTIFS('BA History'!$B:$B,$A$38,'BA History'!O:O, 1)</f>
        <v>1</v>
      </c>
      <c r="T38" s="2">
        <f>COUNTIFS('BA History'!$B:$B,$A$38,'BA History'!P:P, 1)</f>
        <v>0</v>
      </c>
      <c r="U38" s="2">
        <f>COUNTIFS('BA History'!$B:$B,$A$38,'BA History'!Q:Q, 1)</f>
        <v>2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0</v>
      </c>
      <c r="Y38" s="2">
        <f>COUNTIFS('BA History'!$B:$B,$A$38,'BA History'!U:U, 1)</f>
        <v>1</v>
      </c>
      <c r="Z38" s="2">
        <f>COUNTIFS('BA History'!$B:$B,$A$38,'BA History'!V:V, 1)</f>
        <v>3</v>
      </c>
      <c r="AA38" s="2">
        <f>COUNTIFS('BA History'!$B:$B,$A$38,'BA History'!W:W, 1)</f>
        <v>1</v>
      </c>
      <c r="AB38" s="2">
        <f>COUNTIFS('BA History'!$B:$B,$A$38,'BA History'!X:X, 1)</f>
        <v>1</v>
      </c>
      <c r="AC38" s="2">
        <f>COUNTIFS('BA History'!$B:$B,$A$38,'BA History'!Y:Y, 1)</f>
        <v>3</v>
      </c>
      <c r="AD38" s="2">
        <f>COUNTIFS('BA History'!$B:$B,$A$38,'BA History'!Z:Z, 1)</f>
        <v>3</v>
      </c>
      <c r="AE38" s="2">
        <f>COUNTIFS('BA History'!$B:$B,$A$38,'BA History'!AA:AA, 1)</f>
        <v>3</v>
      </c>
      <c r="AF38" s="2">
        <f>COUNTIFS('BA History'!$B:$B,$A$38,'BA History'!AB:AB, 1)</f>
        <v>5</v>
      </c>
      <c r="AG38" s="2">
        <f>COUNTIFS('BA History'!$B:$B,$A$38,'BA History'!AC:AC, 1)</f>
        <v>5</v>
      </c>
      <c r="AH38" s="2">
        <f>COUNTIFS('BA History'!$B:$B,$A$38,'BA History'!AD:AD, 1)</f>
        <v>4</v>
      </c>
      <c r="AI38" s="2">
        <f>COUNTIFS('BA History'!$B:$B,$A$38,'BA History'!AE:AE, 1)</f>
        <v>0</v>
      </c>
      <c r="AJ38" s="2">
        <f>COUNTIFS('BA History'!$B:$B,$A$38,'BA History'!AF:AF, 1)</f>
        <v>1</v>
      </c>
    </row>
    <row r="39" spans="1:36" x14ac:dyDescent="0.25">
      <c r="A39" s="2" t="s">
        <v>38</v>
      </c>
      <c r="B39" s="2" t="s">
        <v>79</v>
      </c>
      <c r="C39" s="34">
        <f>SUMIFS('BA History'!C:C,'BA History'!B:B,A39)</f>
        <v>23</v>
      </c>
      <c r="D39" s="66">
        <f>AVERAGEIFS('BA History'!C:C,'BA History'!B:B,A39)</f>
        <v>4.5999999999999996</v>
      </c>
      <c r="E39" s="35">
        <f t="array" ref="E39">MAX(IF('BA History'!B:B=A39, 'BA History'!C:C))</f>
        <v>11</v>
      </c>
      <c r="F39" s="34">
        <f>COUNTIFS('BA History'!B:B,A39,'BA History'!D:D, 1)</f>
        <v>2</v>
      </c>
      <c r="G39" s="2">
        <f>COUNTIFS('BA History'!B:B,A39,'BA History'!D:D, 0)</f>
        <v>3</v>
      </c>
      <c r="H39" s="75">
        <f>LOOKUP(2, 1/('BA History'!$B:$B=A39), 'BA History'!$AJ:$AJ)</f>
        <v>0.4</v>
      </c>
      <c r="I39" s="34">
        <f>SUMIFS('BA History'!F:F,'BA History'!B:B,A39)</f>
        <v>10</v>
      </c>
      <c r="J39" s="2">
        <f>SUMIFS('BA History'!E:E,'BA History'!B:B,A39)-I39</f>
        <v>12</v>
      </c>
      <c r="K39" s="75">
        <f>LOOKUP(2, 1/('BA History'!$B:$B=A39), 'BA History'!$AH:$AH)</f>
        <v>0.43</v>
      </c>
      <c r="L39" s="34">
        <f>SUMIFS('BA History'!H:H,'BA History'!B:B,A39)</f>
        <v>41</v>
      </c>
      <c r="M39" s="2">
        <f>SUMIFS('BA History'!G:G,'BA History'!B:B,A39)-L39</f>
        <v>49</v>
      </c>
      <c r="N39" s="89">
        <f>LOOKUP(2, 1/('BA History'!$B:$B=A39), 'BA History'!$AI:$AI)</f>
        <v>0.43600000000000005</v>
      </c>
      <c r="O39" s="2">
        <f>COUNTIFS('BA History'!$B:$B,$A$39,'BA History'!K:K, 1)</f>
        <v>1</v>
      </c>
      <c r="P39" s="2">
        <f>COUNTIFS('BA History'!$B:$B,$A$39,'BA History'!L:L, 1)</f>
        <v>1</v>
      </c>
      <c r="Q39" s="2">
        <f>COUNTIFS('BA History'!$B:$B,$A$39,'BA History'!M:M, 1)</f>
        <v>1</v>
      </c>
      <c r="R39" s="2">
        <f>COUNTIFS('BA History'!$B:$B,$A$39,'BA History'!N:N, 1)</f>
        <v>0</v>
      </c>
      <c r="S39" s="2">
        <f>COUNTIFS('BA History'!$B:$B,$A$39,'BA History'!O:O, 1)</f>
        <v>1</v>
      </c>
      <c r="T39" s="2">
        <f>COUNTIFS('BA History'!$B:$B,$A$39,'BA History'!P:P, 1)</f>
        <v>0</v>
      </c>
      <c r="U39" s="2">
        <f>COUNTIFS('BA History'!$B:$B,$A$39,'BA History'!Q:Q, 1)</f>
        <v>0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1</v>
      </c>
      <c r="Z39" s="2">
        <f>COUNTIFS('BA History'!$B:$B,$A$39,'BA History'!V:V, 1)</f>
        <v>2</v>
      </c>
      <c r="AA39" s="2">
        <f>COUNTIFS('BA History'!$B:$B,$A$39,'BA History'!W:W, 1)</f>
        <v>0</v>
      </c>
      <c r="AB39" s="2">
        <f>COUNTIFS('BA History'!$B:$B,$A$39,'BA History'!X:X, 1)</f>
        <v>0</v>
      </c>
      <c r="AC39" s="2">
        <f>COUNTIFS('BA History'!$B:$B,$A$39,'BA History'!Y:Y, 1)</f>
        <v>1</v>
      </c>
      <c r="AD39" s="2">
        <f>COUNTIFS('BA History'!$B:$B,$A$39,'BA History'!Z:Z, 1)</f>
        <v>0</v>
      </c>
      <c r="AE39" s="2">
        <f>COUNTIFS('BA History'!$B:$B,$A$39,'BA History'!AA:AA, 1)</f>
        <v>0</v>
      </c>
      <c r="AF39" s="2">
        <f>COUNTIFS('BA History'!$B:$B,$A$39,'BA History'!AB:AB, 1)</f>
        <v>1</v>
      </c>
      <c r="AG39" s="2">
        <f>COUNTIFS('BA History'!$B:$B,$A$39,'BA History'!AC:AC, 1)</f>
        <v>0</v>
      </c>
      <c r="AH39" s="2">
        <f>COUNTIFS('BA History'!$B:$B,$A$39,'BA History'!AD:AD, 1)</f>
        <v>1</v>
      </c>
      <c r="AI39" s="2">
        <f>COUNTIFS('BA History'!$B:$B,$A$39,'BA History'!AE:AE, 1)</f>
        <v>0</v>
      </c>
      <c r="AJ39" s="2">
        <f>COUNTIFS('BA History'!$B:$B,$A$39,'BA History'!AF:AF, 1)</f>
        <v>0</v>
      </c>
    </row>
    <row r="40" spans="1:36" x14ac:dyDescent="0.25">
      <c r="A40" s="2" t="s">
        <v>142</v>
      </c>
      <c r="B40" s="2" t="s">
        <v>79</v>
      </c>
      <c r="C40" s="34">
        <f>SUMIFS('BA History'!C:C,'BA History'!B:B,A40)</f>
        <v>97</v>
      </c>
      <c r="D40" s="66">
        <f>AVERAGEIFS('BA History'!C:C,'BA History'!B:B,A40)</f>
        <v>12.125</v>
      </c>
      <c r="E40" s="35">
        <f t="array" ref="E40">MAX(IF('BA History'!B:B=A40, 'BA History'!C:C))</f>
        <v>22</v>
      </c>
      <c r="F40" s="34">
        <f>COUNTIFS('BA History'!B:B,A40,'BA History'!D:D, 1)</f>
        <v>4</v>
      </c>
      <c r="G40" s="2">
        <f>COUNTIFS('BA History'!B:B,A40,'BA History'!D:D, 0)</f>
        <v>4</v>
      </c>
      <c r="H40" s="75">
        <f>LOOKUP(2, 1/('BA History'!$B:$B=A40), 'BA History'!$AJ:$AJ)</f>
        <v>0.5</v>
      </c>
      <c r="I40" s="34">
        <f>SUMIFS('BA History'!F:F,'BA History'!B:B,A40)</f>
        <v>13</v>
      </c>
      <c r="J40" s="2">
        <f>SUMIFS('BA History'!E:E,'BA History'!B:B,A40)-I40</f>
        <v>17</v>
      </c>
      <c r="K40" s="75">
        <f>LOOKUP(2, 1/('BA History'!$B:$B=A40), 'BA History'!$AH:$AH)</f>
        <v>0.4</v>
      </c>
      <c r="L40" s="34">
        <f>SUMIFS('BA History'!H:H,'BA History'!B:B,A40)</f>
        <v>61</v>
      </c>
      <c r="M40" s="2">
        <f>SUMIFS('BA History'!G:G,'BA History'!B:B,A40)-L40</f>
        <v>63</v>
      </c>
      <c r="N40" s="89">
        <f>LOOKUP(2, 1/('BA History'!$B:$B=A40), 'BA History'!$AI:$AI)</f>
        <v>0.49000000000000005</v>
      </c>
      <c r="O40" s="2">
        <f>COUNTIFS('BA History'!$B:$B,$A$40,'BA History'!K:K, 1)</f>
        <v>2</v>
      </c>
      <c r="P40" s="2">
        <f>COUNTIFS('BA History'!$B:$B,$A$40,'BA History'!L:L, 1)</f>
        <v>2</v>
      </c>
      <c r="Q40" s="2">
        <f>COUNTIFS('BA History'!$B:$B,$A$40,'BA History'!M:M, 1)</f>
        <v>1</v>
      </c>
      <c r="R40" s="2">
        <f>COUNTIFS('BA History'!$B:$B,$A$40,'BA History'!N:N, 1)</f>
        <v>2</v>
      </c>
      <c r="S40" s="2">
        <f>COUNTIFS('BA History'!$B:$B,$A$40,'BA History'!O:O, 1)</f>
        <v>0</v>
      </c>
      <c r="T40" s="2">
        <f>COUNTIFS('BA History'!$B:$B,$A$40,'BA History'!P:P, 1)</f>
        <v>0</v>
      </c>
      <c r="U40" s="2">
        <f>COUNTIFS('BA History'!$B:$B,$A$40,'BA History'!Q:Q, 1)</f>
        <v>1</v>
      </c>
      <c r="V40" s="2">
        <f>COUNTIFS('BA History'!$B:$B,$A$40,'BA History'!R:R, 1)</f>
        <v>0</v>
      </c>
      <c r="W40" s="2">
        <f>COUNTIFS('BA History'!$B:$B,$A$40,'BA History'!S:S, 1)</f>
        <v>0</v>
      </c>
      <c r="X40" s="2">
        <f>COUNTIFS('BA History'!$B:$B,$A$40,'BA History'!T:T, 1)</f>
        <v>0</v>
      </c>
      <c r="Y40" s="2">
        <f>COUNTIFS('BA History'!$B:$B,$A$40,'BA History'!U:U, 1)</f>
        <v>0</v>
      </c>
      <c r="Z40" s="2">
        <f>COUNTIFS('BA History'!$B:$B,$A$40,'BA History'!V:V, 1)</f>
        <v>1</v>
      </c>
      <c r="AA40" s="2">
        <f>COUNTIFS('BA History'!$B:$B,$A$40,'BA History'!W:W, 1)</f>
        <v>0</v>
      </c>
      <c r="AB40" s="2">
        <f>COUNTIFS('BA History'!$B:$B,$A$40,'BA History'!X:X, 1)</f>
        <v>0</v>
      </c>
      <c r="AC40" s="2">
        <f>COUNTIFS('BA History'!$B:$B,$A$40,'BA History'!Y:Y, 1)</f>
        <v>0</v>
      </c>
      <c r="AD40" s="2">
        <f>COUNTIFS('BA History'!$B:$B,$A$40,'BA History'!Z:Z, 1)</f>
        <v>0</v>
      </c>
      <c r="AE40" s="2">
        <f>COUNTIFS('BA History'!$B:$B,$A$40,'BA History'!AA:AA, 1)</f>
        <v>0</v>
      </c>
      <c r="AF40" s="2">
        <f>COUNTIFS('BA History'!$B:$B,$A$40,'BA History'!AB:AB, 1)</f>
        <v>2</v>
      </c>
      <c r="AG40" s="2">
        <f>COUNTIFS('BA History'!$B:$B,$A$40,'BA History'!AC:AC, 1)</f>
        <v>1</v>
      </c>
      <c r="AH40" s="2">
        <f>COUNTIFS('BA History'!$B:$B,$A$40,'BA History'!AD:AD, 1)</f>
        <v>1</v>
      </c>
      <c r="AI40" s="2">
        <f>COUNTIFS('BA History'!$B:$B,$A$40,'BA History'!AE:AE, 1)</f>
        <v>0</v>
      </c>
      <c r="AJ40" s="2">
        <f>COUNTIFS('BA History'!$B:$B,$A$40,'BA History'!AF:AF, 1)</f>
        <v>0</v>
      </c>
    </row>
    <row r="41" spans="1:36" x14ac:dyDescent="0.25">
      <c r="A41" s="2" t="s">
        <v>154</v>
      </c>
      <c r="B41" s="2" t="s">
        <v>79</v>
      </c>
      <c r="C41" s="34">
        <f>SUMIFS('BA History'!C:C,'BA History'!B:B,A41)</f>
        <v>57</v>
      </c>
      <c r="D41" s="66">
        <f>AVERAGEIFS('BA History'!C:C,'BA History'!B:B,A41)</f>
        <v>11.4</v>
      </c>
      <c r="E41" s="35">
        <f t="array" ref="E41">MAX(IF('BA History'!B:B=A41, 'BA History'!C:C))</f>
        <v>14</v>
      </c>
      <c r="F41" s="34">
        <f>COUNTIFS('BA History'!B:B,A41,'BA History'!D:D, 1)</f>
        <v>3</v>
      </c>
      <c r="G41" s="2">
        <f>COUNTIFS('BA History'!B:B,A41,'BA History'!D:D, 0)</f>
        <v>2</v>
      </c>
      <c r="H41" s="75">
        <f>LOOKUP(2, 1/('BA History'!$B:$B=A41), 'BA History'!$AJ:$AJ)</f>
        <v>0.6</v>
      </c>
      <c r="I41" s="34">
        <f>SUMIFS('BA History'!F:F,'BA History'!B:B,A41)</f>
        <v>10</v>
      </c>
      <c r="J41" s="2">
        <f>SUMIFS('BA History'!E:E,'BA History'!B:B,A41)-I41</f>
        <v>11</v>
      </c>
      <c r="K41" s="75">
        <f>LOOKUP(2, 1/('BA History'!$B:$B=A41), 'BA History'!$AH:$AH)</f>
        <v>0.44000000000000006</v>
      </c>
      <c r="L41" s="34">
        <f>SUMIFS('BA History'!H:H,'BA History'!B:B,A41)</f>
        <v>44</v>
      </c>
      <c r="M41" s="2">
        <f>SUMIFS('BA History'!G:G,'BA History'!B:B,A41)-L41</f>
        <v>46</v>
      </c>
      <c r="N41" s="89">
        <f>LOOKUP(2, 1/('BA History'!$B:$B=A41), 'BA History'!$AI:$AI)</f>
        <v>0.44799999999999995</v>
      </c>
      <c r="O41" s="2">
        <f>COUNTIFS('BA History'!$B:$B,$A$41,'BA History'!K:K, 1)</f>
        <v>0</v>
      </c>
      <c r="P41" s="2">
        <f>COUNTIFS('BA History'!$B:$B,$A$41,'BA History'!L:L, 1)</f>
        <v>1</v>
      </c>
      <c r="Q41" s="2">
        <f>COUNTIFS('BA History'!$B:$B,$A$41,'BA History'!M:M, 1)</f>
        <v>0</v>
      </c>
      <c r="R41" s="2">
        <f>COUNTIFS('BA History'!$B:$B,$A$41,'BA History'!N:N, 1)</f>
        <v>1</v>
      </c>
      <c r="S41" s="2">
        <f>COUNTIFS('BA History'!$B:$B,$A$41,'BA History'!O:O, 1)</f>
        <v>0</v>
      </c>
      <c r="T41" s="2">
        <f>COUNTIFS('BA History'!$B:$B,$A$41,'BA History'!P:P, 1)</f>
        <v>0</v>
      </c>
      <c r="U41" s="2">
        <f>COUNTIFS('BA History'!$B:$B,$A$41,'BA History'!Q:Q, 1)</f>
        <v>0</v>
      </c>
      <c r="V41" s="2">
        <f>COUNTIFS('BA History'!$B:$B,$A$41,'BA History'!R:R, 1)</f>
        <v>0</v>
      </c>
      <c r="W41" s="2">
        <f>COUNTIFS('BA History'!$B:$B,$A$41,'BA History'!S:S, 1)</f>
        <v>1</v>
      </c>
      <c r="X41" s="2">
        <f>COUNTIFS('BA History'!$B:$B,$A$41,'BA History'!T:T, 1)</f>
        <v>0</v>
      </c>
      <c r="Y41" s="2">
        <f>COUNTIFS('BA History'!$B:$B,$A$41,'BA History'!U:U, 1)</f>
        <v>0</v>
      </c>
      <c r="Z41" s="2">
        <f>COUNTIFS('BA History'!$B:$B,$A$41,'BA History'!V:V, 1)</f>
        <v>1</v>
      </c>
      <c r="AA41" s="2">
        <f>COUNTIFS('BA History'!$B:$B,$A$41,'BA History'!W:W, 1)</f>
        <v>1</v>
      </c>
      <c r="AB41" s="2">
        <f>COUNTIFS('BA History'!$B:$B,$A$41,'BA History'!X:X, 1)</f>
        <v>0</v>
      </c>
      <c r="AC41" s="2">
        <f>COUNTIFS('BA History'!$B:$B,$A$41,'BA History'!Y:Y, 1)</f>
        <v>0</v>
      </c>
      <c r="AD41" s="2">
        <f>COUNTIFS('BA History'!$B:$B,$A$41,'BA History'!Z:Z, 1)</f>
        <v>2</v>
      </c>
      <c r="AE41" s="2">
        <f>COUNTIFS('BA History'!$B:$B,$A$41,'BA History'!AA:AA, 1)</f>
        <v>0</v>
      </c>
      <c r="AF41" s="2">
        <f>COUNTIFS('BA History'!$B:$B,$A$41,'BA History'!AB:AB, 1)</f>
        <v>3</v>
      </c>
      <c r="AG41" s="2">
        <f>COUNTIFS('BA History'!$B:$B,$A$41,'BA History'!AC:AC, 1)</f>
        <v>0</v>
      </c>
      <c r="AH41" s="2">
        <f>COUNTIFS('BA History'!$B:$B,$A$41,'BA History'!AD:AD, 1)</f>
        <v>0</v>
      </c>
      <c r="AI41" s="2">
        <f>COUNTIFS('BA History'!$B:$B,$A$41,'BA History'!AE:AE, 1)</f>
        <v>0</v>
      </c>
      <c r="AJ41" s="2">
        <f>COUNTIFS('BA History'!$B:$B,$A$41,'BA History'!AF:AF, 1)</f>
        <v>0</v>
      </c>
    </row>
    <row r="42" spans="1:36" x14ac:dyDescent="0.25">
      <c r="A42" s="2" t="s">
        <v>40</v>
      </c>
      <c r="B42" s="2" t="s">
        <v>79</v>
      </c>
      <c r="C42" s="34">
        <f>SUMIFS('BA History'!C:C,'BA History'!B:B,A42)</f>
        <v>949</v>
      </c>
      <c r="D42" s="66">
        <f>AVERAGEIFS('BA History'!C:C,'BA History'!B:B,A42)</f>
        <v>18.25</v>
      </c>
      <c r="E42" s="35">
        <f t="array" ref="E42">MAX(IF('BA History'!B:B=A42, 'BA History'!C:C))</f>
        <v>37</v>
      </c>
      <c r="F42" s="34">
        <f>COUNTIFS('BA History'!B:B,A42,'BA History'!D:D, 1)</f>
        <v>23</v>
      </c>
      <c r="G42" s="2">
        <f>COUNTIFS('BA History'!B:B,A42,'BA History'!D:D, 0)</f>
        <v>29</v>
      </c>
      <c r="H42" s="75">
        <f>LOOKUP(2, 1/('BA History'!$B:$B=A42), 'BA History'!$AJ:$AJ)</f>
        <v>0.44230769230769229</v>
      </c>
      <c r="I42" s="34">
        <f>SUMIFS('BA History'!F:F,'BA History'!B:B,A42)</f>
        <v>104</v>
      </c>
      <c r="J42" s="2">
        <f>SUMIFS('BA History'!E:E,'BA History'!B:B,A42)-I42</f>
        <v>109</v>
      </c>
      <c r="K42" s="75">
        <f>LOOKUP(2, 1/('BA History'!$B:$B=A42), 'BA History'!$AH:$AH)</f>
        <v>0.49519230769230754</v>
      </c>
      <c r="L42" s="34">
        <f>SUMIFS('BA History'!H:H,'BA History'!B:B,A42)</f>
        <v>429</v>
      </c>
      <c r="M42" s="2">
        <f>SUMIFS('BA History'!G:G,'BA History'!B:B,A42)-L42</f>
        <v>448</v>
      </c>
      <c r="N42" s="89">
        <f>LOOKUP(2, 1/('BA History'!$B:$B=A42), 'BA History'!$AI:$AI)</f>
        <v>0.48634615384615398</v>
      </c>
      <c r="O42" s="2">
        <f>COUNTIFS('BA History'!$B:$B,$A$42,'BA History'!K:K, 1)</f>
        <v>4</v>
      </c>
      <c r="P42" s="2">
        <f>COUNTIFS('BA History'!$B:$B,$A$42,'BA History'!L:L, 1)</f>
        <v>9</v>
      </c>
      <c r="Q42" s="2">
        <f>COUNTIFS('BA History'!$B:$B,$A$42,'BA History'!M:M, 1)</f>
        <v>12</v>
      </c>
      <c r="R42" s="2">
        <f>COUNTIFS('BA History'!$B:$B,$A$42,'BA History'!N:N, 1)</f>
        <v>13</v>
      </c>
      <c r="S42" s="2">
        <f>COUNTIFS('BA History'!$B:$B,$A$42,'BA History'!O:O, 1)</f>
        <v>3</v>
      </c>
      <c r="T42" s="2">
        <f>COUNTIFS('BA History'!$B:$B,$A$42,'BA History'!P:P, 1)</f>
        <v>1</v>
      </c>
      <c r="U42" s="2">
        <f>COUNTIFS('BA History'!$B:$B,$A$42,'BA History'!Q:Q, 1)</f>
        <v>4</v>
      </c>
      <c r="V42" s="2">
        <f>COUNTIFS('BA History'!$B:$B,$A$42,'BA History'!R:R, 1)</f>
        <v>3</v>
      </c>
      <c r="W42" s="2">
        <f>COUNTIFS('BA History'!$B:$B,$A$42,'BA History'!S:S, 1)</f>
        <v>1</v>
      </c>
      <c r="X42" s="2">
        <f>COUNTIFS('BA History'!$B:$B,$A$42,'BA History'!T:T, 1)</f>
        <v>0</v>
      </c>
      <c r="Y42" s="2">
        <f>COUNTIFS('BA History'!$B:$B,$A$42,'BA History'!U:U, 1)</f>
        <v>3</v>
      </c>
      <c r="Z42" s="2">
        <f>COUNTIFS('BA History'!$B:$B,$A$42,'BA History'!V:V, 1)</f>
        <v>5</v>
      </c>
      <c r="AA42" s="2">
        <f>COUNTIFS('BA History'!$B:$B,$A$42,'BA History'!W:W, 1)</f>
        <v>2</v>
      </c>
      <c r="AB42" s="2">
        <f>COUNTIFS('BA History'!$B:$B,$A$42,'BA History'!X:X, 1)</f>
        <v>1</v>
      </c>
      <c r="AC42" s="2">
        <f>COUNTIFS('BA History'!$B:$B,$A$42,'BA History'!Y:Y, 1)</f>
        <v>5</v>
      </c>
      <c r="AD42" s="2">
        <f>COUNTIFS('BA History'!$B:$B,$A$42,'BA History'!Z:Z, 1)</f>
        <v>8</v>
      </c>
      <c r="AE42" s="2">
        <f>COUNTIFS('BA History'!$B:$B,$A$42,'BA History'!AA:AA, 1)</f>
        <v>1</v>
      </c>
      <c r="AF42" s="2">
        <f>COUNTIFS('BA History'!$B:$B,$A$42,'BA History'!AB:AB, 1)</f>
        <v>5</v>
      </c>
      <c r="AG42" s="2">
        <f>COUNTIFS('BA History'!$B:$B,$A$42,'BA History'!AC:AC, 1)</f>
        <v>5</v>
      </c>
      <c r="AH42" s="2">
        <f>COUNTIFS('BA History'!$B:$B,$A$42,'BA History'!AD:AD, 1)</f>
        <v>13</v>
      </c>
      <c r="AI42" s="2">
        <f>COUNTIFS('BA History'!$B:$B,$A$42,'BA History'!AE:AE, 1)</f>
        <v>0</v>
      </c>
      <c r="AJ42" s="2">
        <f>COUNTIFS('BA History'!$B:$B,$A$42,'BA History'!AF:AF, 1)</f>
        <v>6</v>
      </c>
    </row>
    <row r="43" spans="1:36" x14ac:dyDescent="0.25">
      <c r="A43" s="2" t="s">
        <v>148</v>
      </c>
      <c r="B43" s="2" t="s">
        <v>79</v>
      </c>
      <c r="C43" s="34">
        <f>SUMIFS('BA History'!C:C,'BA History'!B:B,A43)</f>
        <v>234</v>
      </c>
      <c r="D43" s="66">
        <f>AVERAGEIFS('BA History'!C:C,'BA History'!B:B,A43)</f>
        <v>11.7</v>
      </c>
      <c r="E43" s="35">
        <f t="array" ref="E43">MAX(IF('BA History'!B:B=A43, 'BA History'!C:C))</f>
        <v>33</v>
      </c>
      <c r="F43" s="34">
        <f>COUNTIFS('BA History'!B:B,A43,'BA History'!D:D, 1)</f>
        <v>11</v>
      </c>
      <c r="G43" s="2">
        <f>COUNTIFS('BA History'!B:B,A43,'BA History'!D:D, 0)</f>
        <v>9</v>
      </c>
      <c r="H43" s="75">
        <f>LOOKUP(2, 1/('BA History'!$B:$B=A43), 'BA History'!$AJ:$AJ)</f>
        <v>0.55000000000000004</v>
      </c>
      <c r="I43" s="34">
        <f>SUMIFS('BA History'!F:F,'BA History'!B:B,A43)</f>
        <v>43</v>
      </c>
      <c r="J43" s="2">
        <f>SUMIFS('BA History'!E:E,'BA History'!B:B,A43)-I43</f>
        <v>35</v>
      </c>
      <c r="K43" s="75">
        <f>LOOKUP(2, 1/('BA History'!$B:$B=A43), 'BA History'!$AH:$AH)</f>
        <v>0.57999999999999996</v>
      </c>
      <c r="L43" s="34">
        <f>SUMIFS('BA History'!H:H,'BA History'!B:B,A43)</f>
        <v>167</v>
      </c>
      <c r="M43" s="2">
        <f>SUMIFS('BA History'!G:G,'BA History'!B:B,A43)-L43</f>
        <v>152</v>
      </c>
      <c r="N43" s="89">
        <f>LOOKUP(2, 1/('BA History'!$B:$B=A43), 'BA History'!$AI:$AI)</f>
        <v>0.54599999999999993</v>
      </c>
      <c r="O43" s="2">
        <f>COUNTIFS('BA History'!$B:$B,$A$43,'BA History'!K:K, 1)</f>
        <v>3</v>
      </c>
      <c r="P43" s="2">
        <f>COUNTIFS('BA History'!$B:$B,$A$43,'BA History'!L:L, 1)</f>
        <v>3</v>
      </c>
      <c r="Q43" s="2">
        <f>COUNTIFS('BA History'!$B:$B,$A$43,'BA History'!M:M, 1)</f>
        <v>3</v>
      </c>
      <c r="R43" s="2">
        <f>COUNTIFS('BA History'!$B:$B,$A$43,'BA History'!N:N, 1)</f>
        <v>5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1</v>
      </c>
      <c r="V43" s="2">
        <f>COUNTIFS('BA History'!$B:$B,$A$43,'BA History'!R:R, 1)</f>
        <v>1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0</v>
      </c>
      <c r="Z43" s="2">
        <f>COUNTIFS('BA History'!$B:$B,$A$43,'BA History'!V:V, 1)</f>
        <v>2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5</v>
      </c>
      <c r="AD43" s="2">
        <f>COUNTIFS('BA History'!$B:$B,$A$43,'BA History'!Z:Z, 1)</f>
        <v>7</v>
      </c>
      <c r="AE43" s="2">
        <f>COUNTIFS('BA History'!$B:$B,$A$43,'BA History'!AA:AA, 1)</f>
        <v>0</v>
      </c>
      <c r="AF43" s="2">
        <f>COUNTIFS('BA History'!$B:$B,$A$43,'BA History'!AB:AB, 1)</f>
        <v>7</v>
      </c>
      <c r="AG43" s="2">
        <f>COUNTIFS('BA History'!$B:$B,$A$43,'BA History'!AC:AC, 1)</f>
        <v>0</v>
      </c>
      <c r="AH43" s="2">
        <f>COUNTIFS('BA History'!$B:$B,$A$43,'BA History'!AD:AD, 1)</f>
        <v>2</v>
      </c>
      <c r="AI43" s="2">
        <f>COUNTIFS('BA History'!$B:$B,$A$43,'BA History'!AE:AE, 1)</f>
        <v>0</v>
      </c>
      <c r="AJ43" s="2">
        <f>COUNTIFS('BA History'!$B:$B,$A$43,'BA History'!AF:AF, 1)</f>
        <v>4</v>
      </c>
    </row>
    <row r="44" spans="1:36" x14ac:dyDescent="0.25">
      <c r="A44" s="2" t="s">
        <v>17</v>
      </c>
      <c r="B44" s="2" t="s">
        <v>79</v>
      </c>
      <c r="C44" s="34">
        <f>SUMIFS('BA History'!C:C,'BA History'!B:B,A44)</f>
        <v>614</v>
      </c>
      <c r="D44" s="66">
        <f>AVERAGEIFS('BA History'!C:C,'BA History'!B:B,A44)</f>
        <v>20.466666666666665</v>
      </c>
      <c r="E44" s="35">
        <f t="array" ref="E44">MAX(IF('BA History'!B:B=A44, 'BA History'!C:C))</f>
        <v>32</v>
      </c>
      <c r="F44" s="34">
        <f>COUNTIFS('BA History'!B:B,A44,'BA History'!D:D, 1)</f>
        <v>16</v>
      </c>
      <c r="G44" s="2">
        <f>COUNTIFS('BA History'!B:B,A44,'BA History'!D:D, 0)</f>
        <v>14</v>
      </c>
      <c r="H44" s="75">
        <f>LOOKUP(2, 1/('BA History'!$B:$B=A44), 'BA History'!$AJ:$AJ)</f>
        <v>0.53333333333333333</v>
      </c>
      <c r="I44" s="34">
        <f>SUMIFS('BA History'!F:F,'BA History'!B:B,A44)</f>
        <v>63</v>
      </c>
      <c r="J44" s="2">
        <f>SUMIFS('BA History'!E:E,'BA History'!B:B,A44)-I44</f>
        <v>56</v>
      </c>
      <c r="K44" s="75">
        <f>LOOKUP(2, 1/('BA History'!$B:$B=A44), 'BA History'!$AH:$AH)</f>
        <v>0.53733333333333322</v>
      </c>
      <c r="L44" s="34">
        <f>SUMIFS('BA History'!H:H,'BA History'!B:B,A44)</f>
        <v>251</v>
      </c>
      <c r="M44" s="2">
        <f>SUMIFS('BA History'!G:G,'BA History'!B:B,A44)-L44</f>
        <v>244</v>
      </c>
      <c r="N44" s="89">
        <f>LOOKUP(2, 1/('BA History'!$B:$B=A44), 'BA History'!$AI:$AI)</f>
        <v>0.50666666666666671</v>
      </c>
      <c r="O44" s="2">
        <f>COUNTIFS('BA History'!$B:$B,$A$44,'BA History'!K:K, 1)</f>
        <v>5</v>
      </c>
      <c r="P44" s="2">
        <f>COUNTIFS('BA History'!$B:$B,$A$44,'BA History'!L:L, 1)</f>
        <v>1</v>
      </c>
      <c r="Q44" s="2">
        <f>COUNTIFS('BA History'!$B:$B,$A$44,'BA History'!M:M, 1)</f>
        <v>5</v>
      </c>
      <c r="R44" s="2">
        <f>COUNTIFS('BA History'!$B:$B,$A$44,'BA History'!N:N, 1)</f>
        <v>8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3</v>
      </c>
      <c r="V44" s="2">
        <f>COUNTIFS('BA History'!$B:$B,$A$44,'BA History'!R:R, 1)</f>
        <v>1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2</v>
      </c>
      <c r="Z44" s="2">
        <f>COUNTIFS('BA History'!$B:$B,$A$44,'BA History'!V:V, 1)</f>
        <v>3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2</v>
      </c>
      <c r="AD44" s="2">
        <f>COUNTIFS('BA History'!$B:$B,$A$44,'BA History'!Z:Z, 1)</f>
        <v>8</v>
      </c>
      <c r="AE44" s="2">
        <f>COUNTIFS('BA History'!$B:$B,$A$44,'BA History'!AA:AA, 1)</f>
        <v>1</v>
      </c>
      <c r="AF44" s="2">
        <f>COUNTIFS('BA History'!$B:$B,$A$44,'BA History'!AB:AB, 1)</f>
        <v>7</v>
      </c>
      <c r="AG44" s="2">
        <f>COUNTIFS('BA History'!$B:$B,$A$44,'BA History'!AC:AC, 1)</f>
        <v>6</v>
      </c>
      <c r="AH44" s="2">
        <f>COUNTIFS('BA History'!$B:$B,$A$44,'BA History'!AD:AD, 1)</f>
        <v>8</v>
      </c>
      <c r="AI44" s="2">
        <f>COUNTIFS('BA History'!$B:$B,$A$44,'BA History'!AE:AE, 1)</f>
        <v>1</v>
      </c>
      <c r="AJ44" s="2">
        <f>COUNTIFS('BA History'!$B:$B,$A$44,'BA History'!AF:AF, 1)</f>
        <v>2</v>
      </c>
    </row>
    <row r="45" spans="1:36" ht="14.25" customHeight="1" x14ac:dyDescent="0.25">
      <c r="A45" s="1" t="s">
        <v>105</v>
      </c>
      <c r="B45" s="2" t="s">
        <v>79</v>
      </c>
      <c r="C45" s="34">
        <f>SUMIFS('BA History'!C:C,'BA History'!B:B,A45)</f>
        <v>12</v>
      </c>
      <c r="D45" s="66">
        <f>AVERAGEIFS('BA History'!C:C,'BA History'!B:B,A45)</f>
        <v>12</v>
      </c>
      <c r="E45" s="35">
        <f t="array" ref="E45">MAX(IF('BA History'!B:B=A45, 'BA History'!C:C))</f>
        <v>12</v>
      </c>
      <c r="F45" s="34">
        <f>COUNTIFS('BA History'!B:B,A45,'BA History'!D:D, 1)</f>
        <v>1</v>
      </c>
      <c r="G45" s="2">
        <f>COUNTIFS('BA History'!B:B,A45,'BA History'!D:D, 0)</f>
        <v>0</v>
      </c>
      <c r="H45" s="75">
        <f>LOOKUP(2, 1/('BA History'!$B:$B=A45), 'BA History'!$AJ:$AJ)</f>
        <v>1</v>
      </c>
      <c r="I45" s="34">
        <f>SUMIFS('BA History'!F:F,'BA History'!B:B,A45)</f>
        <v>3</v>
      </c>
      <c r="J45" s="2">
        <f>SUMIFS('BA History'!E:E,'BA History'!B:B,A45)-I45</f>
        <v>2</v>
      </c>
      <c r="K45" s="75">
        <f>LOOKUP(2, 1/('BA History'!$B:$B=A45), 'BA History'!$AH:$AH)</f>
        <v>0.6</v>
      </c>
      <c r="L45" s="34">
        <f>SUMIFS('BA History'!H:H,'BA History'!B:B,A45)</f>
        <v>9</v>
      </c>
      <c r="M45" s="2">
        <f>SUMIFS('BA History'!G:G,'BA History'!B:B,A45)-L45</f>
        <v>10</v>
      </c>
      <c r="N45" s="89">
        <f>LOOKUP(2, 1/('BA History'!$B:$B=A45), 'BA History'!$AI:$AI)</f>
        <v>0.47</v>
      </c>
      <c r="O45" s="2">
        <f>COUNTIFS('BA History'!$B:$B,$A$45,'BA History'!K:K, 1)</f>
        <v>0</v>
      </c>
      <c r="P45" s="2">
        <f>COUNTIFS('BA History'!$B:$B,$A$45,'BA History'!L:L, 1)</f>
        <v>0</v>
      </c>
      <c r="Q45" s="2">
        <f>COUNTIFS('BA History'!$B:$B,$A$45,'BA History'!M:M, 1)</f>
        <v>0</v>
      </c>
      <c r="R45" s="2">
        <f>COUNTIFS('BA History'!$B:$B,$A$45,'BA History'!N:N, 1)</f>
        <v>0</v>
      </c>
      <c r="S45" s="2">
        <f>COUNTIFS('BA History'!$B:$B,$A$45,'BA History'!O:O, 1)</f>
        <v>0</v>
      </c>
      <c r="T45" s="2">
        <f>COUNTIFS('BA History'!$B:$B,$A$45,'BA History'!P:P, 1)</f>
        <v>0</v>
      </c>
      <c r="U45" s="2">
        <f>COUNTIFS('BA History'!$B:$B,$A$45,'BA History'!Q:Q, 1)</f>
        <v>0</v>
      </c>
      <c r="V45" s="2">
        <f>COUNTIFS('BA History'!$B:$B,$A$45,'BA History'!R:R, 1)</f>
        <v>0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1</v>
      </c>
      <c r="Z45" s="2">
        <f>COUNTIFS('BA History'!$B:$B,$A$45,'BA History'!V:V, 1)</f>
        <v>0</v>
      </c>
      <c r="AA45" s="2">
        <f>COUNTIFS('BA History'!$B:$B,$A$45,'BA History'!W:W, 1)</f>
        <v>0</v>
      </c>
      <c r="AB45" s="2">
        <f>COUNTIFS('BA History'!$B:$B,$A$45,'BA History'!X:X, 1)</f>
        <v>0</v>
      </c>
      <c r="AC45" s="2">
        <f>COUNTIFS('BA History'!$B:$B,$A$45,'BA History'!Y:Y, 1)</f>
        <v>0</v>
      </c>
      <c r="AD45" s="2">
        <f>COUNTIFS('BA History'!$B:$B,$A$45,'BA History'!Z:Z, 1)</f>
        <v>0</v>
      </c>
      <c r="AE45" s="2">
        <f>COUNTIFS('BA History'!$B:$B,$A$45,'BA History'!AA:AA, 1)</f>
        <v>0</v>
      </c>
      <c r="AF45" s="2">
        <f>COUNTIFS('BA History'!$B:$B,$A$45,'BA History'!AB:AB, 1)</f>
        <v>1</v>
      </c>
      <c r="AG45" s="2">
        <f>COUNTIFS('BA History'!$B:$B,$A$45,'BA History'!AC:AC, 1)</f>
        <v>1</v>
      </c>
      <c r="AH45" s="2">
        <f>COUNTIFS('BA History'!$B:$B,$A$45,'BA History'!AD:AD, 1)</f>
        <v>0</v>
      </c>
      <c r="AI45" s="2">
        <f>COUNTIFS('BA History'!$B:$B,$A$45,'BA History'!AE:AE, 1)</f>
        <v>0</v>
      </c>
      <c r="AJ45" s="2">
        <f>COUNTIFS('BA History'!$B:$B,$A$45,'BA History'!AF:AF, 1)</f>
        <v>0</v>
      </c>
    </row>
    <row r="46" spans="1:36" ht="14.25" customHeight="1" x14ac:dyDescent="0.25">
      <c r="A46" s="1" t="s">
        <v>144</v>
      </c>
      <c r="B46" s="2" t="s">
        <v>79</v>
      </c>
      <c r="C46" s="34">
        <f>SUMIFS('BA History'!C:C,'BA History'!B:B,A46)</f>
        <v>4</v>
      </c>
      <c r="D46" s="66">
        <f>AVERAGEIFS('BA History'!C:C,'BA History'!B:B,A46)</f>
        <v>4</v>
      </c>
      <c r="E46" s="35">
        <f t="array" ref="E46">MAX(IF('BA History'!B:B=A46, 'BA History'!C:C))</f>
        <v>4</v>
      </c>
      <c r="F46" s="34">
        <f>COUNTIFS('BA History'!B:B,A46,'BA History'!D:D, 1)</f>
        <v>0</v>
      </c>
      <c r="G46" s="2">
        <f>COUNTIFS('BA History'!B:B,A46,'BA History'!D:D, 0)</f>
        <v>1</v>
      </c>
      <c r="H46" s="75">
        <f>LOOKUP(2, 1/('BA History'!$B:$B=A46), 'BA History'!$AJ:$AJ)</f>
        <v>0</v>
      </c>
      <c r="I46" s="34">
        <f>SUMIFS('BA History'!F:F,'BA History'!B:B,A46)</f>
        <v>1</v>
      </c>
      <c r="J46" s="2">
        <f>SUMIFS('BA History'!E:E,'BA History'!B:B,A46)-I46</f>
        <v>3</v>
      </c>
      <c r="K46" s="75">
        <f>LOOKUP(2, 1/('BA History'!$B:$B=A46), 'BA History'!$AH:$AH)</f>
        <v>0.25</v>
      </c>
      <c r="L46" s="34">
        <f>SUMIFS('BA History'!H:H,'BA History'!B:B,A46)</f>
        <v>7</v>
      </c>
      <c r="M46" s="2">
        <f>SUMIFS('BA History'!G:G,'BA History'!B:B,A46)-L46</f>
        <v>9</v>
      </c>
      <c r="N46" s="89">
        <f>LOOKUP(2, 1/('BA History'!$B:$B=A46), 'BA History'!$AI:$AI)</f>
        <v>0.44</v>
      </c>
      <c r="O46" s="2">
        <f>COUNTIFS('BA History'!$B:$B,$A$46,'BA History'!K:K, 1)</f>
        <v>0</v>
      </c>
      <c r="P46" s="2">
        <f>COUNTIFS('BA History'!$B:$B,$A$46,'BA History'!L:L, 1)</f>
        <v>0</v>
      </c>
      <c r="Q46" s="2">
        <f>COUNTIFS('BA History'!$B:$B,$A$46,'BA History'!M:M, 1)</f>
        <v>0</v>
      </c>
      <c r="R46" s="2">
        <f>COUNTIFS('BA History'!$B:$B,$A$46,'BA History'!N:N, 1)</f>
        <v>0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0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0</v>
      </c>
      <c r="Z46" s="2">
        <f>COUNTIFS('BA History'!$B:$B,$A$46,'BA History'!V:V, 1)</f>
        <v>0</v>
      </c>
      <c r="AA46" s="2">
        <f>COUNTIFS('BA History'!$B:$B,$A$46,'BA History'!W:W, 1)</f>
        <v>0</v>
      </c>
      <c r="AB46" s="2">
        <f>COUNTIFS('BA History'!$B:$B,$A$46,'BA History'!X:X, 1)</f>
        <v>0</v>
      </c>
      <c r="AC46" s="2">
        <f>COUNTIFS('BA History'!$B:$B,$A$46,'BA History'!Y:Y, 1)</f>
        <v>1</v>
      </c>
      <c r="AD46" s="2">
        <f>COUNTIFS('BA History'!$B:$B,$A$46,'BA History'!Z:Z, 1)</f>
        <v>0</v>
      </c>
      <c r="AE46" s="2">
        <f>COUNTIFS('BA History'!$B:$B,$A$46,'BA History'!AA:AA, 1)</f>
        <v>0</v>
      </c>
      <c r="AF46" s="2">
        <f>COUNTIFS('BA History'!$B:$B,$A$46,'BA History'!AB:AB, 1)</f>
        <v>0</v>
      </c>
      <c r="AG46" s="2">
        <f>COUNTIFS('BA History'!$B:$B,$A$46,'BA History'!AC:AC, 1)</f>
        <v>0</v>
      </c>
      <c r="AH46" s="2">
        <f>COUNTIFS('BA History'!$B:$B,$A$46,'BA History'!AD:AD, 1)</f>
        <v>0</v>
      </c>
      <c r="AI46" s="2">
        <f>COUNTIFS('BA History'!$B:$B,$A$46,'BA History'!AE:AE, 1)</f>
        <v>0</v>
      </c>
      <c r="AJ46" s="2">
        <f>COUNTIFS('BA History'!$B:$B,$A$46,'BA History'!AF:AF, 1)</f>
        <v>0</v>
      </c>
    </row>
    <row r="47" spans="1:36" x14ac:dyDescent="0.25">
      <c r="A47" s="1" t="s">
        <v>118</v>
      </c>
      <c r="B47" s="2" t="s">
        <v>79</v>
      </c>
      <c r="C47" s="34">
        <f>SUMIFS('BA History'!C:C,'BA History'!B:B,A47)</f>
        <v>30</v>
      </c>
      <c r="D47" s="66">
        <f>AVERAGEIFS('BA History'!C:C,'BA History'!B:B,A47)</f>
        <v>15</v>
      </c>
      <c r="E47" s="35">
        <f t="array" ref="E47">MAX(IF('BA History'!B:B=A47, 'BA History'!C:C))</f>
        <v>20</v>
      </c>
      <c r="F47" s="34">
        <f>COUNTIFS('BA History'!B:B,A47,'BA History'!D:D, 1)</f>
        <v>1</v>
      </c>
      <c r="G47" s="2">
        <f>COUNTIFS('BA History'!B:B,A47,'BA History'!D:D, 0)</f>
        <v>1</v>
      </c>
      <c r="H47" s="75">
        <f>LOOKUP(2, 1/('BA History'!$B:$B=A47), 'BA History'!$AJ:$AJ)</f>
        <v>0.5</v>
      </c>
      <c r="I47" s="34">
        <f>SUMIFS('BA History'!F:F,'BA History'!B:B,A47)</f>
        <v>4</v>
      </c>
      <c r="J47" s="2">
        <f>SUMIFS('BA History'!E:E,'BA History'!B:B,A47)-I47</f>
        <v>4</v>
      </c>
      <c r="K47" s="75">
        <f>LOOKUP(2, 1/('BA History'!$B:$B=A47), 'BA History'!$AH:$AH)</f>
        <v>0.5</v>
      </c>
      <c r="L47" s="34">
        <f>SUMIFS('BA History'!H:H,'BA History'!B:B,A47)</f>
        <v>15</v>
      </c>
      <c r="M47" s="2">
        <f>SUMIFS('BA History'!G:G,'BA History'!B:B,A47)-L47</f>
        <v>15</v>
      </c>
      <c r="N47" s="89">
        <f>LOOKUP(2, 1/('BA History'!$B:$B=A47), 'BA History'!$AI:$AI)</f>
        <v>0.51</v>
      </c>
      <c r="O47" s="2">
        <f>COUNTIFS('BA History'!$B:$B,$A$47,'BA History'!K:K, 1)</f>
        <v>0</v>
      </c>
      <c r="P47" s="2">
        <f>COUNTIFS('BA History'!$B:$B,$A$47,'BA History'!L:L, 1)</f>
        <v>0</v>
      </c>
      <c r="Q47" s="2">
        <f>COUNTIFS('BA History'!$B:$B,$A$47,'BA History'!M:M, 1)</f>
        <v>0</v>
      </c>
      <c r="R47" s="2">
        <f>COUNTIFS('BA History'!$B:$B,$A$47,'BA History'!N:N, 1)</f>
        <v>0</v>
      </c>
      <c r="S47" s="2">
        <f>COUNTIFS('BA History'!$B:$B,$A$47,'BA History'!O:O, 1)</f>
        <v>0</v>
      </c>
      <c r="T47" s="2">
        <f>COUNTIFS('BA History'!$B:$B,$A$47,'BA History'!P:P, 1)</f>
        <v>0</v>
      </c>
      <c r="U47" s="2">
        <f>COUNTIFS('BA History'!$B:$B,$A$47,'BA History'!Q:Q, 1)</f>
        <v>0</v>
      </c>
      <c r="V47" s="2">
        <f>COUNTIFS('BA History'!$B:$B,$A$47,'BA History'!R:R, 1)</f>
        <v>0</v>
      </c>
      <c r="W47" s="2">
        <f>COUNTIFS('BA History'!$B:$B,$A$47,'BA History'!S:S, 1)</f>
        <v>0</v>
      </c>
      <c r="X47" s="2">
        <f>COUNTIFS('BA History'!$B:$B,$A$47,'BA History'!T:T, 1)</f>
        <v>0</v>
      </c>
      <c r="Y47" s="2">
        <f>COUNTIFS('BA History'!$B:$B,$A$47,'BA History'!U:U, 1)</f>
        <v>0</v>
      </c>
      <c r="Z47" s="2">
        <f>COUNTIFS('BA History'!$B:$B,$A$47,'BA History'!V:V, 1)</f>
        <v>1</v>
      </c>
      <c r="AA47" s="2">
        <f>COUNTIFS('BA History'!$B:$B,$A$47,'BA History'!W:W, 1)</f>
        <v>0</v>
      </c>
      <c r="AB47" s="2">
        <f>COUNTIFS('BA History'!$B:$B,$A$47,'BA History'!X:X, 1)</f>
        <v>0</v>
      </c>
      <c r="AC47" s="2">
        <f>COUNTIFS('BA History'!$B:$B,$A$47,'BA History'!Y:Y, 1)</f>
        <v>0</v>
      </c>
      <c r="AD47" s="2">
        <f>COUNTIFS('BA History'!$B:$B,$A$47,'BA History'!Z:Z, 1)</f>
        <v>1</v>
      </c>
      <c r="AE47" s="2">
        <f>COUNTIFS('BA History'!$B:$B,$A$47,'BA History'!AA:AA, 1)</f>
        <v>0</v>
      </c>
      <c r="AF47" s="2">
        <f>COUNTIFS('BA History'!$B:$B,$A$47,'BA History'!AB:AB, 1)</f>
        <v>0</v>
      </c>
      <c r="AG47" s="2">
        <f>COUNTIFS('BA History'!$B:$B,$A$47,'BA History'!AC:AC, 1)</f>
        <v>1</v>
      </c>
      <c r="AH47" s="2">
        <f>COUNTIFS('BA History'!$B:$B,$A$47,'BA History'!AD:AD, 1)</f>
        <v>1</v>
      </c>
      <c r="AI47" s="2">
        <f>COUNTIFS('BA History'!$B:$B,$A$47,'BA History'!AE:AE, 1)</f>
        <v>0</v>
      </c>
      <c r="AJ47" s="2">
        <f>COUNTIFS('BA History'!$B:$B,$A$47,'BA History'!AF:AF, 1)</f>
        <v>0</v>
      </c>
    </row>
    <row r="48" spans="1:36" x14ac:dyDescent="0.25">
      <c r="A48" s="2" t="s">
        <v>6</v>
      </c>
      <c r="B48" s="1" t="s">
        <v>162</v>
      </c>
      <c r="C48" s="34">
        <f>SUMIFS('BA History'!C:C,'BA History'!B:B,A48)</f>
        <v>1175</v>
      </c>
      <c r="D48" s="66">
        <f>AVERAGEIFS('BA History'!C:C,'BA History'!B:B,A48)</f>
        <v>22.169811320754718</v>
      </c>
      <c r="E48" s="35">
        <f t="array" ref="E48">MAX(IF('BA History'!B:B=A48, 'BA History'!C:C))</f>
        <v>37</v>
      </c>
      <c r="F48" s="34">
        <f>COUNTIFS('BA History'!B:B,A48,'BA History'!D:D, 1)</f>
        <v>32</v>
      </c>
      <c r="G48" s="2">
        <f>COUNTIFS('BA History'!B:B,A48,'BA History'!D:D, 0)</f>
        <v>21</v>
      </c>
      <c r="H48" s="75">
        <f>LOOKUP(2, 1/('BA History'!$B:$B=A48), 'BA History'!$AJ:$AJ)</f>
        <v>0.60377358490566035</v>
      </c>
      <c r="I48" s="34">
        <f>SUMIFS('BA History'!F:F,'BA History'!B:B,A48)</f>
        <v>114</v>
      </c>
      <c r="J48" s="2">
        <f>SUMIFS('BA History'!E:E,'BA History'!B:B,A48)-I48</f>
        <v>99</v>
      </c>
      <c r="K48" s="75">
        <f>LOOKUP(2, 1/('BA History'!$B:$B=A48), 'BA History'!$AH:$AH)</f>
        <v>0.52698113207547181</v>
      </c>
      <c r="L48" s="34">
        <f>SUMIFS('BA History'!H:H,'BA History'!B:B,A48)</f>
        <v>464</v>
      </c>
      <c r="M48" s="2">
        <f>SUMIFS('BA History'!G:G,'BA History'!B:B,A48)-L48</f>
        <v>424</v>
      </c>
      <c r="N48" s="89">
        <f>LOOKUP(2, 1/('BA History'!$B:$B=A48), 'BA History'!$AI:$AI)</f>
        <v>0.51679245283018871</v>
      </c>
      <c r="O48" s="2">
        <f>COUNTIFS('BA History'!$B:$B,$A$48,'BA History'!K:K, 1)</f>
        <v>5</v>
      </c>
      <c r="P48" s="2">
        <f>COUNTIFS('BA History'!$B:$B,$A$48,'BA History'!L:L, 1)</f>
        <v>6</v>
      </c>
      <c r="Q48" s="2">
        <f>COUNTIFS('BA History'!$B:$B,$A$48,'BA History'!M:M, 1)</f>
        <v>10</v>
      </c>
      <c r="R48" s="2">
        <f>COUNTIFS('BA History'!$B:$B,$A$48,'BA History'!N:N, 1)</f>
        <v>9</v>
      </c>
      <c r="S48" s="2">
        <f>COUNTIFS('BA History'!$B:$B,$A$48,'BA History'!O:O, 1)</f>
        <v>2</v>
      </c>
      <c r="T48" s="2">
        <f>COUNTIFS('BA History'!$B:$B,$A$48,'BA History'!P:P, 1)</f>
        <v>0</v>
      </c>
      <c r="U48" s="2">
        <f>COUNTIFS('BA History'!$B:$B,$A$48,'BA History'!Q:Q, 1)</f>
        <v>5</v>
      </c>
      <c r="V48" s="2">
        <f>COUNTIFS('BA History'!$B:$B,$A$48,'BA History'!R:R, 1)</f>
        <v>3</v>
      </c>
      <c r="W48" s="2">
        <f>COUNTIFS('BA History'!$B:$B,$A$48,'BA History'!S:S, 1)</f>
        <v>1</v>
      </c>
      <c r="X48" s="2">
        <f>COUNTIFS('BA History'!$B:$B,$A$48,'BA History'!T:T, 1)</f>
        <v>0</v>
      </c>
      <c r="Y48" s="2">
        <f>COUNTIFS('BA History'!$B:$B,$A$48,'BA History'!U:U, 1)</f>
        <v>2</v>
      </c>
      <c r="Z48" s="2">
        <f>COUNTIFS('BA History'!$B:$B,$A$48,'BA History'!V:V, 1)</f>
        <v>9</v>
      </c>
      <c r="AA48" s="2">
        <f>COUNTIFS('BA History'!$B:$B,$A$48,'BA History'!W:W, 1)</f>
        <v>4</v>
      </c>
      <c r="AB48" s="2">
        <f>COUNTIFS('BA History'!$B:$B,$A$48,'BA History'!X:X, 1)</f>
        <v>2</v>
      </c>
      <c r="AC48" s="2">
        <f>COUNTIFS('BA History'!$B:$B,$A$48,'BA History'!Y:Y, 1)</f>
        <v>5</v>
      </c>
      <c r="AD48" s="2">
        <f>COUNTIFS('BA History'!$B:$B,$A$48,'BA History'!Z:Z, 1)</f>
        <v>15</v>
      </c>
      <c r="AE48" s="2">
        <f>COUNTIFS('BA History'!$B:$B,$A$48,'BA History'!AA:AA, 1)</f>
        <v>1</v>
      </c>
      <c r="AF48" s="2">
        <f>COUNTIFS('BA History'!$B:$B,$A$48,'BA History'!AB:AB, 1)</f>
        <v>13</v>
      </c>
      <c r="AG48" s="2">
        <f>COUNTIFS('BA History'!$B:$B,$A$48,'BA History'!AC:AC, 1)</f>
        <v>5</v>
      </c>
      <c r="AH48" s="2">
        <f>COUNTIFS('BA History'!$B:$B,$A$48,'BA History'!AD:AD, 1)</f>
        <v>9</v>
      </c>
      <c r="AI48" s="2">
        <f>COUNTIFS('BA History'!$B:$B,$A$48,'BA History'!AE:AE, 1)</f>
        <v>1</v>
      </c>
      <c r="AJ48" s="2">
        <f>COUNTIFS('BA History'!$B:$B,$A$48,'BA History'!AF:AF, 1)</f>
        <v>7</v>
      </c>
    </row>
    <row r="49" spans="1:36" x14ac:dyDescent="0.25">
      <c r="A49" s="2" t="s">
        <v>18</v>
      </c>
      <c r="B49" s="2" t="s">
        <v>79</v>
      </c>
      <c r="C49" s="34">
        <f>SUMIFS('BA History'!C:C,'BA History'!B:B,A49)</f>
        <v>129</v>
      </c>
      <c r="D49" s="66">
        <f>AVERAGEIFS('BA History'!C:C,'BA History'!B:B,A49)</f>
        <v>18.428571428571427</v>
      </c>
      <c r="E49" s="35">
        <f t="array" ref="E49">MAX(IF('BA History'!B:B=A49, 'BA History'!C:C))</f>
        <v>26</v>
      </c>
      <c r="F49" s="34">
        <f>COUNTIFS('BA History'!B:B,A49,'BA History'!D:D, 1)</f>
        <v>6</v>
      </c>
      <c r="G49" s="2">
        <f>COUNTIFS('BA History'!B:B,A49,'BA History'!D:D, 0)</f>
        <v>1</v>
      </c>
      <c r="H49" s="75">
        <f>LOOKUP(2, 1/('BA History'!$B:$B=A49), 'BA History'!$AJ:$AJ)</f>
        <v>0.8571428571428571</v>
      </c>
      <c r="I49" s="34">
        <f>SUMIFS('BA History'!F:F,'BA History'!B:B,A49)</f>
        <v>19</v>
      </c>
      <c r="J49" s="2">
        <f>SUMIFS('BA History'!E:E,'BA History'!B:B,A49)-I49</f>
        <v>7</v>
      </c>
      <c r="K49" s="75">
        <f>LOOKUP(2, 1/('BA History'!$B:$B=A49), 'BA History'!$AH:$AH)</f>
        <v>0.76428571428571423</v>
      </c>
      <c r="L49" s="34">
        <f>SUMIFS('BA History'!H:H,'BA History'!B:B,A49)</f>
        <v>66</v>
      </c>
      <c r="M49" s="2">
        <f>SUMIFS('BA History'!G:G,'BA History'!B:B,A49)-L49</f>
        <v>44</v>
      </c>
      <c r="N49" s="89">
        <f>LOOKUP(2, 1/('BA History'!$B:$B=A49), 'BA History'!$AI:$AI)</f>
        <v>0.62</v>
      </c>
      <c r="O49" s="2">
        <f>COUNTIFS('BA History'!$B:$B,$A$49,'BA History'!K:K, 1)</f>
        <v>0</v>
      </c>
      <c r="P49" s="2">
        <f>COUNTIFS('BA History'!$B:$B,$A$49,'BA History'!L:L, 1)</f>
        <v>3</v>
      </c>
      <c r="Q49" s="2">
        <f>COUNTIFS('BA History'!$B:$B,$A$49,'BA History'!M:M, 1)</f>
        <v>1</v>
      </c>
      <c r="R49" s="2">
        <f>COUNTIFS('BA History'!$B:$B,$A$49,'BA History'!N:N, 1)</f>
        <v>3</v>
      </c>
      <c r="S49" s="2">
        <f>COUNTIFS('BA History'!$B:$B,$A$49,'BA History'!O:O, 1)</f>
        <v>0</v>
      </c>
      <c r="T49" s="2">
        <f>COUNTIFS('BA History'!$B:$B,$A$49,'BA History'!P:P, 1)</f>
        <v>0</v>
      </c>
      <c r="U49" s="2">
        <f>COUNTIFS('BA History'!$B:$B,$A$49,'BA History'!Q:Q, 1)</f>
        <v>1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0</v>
      </c>
      <c r="Y49" s="2">
        <f>COUNTIFS('BA History'!$B:$B,$A$49,'BA History'!U:U, 1)</f>
        <v>0</v>
      </c>
      <c r="Z49" s="2">
        <f>COUNTIFS('BA History'!$B:$B,$A$49,'BA History'!V:V, 1)</f>
        <v>1</v>
      </c>
      <c r="AA49" s="2">
        <f>COUNTIFS('BA History'!$B:$B,$A$49,'BA History'!W:W, 1)</f>
        <v>1</v>
      </c>
      <c r="AB49" s="2">
        <f>COUNTIFS('BA History'!$B:$B,$A$49,'BA History'!X:X, 1)</f>
        <v>1</v>
      </c>
      <c r="AC49" s="2">
        <f>COUNTIFS('BA History'!$B:$B,$A$49,'BA History'!Y:Y, 1)</f>
        <v>1</v>
      </c>
      <c r="AD49" s="2">
        <f>COUNTIFS('BA History'!$B:$B,$A$49,'BA History'!Z:Z, 1)</f>
        <v>2</v>
      </c>
      <c r="AE49" s="2">
        <f>COUNTIFS('BA History'!$B:$B,$A$49,'BA History'!AA:AA, 1)</f>
        <v>1</v>
      </c>
      <c r="AF49" s="2">
        <f>COUNTIFS('BA History'!$B:$B,$A$49,'BA History'!AB:AB, 1)</f>
        <v>1</v>
      </c>
      <c r="AG49" s="2">
        <f>COUNTIFS('BA History'!$B:$B,$A$49,'BA History'!AC:AC, 1)</f>
        <v>0</v>
      </c>
      <c r="AH49" s="2">
        <f>COUNTIFS('BA History'!$B:$B,$A$49,'BA History'!AD:AD, 1)</f>
        <v>2</v>
      </c>
      <c r="AI49" s="2">
        <f>COUNTIFS('BA History'!$B:$B,$A$49,'BA History'!AE:AE, 1)</f>
        <v>0</v>
      </c>
      <c r="AJ49" s="2">
        <f>COUNTIFS('BA History'!$B:$B,$A$49,'BA History'!AF:AF, 1)</f>
        <v>0</v>
      </c>
    </row>
    <row r="50" spans="1:36" x14ac:dyDescent="0.25">
      <c r="A50" s="2" t="s">
        <v>113</v>
      </c>
      <c r="B50" s="2" t="s">
        <v>79</v>
      </c>
      <c r="C50" s="34">
        <f>SUMIFS('BA History'!C:C,'BA History'!B:B,A50)</f>
        <v>455</v>
      </c>
      <c r="D50" s="66">
        <f>AVERAGEIFS('BA History'!C:C,'BA History'!B:B,A50)</f>
        <v>16.851851851851851</v>
      </c>
      <c r="E50" s="35">
        <f t="array" ref="E50">MAX(IF('BA History'!B:B=A50, 'BA History'!C:C))</f>
        <v>28</v>
      </c>
      <c r="F50" s="34">
        <f>COUNTIFS('BA History'!B:B,A50,'BA History'!D:D, 1)</f>
        <v>15</v>
      </c>
      <c r="G50" s="2">
        <f>COUNTIFS('BA History'!B:B,A50,'BA History'!D:D, 0)</f>
        <v>12</v>
      </c>
      <c r="H50" s="75">
        <f>LOOKUP(2, 1/('BA History'!$B:$B=A50), 'BA History'!$AJ:$AJ)</f>
        <v>0.55555555555555558</v>
      </c>
      <c r="I50" s="34">
        <f>SUMIFS('BA History'!F:F,'BA History'!B:B,A50)</f>
        <v>58</v>
      </c>
      <c r="J50" s="2">
        <f>SUMIFS('BA History'!E:E,'BA History'!B:B,A50)-I50</f>
        <v>48</v>
      </c>
      <c r="K50" s="75">
        <f>LOOKUP(2, 1/('BA History'!$B:$B=A50), 'BA History'!$AH:$AH)</f>
        <v>0.56111111111111112</v>
      </c>
      <c r="L50" s="34">
        <f>SUMIFS('BA History'!H:H,'BA History'!B:B,A50)</f>
        <v>222</v>
      </c>
      <c r="M50" s="2">
        <f>SUMIFS('BA History'!G:G,'BA History'!B:B,A50)-L50</f>
        <v>206</v>
      </c>
      <c r="N50" s="89">
        <f>LOOKUP(2, 1/('BA History'!$B:$B=A50), 'BA History'!$AI:$AI)</f>
        <v>0.52037037037037048</v>
      </c>
      <c r="O50" s="2">
        <f>COUNTIFS('BA History'!$B:$B,$A$50,'BA History'!K:K, 1)</f>
        <v>2</v>
      </c>
      <c r="P50" s="2">
        <f>COUNTIFS('BA History'!$B:$B,$A$50,'BA History'!L:L, 1)</f>
        <v>3</v>
      </c>
      <c r="Q50" s="2">
        <f>COUNTIFS('BA History'!$B:$B,$A$50,'BA History'!M:M, 1)</f>
        <v>10</v>
      </c>
      <c r="R50" s="2">
        <f>COUNTIFS('BA History'!$B:$B,$A$50,'BA History'!N:N, 1)</f>
        <v>8</v>
      </c>
      <c r="S50" s="2">
        <f>COUNTIFS('BA History'!$B:$B,$A$50,'BA History'!O:O, 1)</f>
        <v>1</v>
      </c>
      <c r="T50" s="2">
        <f>COUNTIFS('BA History'!$B:$B,$A$50,'BA History'!P:P, 1)</f>
        <v>0</v>
      </c>
      <c r="U50" s="2">
        <f>COUNTIFS('BA History'!$B:$B,$A$50,'BA History'!Q:Q, 1)</f>
        <v>3</v>
      </c>
      <c r="V50" s="2">
        <f>COUNTIFS('BA History'!$B:$B,$A$50,'BA History'!R:R, 1)</f>
        <v>1</v>
      </c>
      <c r="W50" s="2">
        <f>COUNTIFS('BA History'!$B:$B,$A$50,'BA History'!S:S, 1)</f>
        <v>0</v>
      </c>
      <c r="X50" s="2">
        <f>COUNTIFS('BA History'!$B:$B,$A$50,'BA History'!T:T, 1)</f>
        <v>0</v>
      </c>
      <c r="Y50" s="2">
        <f>COUNTIFS('BA History'!$B:$B,$A$50,'BA History'!U:U, 1)</f>
        <v>1</v>
      </c>
      <c r="Z50" s="2">
        <f>COUNTIFS('BA History'!$B:$B,$A$50,'BA History'!V:V, 1)</f>
        <v>3</v>
      </c>
      <c r="AA50" s="2">
        <f>COUNTIFS('BA History'!$B:$B,$A$50,'BA History'!W:W, 1)</f>
        <v>0</v>
      </c>
      <c r="AB50" s="2">
        <f>COUNTIFS('BA History'!$B:$B,$A$50,'BA History'!X:X, 1)</f>
        <v>0</v>
      </c>
      <c r="AC50" s="2">
        <f>COUNTIFS('BA History'!$B:$B,$A$50,'BA History'!Y:Y, 1)</f>
        <v>6</v>
      </c>
      <c r="AD50" s="2">
        <f>COUNTIFS('BA History'!$B:$B,$A$50,'BA History'!Z:Z, 1)</f>
        <v>4</v>
      </c>
      <c r="AE50" s="2">
        <f>COUNTIFS('BA History'!$B:$B,$A$50,'BA History'!AA:AA, 1)</f>
        <v>0</v>
      </c>
      <c r="AF50" s="2">
        <f>COUNTIFS('BA History'!$B:$B,$A$50,'BA History'!AB:AB, 1)</f>
        <v>7</v>
      </c>
      <c r="AG50" s="2">
        <f>COUNTIFS('BA History'!$B:$B,$A$50,'BA History'!AC:AC, 1)</f>
        <v>6</v>
      </c>
      <c r="AH50" s="2">
        <f>COUNTIFS('BA History'!$B:$B,$A$50,'BA History'!AD:AD, 1)</f>
        <v>2</v>
      </c>
      <c r="AI50" s="2">
        <f>COUNTIFS('BA History'!$B:$B,$A$50,'BA History'!AE:AE, 1)</f>
        <v>0</v>
      </c>
      <c r="AJ50" s="2">
        <f>COUNTIFS('BA History'!$B:$B,$A$50,'BA History'!AF:AF, 1)</f>
        <v>1</v>
      </c>
    </row>
    <row r="51" spans="1:36" x14ac:dyDescent="0.25">
      <c r="A51" s="2" t="s">
        <v>14</v>
      </c>
      <c r="B51" s="2" t="s">
        <v>79</v>
      </c>
      <c r="C51" s="34">
        <f>SUMIFS('BA History'!C:C,'BA History'!B:B,A51)</f>
        <v>307</v>
      </c>
      <c r="D51" s="66">
        <f>AVERAGEIFS('BA History'!C:C,'BA History'!B:B,A51)</f>
        <v>17.055555555555557</v>
      </c>
      <c r="E51" s="35">
        <f t="array" ref="E51">MAX(IF('BA History'!B:B=A51, 'BA History'!C:C))</f>
        <v>30</v>
      </c>
      <c r="F51" s="34">
        <f>COUNTIFS('BA History'!B:B,A51,'BA History'!D:D, 1)</f>
        <v>8</v>
      </c>
      <c r="G51" s="2">
        <f>COUNTIFS('BA History'!B:B,A51,'BA History'!D:D, 0)</f>
        <v>10</v>
      </c>
      <c r="H51" s="75">
        <f>LOOKUP(2, 1/('BA History'!$B:$B=A51), 'BA History'!$AJ:$AJ)</f>
        <v>0.44444444444444442</v>
      </c>
      <c r="I51" s="34">
        <f>SUMIFS('BA History'!F:F,'BA History'!B:B,A51)</f>
        <v>35</v>
      </c>
      <c r="J51" s="2">
        <f>SUMIFS('BA History'!E:E,'BA History'!B:B,A51)-I51</f>
        <v>40</v>
      </c>
      <c r="K51" s="75">
        <f>LOOKUP(2, 1/('BA History'!$B:$B=A51), 'BA History'!$AH:$AH)</f>
        <v>0.47333333333333333</v>
      </c>
      <c r="L51" s="34">
        <f>SUMIFS('BA History'!H:H,'BA History'!B:B,A51)</f>
        <v>157</v>
      </c>
      <c r="M51" s="2">
        <f>SUMIFS('BA History'!G:G,'BA History'!B:B,A51)-L51</f>
        <v>155</v>
      </c>
      <c r="N51" s="89">
        <f>LOOKUP(2, 1/('BA History'!$B:$B=A51), 'BA History'!$AI:$AI)</f>
        <v>0.51166666666666671</v>
      </c>
      <c r="O51" s="2">
        <f>COUNTIFS('BA History'!$B:$B,$A$51,'BA History'!K:K, 1)</f>
        <v>1</v>
      </c>
      <c r="P51" s="2">
        <f>COUNTIFS('BA History'!$B:$B,$A$51,'BA History'!L:L, 1)</f>
        <v>2</v>
      </c>
      <c r="Q51" s="2">
        <f>COUNTIFS('BA History'!$B:$B,$A$51,'BA History'!M:M, 1)</f>
        <v>0</v>
      </c>
      <c r="R51" s="2">
        <f>COUNTIFS('BA History'!$B:$B,$A$51,'BA History'!N:N, 1)</f>
        <v>1</v>
      </c>
      <c r="S51" s="2">
        <f>COUNTIFS('BA History'!$B:$B,$A$51,'BA History'!O:O, 1)</f>
        <v>0</v>
      </c>
      <c r="T51" s="2">
        <f>COUNTIFS('BA History'!$B:$B,$A$51,'BA History'!P:P, 1)</f>
        <v>0</v>
      </c>
      <c r="U51" s="2">
        <f>COUNTIFS('BA History'!$B:$B,$A$51,'BA History'!Q:Q, 1)</f>
        <v>3</v>
      </c>
      <c r="V51" s="2">
        <f>COUNTIFS('BA History'!$B:$B,$A$51,'BA History'!R:R, 1)</f>
        <v>1</v>
      </c>
      <c r="W51" s="2">
        <f>COUNTIFS('BA History'!$B:$B,$A$51,'BA History'!S:S, 1)</f>
        <v>0</v>
      </c>
      <c r="X51" s="2">
        <f>COUNTIFS('BA History'!$B:$B,$A$51,'BA History'!T:T, 1)</f>
        <v>1</v>
      </c>
      <c r="Y51" s="2">
        <f>COUNTIFS('BA History'!$B:$B,$A$51,'BA History'!U:U, 1)</f>
        <v>1</v>
      </c>
      <c r="Z51" s="2">
        <f>COUNTIFS('BA History'!$B:$B,$A$51,'BA History'!V:V, 1)</f>
        <v>1</v>
      </c>
      <c r="AA51" s="2">
        <f>COUNTIFS('BA History'!$B:$B,$A$51,'BA History'!W:W, 1)</f>
        <v>2</v>
      </c>
      <c r="AB51" s="2">
        <f>COUNTIFS('BA History'!$B:$B,$A$51,'BA History'!X:X, 1)</f>
        <v>1</v>
      </c>
      <c r="AC51" s="2">
        <f>COUNTIFS('BA History'!$B:$B,$A$51,'BA History'!Y:Y, 1)</f>
        <v>4</v>
      </c>
      <c r="AD51" s="2">
        <f>COUNTIFS('BA History'!$B:$B,$A$51,'BA History'!Z:Z, 1)</f>
        <v>6</v>
      </c>
      <c r="AE51" s="2">
        <f>COUNTIFS('BA History'!$B:$B,$A$51,'BA History'!AA:AA, 1)</f>
        <v>1</v>
      </c>
      <c r="AF51" s="2">
        <f>COUNTIFS('BA History'!$B:$B,$A$51,'BA History'!AB:AB, 1)</f>
        <v>7</v>
      </c>
      <c r="AG51" s="2">
        <f>COUNTIFS('BA History'!$B:$B,$A$51,'BA History'!AC:AC, 1)</f>
        <v>3</v>
      </c>
      <c r="AH51" s="2">
        <f>COUNTIFS('BA History'!$B:$B,$A$51,'BA History'!AD:AD, 1)</f>
        <v>0</v>
      </c>
      <c r="AI51" s="2">
        <f>COUNTIFS('BA History'!$B:$B,$A$51,'BA History'!AE:AE, 1)</f>
        <v>0</v>
      </c>
      <c r="AJ51" s="2">
        <f>COUNTIFS('BA History'!$B:$B,$A$51,'BA History'!AF:AF, 1)</f>
        <v>0</v>
      </c>
    </row>
    <row r="52" spans="1:36" x14ac:dyDescent="0.25">
      <c r="A52" s="2" t="s">
        <v>70</v>
      </c>
      <c r="B52" s="2" t="s">
        <v>79</v>
      </c>
      <c r="C52" s="34">
        <f>SUMIFS('BA History'!C:C,'BA History'!B:B,A52)</f>
        <v>73</v>
      </c>
      <c r="D52" s="66">
        <f>AVERAGEIFS('BA History'!C:C,'BA History'!B:B,A52)</f>
        <v>12.166666666666666</v>
      </c>
      <c r="E52" s="35">
        <f t="array" ref="E52">MAX(IF('BA History'!B:B=A52, 'BA History'!C:C))</f>
        <v>19</v>
      </c>
      <c r="F52" s="34">
        <f>COUNTIFS('BA History'!B:B,A52,'BA History'!D:D, 1)</f>
        <v>5</v>
      </c>
      <c r="G52" s="2">
        <f>COUNTIFS('BA History'!B:B,A52,'BA History'!D:D, 0)</f>
        <v>1</v>
      </c>
      <c r="H52" s="75">
        <f>LOOKUP(2, 1/('BA History'!$B:$B=A52), 'BA History'!$AJ:$AJ)</f>
        <v>0.83333333333333337</v>
      </c>
      <c r="I52" s="34">
        <f>SUMIFS('BA History'!F:F,'BA History'!B:B,A52)</f>
        <v>15</v>
      </c>
      <c r="J52" s="2">
        <f>SUMIFS('BA History'!E:E,'BA History'!B:B,A52)-I52</f>
        <v>10</v>
      </c>
      <c r="K52" s="75">
        <f>LOOKUP(2, 1/('BA History'!$B:$B=A52), 'BA History'!$AH:$AH)</f>
        <v>0.59166666666666667</v>
      </c>
      <c r="L52" s="34">
        <f>SUMIFS('BA History'!H:H,'BA History'!B:B,A52)</f>
        <v>56</v>
      </c>
      <c r="M52" s="2">
        <f>SUMIFS('BA History'!G:G,'BA History'!B:B,A52)-L52</f>
        <v>49</v>
      </c>
      <c r="N52" s="89">
        <f>LOOKUP(2, 1/('BA History'!$B:$B=A52), 'BA History'!$AI:$AI)</f>
        <v>0.53500000000000003</v>
      </c>
      <c r="O52" s="2">
        <f>COUNTIFS('BA History'!$B:$B,$A$52,'BA History'!K:K, 1)</f>
        <v>1</v>
      </c>
      <c r="P52" s="2">
        <f>COUNTIFS('BA History'!$B:$B,$A$52,'BA History'!L:L, 1)</f>
        <v>1</v>
      </c>
      <c r="Q52" s="2">
        <f>COUNTIFS('BA History'!$B:$B,$A$52,'BA History'!M:M, 1)</f>
        <v>2</v>
      </c>
      <c r="R52" s="2">
        <f>COUNTIFS('BA History'!$B:$B,$A$52,'BA History'!N:N, 1)</f>
        <v>2</v>
      </c>
      <c r="S52" s="2">
        <f>COUNTIFS('BA History'!$B:$B,$A$52,'BA History'!O:O, 1)</f>
        <v>0</v>
      </c>
      <c r="T52" s="2">
        <f>COUNTIFS('BA History'!$B:$B,$A$52,'BA History'!P:P, 1)</f>
        <v>0</v>
      </c>
      <c r="U52" s="2">
        <f>COUNTIFS('BA History'!$B:$B,$A$52,'BA History'!Q:Q, 1)</f>
        <v>0</v>
      </c>
      <c r="V52" s="2">
        <f>COUNTIFS('BA History'!$B:$B,$A$52,'BA History'!R:R, 1)</f>
        <v>1</v>
      </c>
      <c r="W52" s="2">
        <f>COUNTIFS('BA History'!$B:$B,$A$52,'BA History'!S:S, 1)</f>
        <v>0</v>
      </c>
      <c r="X52" s="2">
        <f>COUNTIFS('BA History'!$B:$B,$A$52,'BA History'!T:T, 1)</f>
        <v>0</v>
      </c>
      <c r="Y52" s="2">
        <f>COUNTIFS('BA History'!$B:$B,$A$52,'BA History'!U:U, 1)</f>
        <v>0</v>
      </c>
      <c r="Z52" s="2">
        <f>COUNTIFS('BA History'!$B:$B,$A$52,'BA History'!V:V, 1)</f>
        <v>1</v>
      </c>
      <c r="AA52" s="2">
        <f>COUNTIFS('BA History'!$B:$B,$A$52,'BA History'!W:W, 1)</f>
        <v>1</v>
      </c>
      <c r="AB52" s="2">
        <f>COUNTIFS('BA History'!$B:$B,$A$52,'BA History'!X:X, 1)</f>
        <v>0</v>
      </c>
      <c r="AC52" s="2">
        <f>COUNTIFS('BA History'!$B:$B,$A$52,'BA History'!Y:Y, 1)</f>
        <v>1</v>
      </c>
      <c r="AD52" s="2">
        <f>COUNTIFS('BA History'!$B:$B,$A$52,'BA History'!Z:Z, 1)</f>
        <v>0</v>
      </c>
      <c r="AE52" s="2">
        <f>COUNTIFS('BA History'!$B:$B,$A$52,'BA History'!AA:AA, 1)</f>
        <v>0</v>
      </c>
      <c r="AF52" s="2">
        <f>COUNTIFS('BA History'!$B:$B,$A$52,'BA History'!AB:AB, 1)</f>
        <v>0</v>
      </c>
      <c r="AG52" s="2">
        <f>COUNTIFS('BA History'!$B:$B,$A$52,'BA History'!AC:AC, 1)</f>
        <v>0</v>
      </c>
      <c r="AH52" s="2">
        <f>COUNTIFS('BA History'!$B:$B,$A$52,'BA History'!AD:AD, 1)</f>
        <v>3</v>
      </c>
      <c r="AI52" s="2">
        <f>COUNTIFS('BA History'!$B:$B,$A$52,'BA History'!AE:AE, 1)</f>
        <v>0</v>
      </c>
      <c r="AJ52" s="2">
        <f>COUNTIFS('BA History'!$B:$B,$A$52,'BA History'!AF:AF, 1)</f>
        <v>2</v>
      </c>
    </row>
    <row r="53" spans="1:36" x14ac:dyDescent="0.25">
      <c r="A53" s="2" t="s">
        <v>4</v>
      </c>
      <c r="B53" s="1" t="s">
        <v>162</v>
      </c>
      <c r="C53" s="34">
        <f>SUMIFS('BA History'!C:C,'BA History'!B:B,A53)</f>
        <v>652</v>
      </c>
      <c r="D53" s="66">
        <f>AVERAGEIFS('BA History'!C:C,'BA History'!B:B,A53)</f>
        <v>24.148148148148149</v>
      </c>
      <c r="E53" s="35">
        <f t="array" ref="E53">MAX(IF('BA History'!B:B=A53, 'BA History'!C:C))</f>
        <v>41</v>
      </c>
      <c r="F53" s="34">
        <f>COUNTIFS('BA History'!B:B,A53,'BA History'!D:D, 1)</f>
        <v>9</v>
      </c>
      <c r="G53" s="2">
        <f>COUNTIFS('BA History'!B:B,A53,'BA History'!D:D, 0)</f>
        <v>18</v>
      </c>
      <c r="H53" s="75">
        <f>LOOKUP(2, 1/('BA History'!$B:$B=A53), 'BA History'!$AJ:$AJ)</f>
        <v>0.33333333333333331</v>
      </c>
      <c r="I53" s="34">
        <f>SUMIFS('BA History'!F:F,'BA History'!B:B,A53)</f>
        <v>48</v>
      </c>
      <c r="J53" s="2">
        <f>SUMIFS('BA History'!E:E,'BA History'!B:B,A53)-I53</f>
        <v>63</v>
      </c>
      <c r="K53" s="75">
        <f>LOOKUP(2, 1/('BA History'!$B:$B=A53), 'BA History'!$AH:$AH)</f>
        <v>0.43333333333333329</v>
      </c>
      <c r="L53" s="34">
        <f>SUMIFS('BA History'!H:H,'BA History'!B:B,A53)</f>
        <v>212</v>
      </c>
      <c r="M53" s="2">
        <f>SUMIFS('BA History'!G:G,'BA History'!B:B,A53)-L53</f>
        <v>245</v>
      </c>
      <c r="N53" s="89">
        <f>LOOKUP(2, 1/('BA History'!$B:$B=A53), 'BA History'!$AI:$AI)</f>
        <v>0.45814814814814814</v>
      </c>
      <c r="O53" s="2">
        <f>COUNTIFS('BA History'!$B:$B,$A$53,'BA History'!K:K, 1)</f>
        <v>2</v>
      </c>
      <c r="P53" s="2">
        <f>COUNTIFS('BA History'!$B:$B,$A$53,'BA History'!L:L, 1)</f>
        <v>6</v>
      </c>
      <c r="Q53" s="2">
        <f>COUNTIFS('BA History'!$B:$B,$A$53,'BA History'!M:M, 1)</f>
        <v>4</v>
      </c>
      <c r="R53" s="2">
        <f>COUNTIFS('BA History'!$B:$B,$A$53,'BA History'!N:N, 1)</f>
        <v>7</v>
      </c>
      <c r="S53" s="2">
        <f>COUNTIFS('BA History'!$B:$B,$A$53,'BA History'!O:O, 1)</f>
        <v>1</v>
      </c>
      <c r="T53" s="2">
        <f>COUNTIFS('BA History'!$B:$B,$A$53,'BA History'!P:P, 1)</f>
        <v>0</v>
      </c>
      <c r="U53" s="2">
        <f>COUNTIFS('BA History'!$B:$B,$A$53,'BA History'!Q:Q, 1)</f>
        <v>1</v>
      </c>
      <c r="V53" s="2">
        <f>COUNTIFS('BA History'!$B:$B,$A$53,'BA History'!R:R, 1)</f>
        <v>0</v>
      </c>
      <c r="W53" s="2">
        <f>COUNTIFS('BA History'!$B:$B,$A$53,'BA History'!S:S, 1)</f>
        <v>0</v>
      </c>
      <c r="X53" s="2">
        <f>COUNTIFS('BA History'!$B:$B,$A$53,'BA History'!T:T, 1)</f>
        <v>0</v>
      </c>
      <c r="Y53" s="2">
        <f>COUNTIFS('BA History'!$B:$B,$A$53,'BA History'!U:U, 1)</f>
        <v>2</v>
      </c>
      <c r="Z53" s="2">
        <f>COUNTIFS('BA History'!$B:$B,$A$53,'BA History'!V:V, 1)</f>
        <v>1</v>
      </c>
      <c r="AA53" s="2">
        <f>COUNTIFS('BA History'!$B:$B,$A$53,'BA History'!W:W, 1)</f>
        <v>0</v>
      </c>
      <c r="AB53" s="2">
        <f>COUNTIFS('BA History'!$B:$B,$A$53,'BA History'!X:X, 1)</f>
        <v>0</v>
      </c>
      <c r="AC53" s="2">
        <f>COUNTIFS('BA History'!$B:$B,$A$53,'BA History'!Y:Y, 1)</f>
        <v>7</v>
      </c>
      <c r="AD53" s="2">
        <f>COUNTIFS('BA History'!$B:$B,$A$53,'BA History'!Z:Z, 1)</f>
        <v>2</v>
      </c>
      <c r="AE53" s="2">
        <f>COUNTIFS('BA History'!$B:$B,$A$53,'BA History'!AA:AA, 1)</f>
        <v>0</v>
      </c>
      <c r="AF53" s="2">
        <f>COUNTIFS('BA History'!$B:$B,$A$53,'BA History'!AB:AB, 1)</f>
        <v>4</v>
      </c>
      <c r="AG53" s="2">
        <f>COUNTIFS('BA History'!$B:$B,$A$53,'BA History'!AC:AC, 1)</f>
        <v>6</v>
      </c>
      <c r="AH53" s="2">
        <f>COUNTIFS('BA History'!$B:$B,$A$53,'BA History'!AD:AD, 1)</f>
        <v>4</v>
      </c>
      <c r="AI53" s="2">
        <f>COUNTIFS('BA History'!$B:$B,$A$53,'BA History'!AE:AE, 1)</f>
        <v>0</v>
      </c>
      <c r="AJ53" s="2">
        <f>COUNTIFS('BA History'!$B:$B,$A$53,'BA History'!AF:AF, 1)</f>
        <v>1</v>
      </c>
    </row>
    <row r="54" spans="1:36" x14ac:dyDescent="0.25">
      <c r="A54" s="1" t="s">
        <v>107</v>
      </c>
      <c r="B54" s="2" t="s">
        <v>79</v>
      </c>
      <c r="C54" s="34">
        <f>SUMIFS('BA History'!C:C,'BA History'!B:B,A54)</f>
        <v>537</v>
      </c>
      <c r="D54" s="66">
        <f>AVERAGEIFS('BA History'!C:C,'BA History'!B:B,A54)</f>
        <v>16.272727272727273</v>
      </c>
      <c r="E54" s="35">
        <f t="array" ref="E54">MAX(IF('BA History'!B:B=A54, 'BA History'!C:C))</f>
        <v>35</v>
      </c>
      <c r="F54" s="34">
        <f>COUNTIFS('BA History'!B:B,A54,'BA History'!D:D, 1)</f>
        <v>18</v>
      </c>
      <c r="G54" s="2">
        <f>COUNTIFS('BA History'!B:B,A54,'BA History'!D:D, 0)</f>
        <v>15</v>
      </c>
      <c r="H54" s="75">
        <f>LOOKUP(2, 1/('BA History'!$B:$B=A54), 'BA History'!$AJ:$AJ)</f>
        <v>0.54545454545454541</v>
      </c>
      <c r="I54" s="34">
        <f>SUMIFS('BA History'!F:F,'BA History'!B:B,A54)</f>
        <v>69</v>
      </c>
      <c r="J54" s="2">
        <f>SUMIFS('BA History'!E:E,'BA History'!B:B,A54)-I54</f>
        <v>64</v>
      </c>
      <c r="K54" s="75">
        <f>LOOKUP(2, 1/('BA History'!$B:$B=A54), 'BA History'!$AH:$AH)</f>
        <v>0.51212121212121209</v>
      </c>
      <c r="L54" s="34">
        <f>SUMIFS('BA History'!H:H,'BA History'!B:B,A54)</f>
        <v>285</v>
      </c>
      <c r="M54" s="2">
        <f>SUMIFS('BA History'!G:G,'BA History'!B:B,A54)-L54</f>
        <v>266</v>
      </c>
      <c r="N54" s="89">
        <f>LOOKUP(2, 1/('BA History'!$B:$B=A54), 'BA History'!$AI:$AI)</f>
        <v>0.50939393939393951</v>
      </c>
      <c r="O54" s="2">
        <f>COUNTIFS('BA History'!$B:$B,$A$54,'BA History'!K:K, 1)</f>
        <v>4</v>
      </c>
      <c r="P54" s="2">
        <f>COUNTIFS('BA History'!$B:$B,$A$54,'BA History'!L:L, 1)</f>
        <v>2</v>
      </c>
      <c r="Q54" s="2">
        <f>COUNTIFS('BA History'!$B:$B,$A$54,'BA History'!M:M, 1)</f>
        <v>8</v>
      </c>
      <c r="R54" s="2">
        <f>COUNTIFS('BA History'!$B:$B,$A$54,'BA History'!N:N, 1)</f>
        <v>10</v>
      </c>
      <c r="S54" s="2">
        <f>COUNTIFS('BA History'!$B:$B,$A$54,'BA History'!O:O, 1)</f>
        <v>2</v>
      </c>
      <c r="T54" s="2">
        <f>COUNTIFS('BA History'!$B:$B,$A$54,'BA History'!P:P, 1)</f>
        <v>1</v>
      </c>
      <c r="U54" s="2">
        <f>COUNTIFS('BA History'!$B:$B,$A$54,'BA History'!Q:Q, 1)</f>
        <v>2</v>
      </c>
      <c r="V54" s="2">
        <f>COUNTIFS('BA History'!$B:$B,$A$54,'BA History'!R:R, 1)</f>
        <v>1</v>
      </c>
      <c r="W54" s="2">
        <f>COUNTIFS('BA History'!$B:$B,$A$54,'BA History'!S:S, 1)</f>
        <v>1</v>
      </c>
      <c r="X54" s="2">
        <f>COUNTIFS('BA History'!$B:$B,$A$54,'BA History'!T:T, 1)</f>
        <v>0</v>
      </c>
      <c r="Y54" s="2">
        <f>COUNTIFS('BA History'!$B:$B,$A$54,'BA History'!U:U, 1)</f>
        <v>0</v>
      </c>
      <c r="Z54" s="2">
        <f>COUNTIFS('BA History'!$B:$B,$A$54,'BA History'!V:V, 1)</f>
        <v>2</v>
      </c>
      <c r="AA54" s="2">
        <f>COUNTIFS('BA History'!$B:$B,$A$54,'BA History'!W:W, 1)</f>
        <v>2</v>
      </c>
      <c r="AB54" s="2">
        <f>COUNTIFS('BA History'!$B:$B,$A$54,'BA History'!X:X, 1)</f>
        <v>0</v>
      </c>
      <c r="AC54" s="2">
        <f>COUNTIFS('BA History'!$B:$B,$A$54,'BA History'!Y:Y, 1)</f>
        <v>6</v>
      </c>
      <c r="AD54" s="2">
        <f>COUNTIFS('BA History'!$B:$B,$A$54,'BA History'!Z:Z, 1)</f>
        <v>7</v>
      </c>
      <c r="AE54" s="2">
        <f>COUNTIFS('BA History'!$B:$B,$A$54,'BA History'!AA:AA, 1)</f>
        <v>1</v>
      </c>
      <c r="AF54" s="2">
        <f>COUNTIFS('BA History'!$B:$B,$A$54,'BA History'!AB:AB, 1)</f>
        <v>5</v>
      </c>
      <c r="AG54" s="2">
        <f>COUNTIFS('BA History'!$B:$B,$A$54,'BA History'!AC:AC, 1)</f>
        <v>4</v>
      </c>
      <c r="AH54" s="2">
        <f>COUNTIFS('BA History'!$B:$B,$A$54,'BA History'!AD:AD, 1)</f>
        <v>7</v>
      </c>
      <c r="AI54" s="2">
        <f>COUNTIFS('BA History'!$B:$B,$A$54,'BA History'!AE:AE, 1)</f>
        <v>0</v>
      </c>
      <c r="AJ54" s="2">
        <f>COUNTIFS('BA History'!$B:$B,$A$54,'BA History'!AF:AF, 1)</f>
        <v>4</v>
      </c>
    </row>
    <row r="55" spans="1:36" x14ac:dyDescent="0.25">
      <c r="A55" s="2" t="s">
        <v>94</v>
      </c>
      <c r="B55" s="2" t="s">
        <v>79</v>
      </c>
      <c r="C55" s="34">
        <f>SUMIFS('BA History'!C:C,'BA History'!B:B,A55)</f>
        <v>18</v>
      </c>
      <c r="D55" s="66">
        <f>AVERAGEIFS('BA History'!C:C,'BA History'!B:B,A55)</f>
        <v>18</v>
      </c>
      <c r="E55" s="35">
        <f t="array" ref="E55">MAX(IF('BA History'!B:B=A55, 'BA History'!C:C))</f>
        <v>18</v>
      </c>
      <c r="F55" s="34">
        <f>COUNTIFS('BA History'!B:B,A55,'BA History'!D:D, 1)</f>
        <v>1</v>
      </c>
      <c r="G55" s="2">
        <f>COUNTIFS('BA History'!B:B,A55,'BA History'!D:D, 0)</f>
        <v>0</v>
      </c>
      <c r="H55" s="75">
        <f>LOOKUP(2, 1/('BA History'!$B:$B=A55), 'BA History'!$AJ:$AJ)</f>
        <v>1</v>
      </c>
      <c r="I55" s="34">
        <f>SUMIFS('BA History'!F:F,'BA History'!B:B,A55)</f>
        <v>3</v>
      </c>
      <c r="J55" s="2">
        <f>SUMIFS('BA History'!E:E,'BA History'!B:B,A55)-I55</f>
        <v>2</v>
      </c>
      <c r="K55" s="75">
        <f>LOOKUP(2, 1/('BA History'!$B:$B=A55), 'BA History'!$AH:$AH)</f>
        <v>0.6</v>
      </c>
      <c r="L55" s="34">
        <f>SUMIFS('BA History'!H:H,'BA History'!B:B,A55)</f>
        <v>11</v>
      </c>
      <c r="M55" s="2">
        <f>SUMIFS('BA History'!G:G,'BA History'!B:B,A55)-L55</f>
        <v>10</v>
      </c>
      <c r="N55" s="89">
        <f>LOOKUP(2, 1/('BA History'!$B:$B=A55), 'BA History'!$AI:$AI)</f>
        <v>0.52</v>
      </c>
      <c r="O55" s="2">
        <f>COUNTIFS('BA History'!$B:$B,$A$55,'BA History'!K:K, 1)</f>
        <v>0</v>
      </c>
      <c r="P55" s="2">
        <f>COUNTIFS('BA History'!$B:$B,$A$55,'BA History'!L:L, 1)</f>
        <v>0</v>
      </c>
      <c r="Q55" s="2">
        <f>COUNTIFS('BA History'!$B:$B,$A$55,'BA History'!M:M, 1)</f>
        <v>0</v>
      </c>
      <c r="R55" s="2">
        <f>COUNTIFS('BA History'!$B:$B,$A$55,'BA History'!N:N, 1)</f>
        <v>0</v>
      </c>
      <c r="S55" s="2">
        <f>COUNTIFS('BA History'!$B:$B,$A$55,'BA History'!O:O, 1)</f>
        <v>0</v>
      </c>
      <c r="T55" s="2">
        <f>COUNTIFS('BA History'!$B:$B,$A$55,'BA History'!P:P, 1)</f>
        <v>0</v>
      </c>
      <c r="U55" s="2">
        <f>COUNTIFS('BA History'!$B:$B,$A$55,'BA History'!Q:Q, 1)</f>
        <v>0</v>
      </c>
      <c r="V55" s="2">
        <f>COUNTIFS('BA History'!$B:$B,$A$55,'BA History'!R:R, 1)</f>
        <v>0</v>
      </c>
      <c r="W55" s="2">
        <f>COUNTIFS('BA History'!$B:$B,$A$55,'BA History'!S:S, 1)</f>
        <v>0</v>
      </c>
      <c r="X55" s="2">
        <f>COUNTIFS('BA History'!$B:$B,$A$55,'BA History'!T:T, 1)</f>
        <v>0</v>
      </c>
      <c r="Y55" s="2">
        <f>COUNTIFS('BA History'!$B:$B,$A$55,'BA History'!U:U, 1)</f>
        <v>0</v>
      </c>
      <c r="Z55" s="2">
        <f>COUNTIFS('BA History'!$B:$B,$A$55,'BA History'!V:V, 1)</f>
        <v>0</v>
      </c>
      <c r="AA55" s="2">
        <f>COUNTIFS('BA History'!$B:$B,$A$55,'BA History'!W:W, 1)</f>
        <v>1</v>
      </c>
      <c r="AB55" s="2">
        <f>COUNTIFS('BA History'!$B:$B,$A$55,'BA History'!X:X, 1)</f>
        <v>1</v>
      </c>
      <c r="AC55" s="2">
        <f>COUNTIFS('BA History'!$B:$B,$A$55,'BA History'!Y:Y, 1)</f>
        <v>0</v>
      </c>
      <c r="AD55" s="2">
        <f>COUNTIFS('BA History'!$B:$B,$A$55,'BA History'!Z:Z, 1)</f>
        <v>1</v>
      </c>
      <c r="AE55" s="2">
        <f>COUNTIFS('BA History'!$B:$B,$A$55,'BA History'!AA:AA, 1)</f>
        <v>0</v>
      </c>
      <c r="AF55" s="2">
        <f>COUNTIFS('BA History'!$B:$B,$A$55,'BA History'!AB:AB, 1)</f>
        <v>0</v>
      </c>
      <c r="AG55" s="2">
        <f>COUNTIFS('BA History'!$B:$B,$A$55,'BA History'!AC:AC, 1)</f>
        <v>0</v>
      </c>
      <c r="AH55" s="2">
        <f>COUNTIFS('BA History'!$B:$B,$A$55,'BA History'!AD:AD, 1)</f>
        <v>0</v>
      </c>
      <c r="AI55" s="2">
        <f>COUNTIFS('BA History'!$B:$B,$A$55,'BA History'!AE:AE, 1)</f>
        <v>0</v>
      </c>
      <c r="AJ55" s="2">
        <f>COUNTIFS('BA History'!$B:$B,$A$55,'BA History'!AF:AF, 1)</f>
        <v>0</v>
      </c>
    </row>
    <row r="56" spans="1:36" ht="15.75" thickBot="1" x14ac:dyDescent="0.3">
      <c r="A56" s="2" t="s">
        <v>55</v>
      </c>
      <c r="B56" s="2" t="s">
        <v>79</v>
      </c>
      <c r="C56" s="34">
        <f>SUMIFS('BA History'!C:C,'BA History'!B:B,A56)</f>
        <v>2</v>
      </c>
      <c r="D56" s="66">
        <f>AVERAGEIFS('BA History'!C:C,'BA History'!B:B,A56)</f>
        <v>2</v>
      </c>
      <c r="E56" s="35">
        <f t="array" ref="E56">MAX(IF('BA History'!B:B=A56, 'BA History'!C:C))</f>
        <v>2</v>
      </c>
      <c r="F56" s="34">
        <f>COUNTIFS('BA History'!B:B,A56,'BA History'!D:D, 1)</f>
        <v>0</v>
      </c>
      <c r="G56" s="2">
        <f>COUNTIFS('BA History'!B:B,A56,'BA History'!D:D, 0)</f>
        <v>1</v>
      </c>
      <c r="H56" s="75">
        <f>LOOKUP(2, 1/('BA History'!$B:$B=A56), 'BA History'!$AJ:$AJ)</f>
        <v>0</v>
      </c>
      <c r="I56" s="34">
        <f>SUMIFS('BA History'!F:F,'BA History'!B:B,A56)</f>
        <v>0</v>
      </c>
      <c r="J56" s="2">
        <f>SUMIFS('BA History'!E:E,'BA History'!B:B,A56)-I56</f>
        <v>3</v>
      </c>
      <c r="K56" s="75">
        <f>LOOKUP(2, 1/('BA History'!$B:$B=A56), 'BA History'!$AH:$AH)</f>
        <v>0</v>
      </c>
      <c r="L56" s="34">
        <f>SUMIFS('BA History'!H:H,'BA History'!B:B,A56)</f>
        <v>4</v>
      </c>
      <c r="M56" s="48">
        <v>9</v>
      </c>
      <c r="N56" s="89">
        <f>LOOKUP(2, 1/('BA History'!$B:$B=A56), 'BA History'!$AI:$AI)</f>
        <v>0.31</v>
      </c>
      <c r="O56" s="2">
        <f>COUNTIFS('BA History'!$B:$B,$A$56,'BA History'!K:K, 1)</f>
        <v>0</v>
      </c>
      <c r="P56" s="2">
        <f>COUNTIFS('BA History'!$B:$B,$A$56,'BA History'!L:L, 1)</f>
        <v>0</v>
      </c>
      <c r="Q56" s="2">
        <f>COUNTIFS('BA History'!$B:$B,$A$56,'BA History'!M:M, 1)</f>
        <v>0</v>
      </c>
      <c r="R56" s="2">
        <f>COUNTIFS('BA History'!$B:$B,$A$56,'BA History'!N:N, 1)</f>
        <v>0</v>
      </c>
      <c r="S56" s="2">
        <f>COUNTIFS('BA History'!$B:$B,$A$56,'BA History'!O:O, 1)</f>
        <v>0</v>
      </c>
      <c r="T56" s="2">
        <f>COUNTIFS('BA History'!$B:$B,$A$56,'BA History'!P:P, 1)</f>
        <v>0</v>
      </c>
      <c r="U56" s="2">
        <f>COUNTIFS('BA History'!$B:$B,$A$56,'BA History'!Q:Q, 1)</f>
        <v>0</v>
      </c>
      <c r="V56" s="2">
        <f>COUNTIFS('BA History'!$B:$B,$A$56,'BA History'!R:R, 1)</f>
        <v>0</v>
      </c>
      <c r="W56" s="2">
        <f>COUNTIFS('BA History'!$B:$B,$A$56,'BA History'!S:S, 1)</f>
        <v>0</v>
      </c>
      <c r="X56" s="2">
        <f>COUNTIFS('BA History'!$B:$B,$A$56,'BA History'!T:T, 1)</f>
        <v>0</v>
      </c>
      <c r="Y56" s="2">
        <f>COUNTIFS('BA History'!$B:$B,$A$56,'BA History'!U:U, 1)</f>
        <v>0</v>
      </c>
      <c r="Z56" s="2">
        <f>COUNTIFS('BA History'!$B:$B,$A$56,'BA History'!V:V, 1)</f>
        <v>0</v>
      </c>
      <c r="AA56" s="2">
        <f>COUNTIFS('BA History'!$B:$B,$A$56,'BA History'!W:W, 1)</f>
        <v>0</v>
      </c>
      <c r="AB56" s="2">
        <f>COUNTIFS('BA History'!$B:$B,$A$56,'BA History'!X:X, 1)</f>
        <v>0</v>
      </c>
      <c r="AC56" s="2">
        <f>COUNTIFS('BA History'!$B:$B,$A$56,'BA History'!Y:Y, 1)</f>
        <v>0</v>
      </c>
      <c r="AD56" s="2">
        <f>COUNTIFS('BA History'!$B:$B,$A$56,'BA History'!Z:Z, 1)</f>
        <v>0</v>
      </c>
      <c r="AE56" s="2">
        <f>COUNTIFS('BA History'!$B:$B,$A$56,'BA History'!AA:AA, 1)</f>
        <v>0</v>
      </c>
      <c r="AF56" s="2">
        <f>COUNTIFS('BA History'!$B:$B,$A$56,'BA History'!AB:AB, 1)</f>
        <v>0</v>
      </c>
      <c r="AG56" s="2">
        <f>COUNTIFS('BA History'!$B:$B,$A$56,'BA History'!AC:AC, 1)</f>
        <v>0</v>
      </c>
      <c r="AH56" s="2">
        <f>COUNTIFS('BA History'!$B:$B,$A$56,'BA History'!AD:AD, 1)</f>
        <v>0</v>
      </c>
      <c r="AI56" s="2">
        <f>COUNTIFS('BA History'!$B:$B,$A$56,'BA History'!AE:AE, 1)</f>
        <v>0</v>
      </c>
      <c r="AJ56" s="2">
        <f>COUNTIFS('BA History'!$B:$B,$A$56,'BA History'!AF:AF, 1)</f>
        <v>0</v>
      </c>
    </row>
  </sheetData>
  <autoFilter ref="A1:AJ56" xr:uid="{DA548192-1F03-46EA-8AB8-115EB9A7CE5D}">
    <sortState xmlns:xlrd2="http://schemas.microsoft.com/office/spreadsheetml/2017/richdata2" ref="A2:AJ56">
      <sortCondition ref="A1:A56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803"/>
  <sheetViews>
    <sheetView workbookViewId="0">
      <pane xSplit="2" ySplit="1" topLeftCell="D755" activePane="bottomRight" state="frozen"/>
      <selection pane="topRight" activeCell="C1" sqref="C1"/>
      <selection pane="bottomLeft" activeCell="A2" sqref="A2"/>
      <selection pane="bottomRight" activeCell="AG791" sqref="AG791:AJ80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142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148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154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159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142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141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148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151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141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142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148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151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147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148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165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151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141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</sheetData>
  <autoFilter ref="A1:AJ750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J28"/>
  <sheetViews>
    <sheetView workbookViewId="0">
      <pane xSplit="1" ySplit="1" topLeftCell="F2" activePane="bottomRight" state="frozen"/>
      <selection pane="topRight" activeCell="B1" sqref="B1"/>
      <selection pane="bottomLeft" activeCell="A2" sqref="A2"/>
      <selection pane="bottomRight" activeCell="A2" sqref="A2:A28"/>
    </sheetView>
  </sheetViews>
  <sheetFormatPr defaultRowHeight="15" x14ac:dyDescent="0.25"/>
  <cols>
    <col min="1" max="1" width="13.140625" customWidth="1"/>
    <col min="2" max="2" width="11.5703125" style="1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0" t="s">
        <v>93</v>
      </c>
      <c r="P1" s="91" t="s">
        <v>41</v>
      </c>
      <c r="Q1" s="91" t="s">
        <v>69</v>
      </c>
      <c r="R1" s="92" t="s">
        <v>63</v>
      </c>
      <c r="S1" s="92" t="s">
        <v>116</v>
      </c>
      <c r="T1" s="91" t="s">
        <v>112</v>
      </c>
      <c r="U1" s="92" t="s">
        <v>32</v>
      </c>
      <c r="V1" s="91" t="s">
        <v>106</v>
      </c>
      <c r="W1" s="91" t="s">
        <v>145</v>
      </c>
      <c r="X1" s="92" t="s">
        <v>62</v>
      </c>
      <c r="Y1" s="91" t="s">
        <v>73</v>
      </c>
      <c r="Z1" s="91" t="s">
        <v>91</v>
      </c>
      <c r="AA1" s="92" t="s">
        <v>95</v>
      </c>
      <c r="AB1" s="91" t="s">
        <v>92</v>
      </c>
      <c r="AC1" s="92" t="s">
        <v>67</v>
      </c>
      <c r="AD1" s="92" t="s">
        <v>56</v>
      </c>
      <c r="AE1" s="91" t="s">
        <v>104</v>
      </c>
      <c r="AF1" s="91" t="s">
        <v>66</v>
      </c>
      <c r="AG1" s="91" t="s">
        <v>72</v>
      </c>
      <c r="AH1" s="92" t="s">
        <v>68</v>
      </c>
      <c r="AI1" s="92" t="s">
        <v>135</v>
      </c>
      <c r="AJ1" s="93" t="s">
        <v>96</v>
      </c>
    </row>
    <row r="2" spans="1:36" x14ac:dyDescent="0.25">
      <c r="A2" s="2" t="s">
        <v>141</v>
      </c>
      <c r="B2" s="3" t="s">
        <v>79</v>
      </c>
      <c r="C2" s="34">
        <f>SUMIFS('BA History S2'!C:C,'BA History S2'!B:B,A2)</f>
        <v>28</v>
      </c>
      <c r="D2" s="66">
        <f>AVERAGEIFS('BA History S2'!C:C,'BA History S2'!B:B,A2)</f>
        <v>9.3333333333333339</v>
      </c>
      <c r="E2" s="35">
        <f t="array" ref="E2">MAX(IF('BA History S2'!B:B=A2, 'BA History S2'!C:C))</f>
        <v>15</v>
      </c>
      <c r="F2" s="34">
        <f>COUNTIFS('BA History S2'!B:B,A2,'BA History S2'!D:D, 1)</f>
        <v>2</v>
      </c>
      <c r="G2" s="2">
        <f>COUNTIFS('BA History S2'!B:B,A2,'BA History S2'!D:D, 0)</f>
        <v>1</v>
      </c>
      <c r="H2" s="75">
        <f>LOOKUP(2, 1/('BA History S2'!$B:$B=A2), 'BA History S2'!$AJ:$AJ)</f>
        <v>0.66666666666666663</v>
      </c>
      <c r="I2" s="34">
        <f>SUMIFS('BA History S2'!F:F,'BA History S2'!B:B,A2)</f>
        <v>6</v>
      </c>
      <c r="J2" s="2">
        <f>SUMIFS('BA History S2'!E:E,'BA History S2'!B:B,A2)-I2</f>
        <v>4</v>
      </c>
      <c r="K2" s="75">
        <f>LOOKUP(2, 1/('BA History S2'!$B:$B=A2), 'BA History S2'!$AH:$AH)</f>
        <v>0.58333333333333337</v>
      </c>
      <c r="L2" s="34">
        <f>SUMIFS('BA History S2'!H:H,'BA History S2'!B:B,A2)</f>
        <v>24</v>
      </c>
      <c r="M2" s="2">
        <f>SUMIFS('BA History S2'!G:G,'BA History S2'!B:B,A2)-L2</f>
        <v>18</v>
      </c>
      <c r="N2" s="89">
        <f>LOOKUP(2, 1/('BA History S2'!$B:$B=A2), 'BA History S2'!$AI:$AI)</f>
        <v>0.57999999999999996</v>
      </c>
      <c r="O2" s="2">
        <f>COUNTIFS('BA History S2'!$B:$B,$A$2,'BA History S2'!K:K, 1)</f>
        <v>0</v>
      </c>
      <c r="P2" s="2">
        <f>COUNTIFS('BA History S2'!$B:$B,$A$2,'BA History S2'!L:L, 1)</f>
        <v>1</v>
      </c>
      <c r="Q2" s="2">
        <f>COUNTIFS('BA History S2'!$B:$B,$A$2,'BA History S2'!M:M, 1)</f>
        <v>1</v>
      </c>
      <c r="R2" s="2">
        <f>COUNTIFS('BA History S2'!$B:$B,$A$2,'BA History S2'!N:N, 1)</f>
        <v>1</v>
      </c>
      <c r="S2" s="2">
        <f>COUNTIFS('BA History S2'!$B:$B,$A$2,'BA History S2'!O:O, 1)</f>
        <v>0</v>
      </c>
      <c r="T2" s="2">
        <f>COUNTIFS('BA History S2'!$B:$B,$A$2,'BA History S2'!P:P, 1)</f>
        <v>0</v>
      </c>
      <c r="U2" s="2">
        <f>COUNTIFS('BA History S2'!$B:$B,$A$2,'BA History S2'!Q:Q, 1)</f>
        <v>0</v>
      </c>
      <c r="V2" s="2">
        <f>COUNTIFS('BA History S2'!$B:$B,$A$2,'BA History S2'!R:R, 1)</f>
        <v>0</v>
      </c>
      <c r="W2" s="2">
        <f>COUNTIFS('BA History S2'!$B:$B,$A$2,'BA History S2'!S:S, 1)</f>
        <v>0</v>
      </c>
      <c r="X2" s="2">
        <f>COUNTIFS('BA History S2'!$B:$B,$A$2,'BA History S2'!T:T, 1)</f>
        <v>0</v>
      </c>
      <c r="Y2" s="2">
        <f>COUNTIFS('BA History S2'!$B:$B,$A$2,'BA History S2'!U:U, 1)</f>
        <v>0</v>
      </c>
      <c r="Z2" s="2">
        <f>COUNTIFS('BA History S2'!$B:$B,$A$2,'BA History S2'!V:V, 1)</f>
        <v>0</v>
      </c>
      <c r="AA2" s="2">
        <f>COUNTIFS('BA History S2'!$B:$B,$A$2,'BA History S2'!W:W, 1)</f>
        <v>0</v>
      </c>
      <c r="AB2" s="2">
        <f>COUNTIFS('BA History S2'!$B:$B,$A$2,'BA History S2'!X:X, 1)</f>
        <v>0</v>
      </c>
      <c r="AC2" s="2">
        <f>COUNTIFS('BA History S2'!$B:$B,$A$2,'BA History S2'!Y:Y, 1)</f>
        <v>0</v>
      </c>
      <c r="AD2" s="2">
        <f>COUNTIFS('BA History S2'!$B:$B,$A$2,'BA History S2'!Z:Z, 1)</f>
        <v>1</v>
      </c>
      <c r="AE2" s="2">
        <f>COUNTIFS('BA History S2'!$B:$B,$A$2,'BA History S2'!AA:AA, 1)</f>
        <v>0</v>
      </c>
      <c r="AF2" s="2">
        <f>COUNTIFS('BA History S2'!$B:$B,$A$2,'BA History S2'!AB:AB, 1)</f>
        <v>1</v>
      </c>
      <c r="AG2" s="2">
        <f>COUNTIFS('BA History S2'!$B:$B,$A$2,'BA History S2'!AC:AC, 1)</f>
        <v>0</v>
      </c>
      <c r="AH2" s="2">
        <f>COUNTIFS('BA History S2'!$B:$B,$A$2,'BA History S2'!AD:AD, 1)</f>
        <v>1</v>
      </c>
      <c r="AI2" s="2">
        <f>COUNTIFS('BA History S2'!$B:$B,$A$2,'BA History S2'!AE:AE, 1)</f>
        <v>0</v>
      </c>
      <c r="AJ2" s="2">
        <f>COUNTIFS('BA History S2'!$B:$B,$A$2,'BA History S2'!AF:AF, 1)</f>
        <v>0</v>
      </c>
    </row>
    <row r="3" spans="1:36" x14ac:dyDescent="0.25">
      <c r="A3" s="2" t="s">
        <v>37</v>
      </c>
      <c r="B3" s="2" t="s">
        <v>79</v>
      </c>
      <c r="C3" s="34">
        <f>SUMIFS('BA History S2'!C:C,'BA History S2'!B:B,A3)</f>
        <v>14</v>
      </c>
      <c r="D3" s="66">
        <f>AVERAGEIFS('BA History S2'!C:C,'BA History S2'!B:B,A3)</f>
        <v>14</v>
      </c>
      <c r="E3" s="35">
        <f t="array" ref="E3">MAX(IF('BA History S2'!B:B=A3, 'BA History S2'!C:C))</f>
        <v>14</v>
      </c>
      <c r="F3" s="34">
        <f>COUNTIFS('BA History S2'!B:B,A3,'BA History S2'!D:D, 1)</f>
        <v>1</v>
      </c>
      <c r="G3" s="2">
        <f>COUNTIFS('BA History S2'!B:B,A3,'BA History S2'!D:D, 0)</f>
        <v>0</v>
      </c>
      <c r="H3" s="75">
        <f>LOOKUP(2, 1/('BA History S2'!$B:$B=A3), 'BA History S2'!$AJ:$AJ)</f>
        <v>1</v>
      </c>
      <c r="I3" s="34">
        <f>SUMIFS('BA History S2'!F:F,'BA History S2'!B:B,A3)</f>
        <v>3</v>
      </c>
      <c r="J3" s="2">
        <f>SUMIFS('BA History S2'!E:E,'BA History S2'!B:B,A3)-I3</f>
        <v>1</v>
      </c>
      <c r="K3" s="75">
        <f>LOOKUP(2, 1/('BA History S2'!$B:$B=A3), 'BA History S2'!$AH:$AH)</f>
        <v>0.75</v>
      </c>
      <c r="L3" s="34">
        <f>SUMIFS('BA History S2'!H:H,'BA History S2'!B:B,A3)</f>
        <v>10</v>
      </c>
      <c r="M3" s="2">
        <f>SUMIFS('BA History S2'!G:G,'BA History S2'!B:B,A3)-L3</f>
        <v>8</v>
      </c>
      <c r="N3" s="89">
        <f>LOOKUP(2, 1/('BA History S2'!$B:$B=A3), 'BA History S2'!$AI:$AI)</f>
        <v>0.56000000000000005</v>
      </c>
      <c r="O3" s="2">
        <f>COUNTIFS('BA History S2'!$B:$B,$A$3,'BA History S2'!K:K, 1)</f>
        <v>0</v>
      </c>
      <c r="P3" s="2">
        <f>COUNTIFS('BA History S2'!$B:$B,$A$3,'BA History S2'!L:L, 1)</f>
        <v>0</v>
      </c>
      <c r="Q3" s="2">
        <f>COUNTIFS('BA History S2'!$B:$B,$A$3,'BA History S2'!M:M, 1)</f>
        <v>1</v>
      </c>
      <c r="R3" s="2">
        <f>COUNTIFS('BA History S2'!$B:$B,$A$3,'BA History S2'!N:N, 1)</f>
        <v>0</v>
      </c>
      <c r="S3" s="2">
        <f>COUNTIFS('BA History S2'!$B:$B,$A$3,'BA History S2'!O:O, 1)</f>
        <v>0</v>
      </c>
      <c r="T3" s="2">
        <f>COUNTIFS('BA History S2'!$B:$B,$A$3,'BA History S2'!P:P, 1)</f>
        <v>0</v>
      </c>
      <c r="U3" s="2">
        <f>COUNTIFS('BA History S2'!$B:$B,$A$3,'BA History S2'!Q:Q, 1)</f>
        <v>1</v>
      </c>
      <c r="V3" s="2">
        <f>COUNTIFS('BA History S2'!$B:$B,$A$3,'BA History S2'!R:R, 1)</f>
        <v>0</v>
      </c>
      <c r="W3" s="2">
        <f>COUNTIFS('BA History S2'!$B:$B,$A$3,'BA History S2'!S:S, 1)</f>
        <v>0</v>
      </c>
      <c r="X3" s="2">
        <f>COUNTIFS('BA History S2'!$B:$B,$A$3,'BA History S2'!T:T, 1)</f>
        <v>0</v>
      </c>
      <c r="Y3" s="2">
        <f>COUNTIFS('BA History S2'!$B:$B,$A$3,'BA History S2'!U:U, 1)</f>
        <v>0</v>
      </c>
      <c r="Z3" s="2">
        <f>COUNTIFS('BA History S2'!$B:$B,$A$3,'BA History S2'!V:V, 1)</f>
        <v>0</v>
      </c>
      <c r="AA3" s="2">
        <f>COUNTIFS('BA History S2'!$B:$B,$A$3,'BA History S2'!W:W, 1)</f>
        <v>0</v>
      </c>
      <c r="AB3" s="2">
        <f>COUNTIFS('BA History S2'!$B:$B,$A$3,'BA History S2'!X:X, 1)</f>
        <v>0</v>
      </c>
      <c r="AC3" s="2">
        <f>COUNTIFS('BA History S2'!$B:$B,$A$3,'BA History S2'!Y:Y, 1)</f>
        <v>0</v>
      </c>
      <c r="AD3" s="2">
        <f>COUNTIFS('BA History S2'!$B:$B,$A$3,'BA History S2'!Z:Z, 1)</f>
        <v>1</v>
      </c>
      <c r="AE3" s="2">
        <f>COUNTIFS('BA History S2'!$B:$B,$A$3,'BA History S2'!AA:AA, 1)</f>
        <v>0</v>
      </c>
      <c r="AF3" s="2">
        <f>COUNTIFS('BA History S2'!$B:$B,$A$3,'BA History S2'!AB:AB, 1)</f>
        <v>0</v>
      </c>
      <c r="AG3" s="2">
        <f>COUNTIFS('BA History S2'!$B:$B,$A$3,'BA History S2'!AC:AC, 1)</f>
        <v>0</v>
      </c>
      <c r="AH3" s="2">
        <f>COUNTIFS('BA History S2'!$B:$B,$A$3,'BA History S2'!AD:AD, 1)</f>
        <v>0</v>
      </c>
      <c r="AI3" s="2">
        <f>COUNTIFS('BA History S2'!$B:$B,$A$3,'BA History S2'!AE:AE, 1)</f>
        <v>0</v>
      </c>
      <c r="AJ3" s="2">
        <f>COUNTIFS('BA History S2'!$B:$B,$A$3,'BA History S2'!AF:AF, 1)</f>
        <v>0</v>
      </c>
    </row>
    <row r="4" spans="1:36" x14ac:dyDescent="0.25">
      <c r="A4" s="2" t="s">
        <v>71</v>
      </c>
      <c r="B4" s="2" t="s">
        <v>79</v>
      </c>
      <c r="C4" s="34">
        <f>SUMIFS('BA History S2'!C:C,'BA History S2'!B:B,A4)</f>
        <v>57</v>
      </c>
      <c r="D4" s="66">
        <f>AVERAGEIFS('BA History S2'!C:C,'BA History S2'!B:B,A4)</f>
        <v>9.5</v>
      </c>
      <c r="E4" s="35">
        <f t="array" ref="E4">MAX(IF('BA History S2'!B:B=A4, 'BA History S2'!C:C))</f>
        <v>17</v>
      </c>
      <c r="F4" s="34">
        <f>COUNTIFS('BA History S2'!B:B,A4,'BA History S2'!D:D, 1)</f>
        <v>1</v>
      </c>
      <c r="G4" s="2">
        <f>COUNTIFS('BA History S2'!B:B,A4,'BA History S2'!D:D, 0)</f>
        <v>5</v>
      </c>
      <c r="H4" s="75">
        <f>LOOKUP(2, 1/('BA History S2'!$B:$B=A4), 'BA History S2'!$AJ:$AJ)</f>
        <v>0.16666666666666666</v>
      </c>
      <c r="I4" s="34">
        <f>SUMIFS('BA History S2'!F:F,'BA History S2'!B:B,A4)</f>
        <v>9</v>
      </c>
      <c r="J4" s="2">
        <f>SUMIFS('BA History S2'!E:E,'BA History S2'!B:B,A4)-I4</f>
        <v>16</v>
      </c>
      <c r="K4" s="75">
        <f>LOOKUP(2, 1/('BA History S2'!$B:$B=A4), 'BA History S2'!$AH:$AH)</f>
        <v>0.34166666666666662</v>
      </c>
      <c r="L4" s="34">
        <f>SUMIFS('BA History S2'!H:H,'BA History S2'!B:B,A4)</f>
        <v>48</v>
      </c>
      <c r="M4" s="2">
        <f>SUMIFS('BA History S2'!G:G,'BA History S2'!B:B,A4)-L4</f>
        <v>61</v>
      </c>
      <c r="N4" s="89">
        <f>LOOKUP(2, 1/('BA History S2'!$B:$B=A4), 'BA History S2'!$AI:$AI)</f>
        <v>0.42</v>
      </c>
      <c r="O4" s="2">
        <f>COUNTIFS('BA History S2'!$B:$B,$A$4,'BA History S2'!K:K, 1)</f>
        <v>2</v>
      </c>
      <c r="P4" s="2">
        <f>COUNTIFS('BA History S2'!$B:$B,$A$4,'BA History S2'!L:L, 1)</f>
        <v>1</v>
      </c>
      <c r="Q4" s="2">
        <f>COUNTIFS('BA History S2'!$B:$B,$A$4,'BA History S2'!M:M, 1)</f>
        <v>0</v>
      </c>
      <c r="R4" s="2">
        <f>COUNTIFS('BA History S2'!$B:$B,$A$4,'BA History S2'!N:N, 1)</f>
        <v>0</v>
      </c>
      <c r="S4" s="2">
        <f>COUNTIFS('BA History S2'!$B:$B,$A$4,'BA History S2'!O:O, 1)</f>
        <v>0</v>
      </c>
      <c r="T4" s="2">
        <f>COUNTIFS('BA History S2'!$B:$B,$A$4,'BA History S2'!P:P, 1)</f>
        <v>0</v>
      </c>
      <c r="U4" s="2">
        <f>COUNTIFS('BA History S2'!$B:$B,$A$4,'BA History S2'!Q:Q, 1)</f>
        <v>0</v>
      </c>
      <c r="V4" s="2">
        <f>COUNTIFS('BA History S2'!$B:$B,$A$4,'BA History S2'!R:R, 1)</f>
        <v>0</v>
      </c>
      <c r="W4" s="2">
        <f>COUNTIFS('BA History S2'!$B:$B,$A$4,'BA History S2'!S:S, 1)</f>
        <v>0</v>
      </c>
      <c r="X4" s="2">
        <f>COUNTIFS('BA History S2'!$B:$B,$A$4,'BA History S2'!T:T, 1)</f>
        <v>0</v>
      </c>
      <c r="Y4" s="2">
        <f>COUNTIFS('BA History S2'!$B:$B,$A$4,'BA History S2'!U:U, 1)</f>
        <v>0</v>
      </c>
      <c r="Z4" s="2">
        <f>COUNTIFS('BA History S2'!$B:$B,$A$4,'BA History S2'!V:V, 1)</f>
        <v>0</v>
      </c>
      <c r="AA4" s="2">
        <f>COUNTIFS('BA History S2'!$B:$B,$A$4,'BA History S2'!W:W, 1)</f>
        <v>1</v>
      </c>
      <c r="AB4" s="2">
        <f>COUNTIFS('BA History S2'!$B:$B,$A$4,'BA History S2'!X:X, 1)</f>
        <v>0</v>
      </c>
      <c r="AC4" s="2">
        <f>COUNTIFS('BA History S2'!$B:$B,$A$4,'BA History S2'!Y:Y, 1)</f>
        <v>1</v>
      </c>
      <c r="AD4" s="2">
        <f>COUNTIFS('BA History S2'!$B:$B,$A$4,'BA History S2'!Z:Z, 1)</f>
        <v>0</v>
      </c>
      <c r="AE4" s="2">
        <f>COUNTIFS('BA History S2'!$B:$B,$A$4,'BA History S2'!AA:AA, 1)</f>
        <v>0</v>
      </c>
      <c r="AF4" s="2">
        <f>COUNTIFS('BA History S2'!$B:$B,$A$4,'BA History S2'!AB:AB, 1)</f>
        <v>1</v>
      </c>
      <c r="AG4" s="2">
        <f>COUNTIFS('BA History S2'!$B:$B,$A$4,'BA History S2'!AC:AC, 1)</f>
        <v>1</v>
      </c>
      <c r="AH4" s="2">
        <f>COUNTIFS('BA History S2'!$B:$B,$A$4,'BA History S2'!AD:AD, 1)</f>
        <v>1</v>
      </c>
      <c r="AI4" s="2">
        <f>COUNTIFS('BA History S2'!$B:$B,$A$4,'BA History S2'!AE:AE, 1)</f>
        <v>0</v>
      </c>
      <c r="AJ4" s="2">
        <f>COUNTIFS('BA History S2'!$B:$B,$A$4,'BA History S2'!AF:AF, 1)</f>
        <v>1</v>
      </c>
    </row>
    <row r="5" spans="1:36" x14ac:dyDescent="0.25">
      <c r="A5" s="2" t="s">
        <v>35</v>
      </c>
      <c r="B5" s="2" t="s">
        <v>79</v>
      </c>
      <c r="C5" s="34">
        <f>SUMIFS('BA History S2'!C:C,'BA History S2'!B:B,A5)</f>
        <v>3</v>
      </c>
      <c r="D5" s="66">
        <f>AVERAGEIFS('BA History S2'!C:C,'BA History S2'!B:B,A5)</f>
        <v>3</v>
      </c>
      <c r="E5" s="35">
        <f t="array" ref="E5">MAX(IF('BA History S2'!B:B=A5, 'BA History S2'!C:C))</f>
        <v>3</v>
      </c>
      <c r="F5" s="34">
        <f>COUNTIFS('BA History S2'!B:B,A5,'BA History S2'!D:D, 1)</f>
        <v>0</v>
      </c>
      <c r="G5" s="2">
        <f>COUNTIFS('BA History S2'!B:B,A5,'BA History S2'!D:D, 0)</f>
        <v>1</v>
      </c>
      <c r="H5" s="75">
        <f>LOOKUP(2, 1/('BA History S2'!$B:$B=A5), 'BA History S2'!$AJ:$AJ)</f>
        <v>0</v>
      </c>
      <c r="I5" s="34">
        <f>SUMIFS('BA History S2'!F:F,'BA History S2'!B:B,A5)</f>
        <v>1</v>
      </c>
      <c r="J5" s="2">
        <f>SUMIFS('BA History S2'!E:E,'BA History S2'!B:B,A5)-I5</f>
        <v>3</v>
      </c>
      <c r="K5" s="75">
        <f>LOOKUP(2, 1/('BA History S2'!$B:$B=A5), 'BA History S2'!$AH:$AH)</f>
        <v>0.25</v>
      </c>
      <c r="L5" s="34">
        <f>SUMIFS('BA History S2'!H:H,'BA History S2'!B:B,A5)</f>
        <v>7</v>
      </c>
      <c r="M5" s="2">
        <f>SUMIFS('BA History S2'!G:G,'BA History S2'!B:B,A5)-L5</f>
        <v>11</v>
      </c>
      <c r="N5" s="89">
        <f>LOOKUP(2, 1/('BA History S2'!$B:$B=A5), 'BA History S2'!$AI:$AI)</f>
        <v>0.39</v>
      </c>
      <c r="O5" s="2">
        <f>COUNTIFS('BA History S2'!$B:$B,$A$5,'BA History S2'!K:K, 1)</f>
        <v>0</v>
      </c>
      <c r="P5" s="2">
        <f>COUNTIFS('BA History S2'!$B:$B,$A$5,'BA History S2'!L:L, 1)</f>
        <v>0</v>
      </c>
      <c r="Q5" s="2">
        <f>COUNTIFS('BA History S2'!$B:$B,$A$5,'BA History S2'!M:M, 1)</f>
        <v>0</v>
      </c>
      <c r="R5" s="2">
        <f>COUNTIFS('BA History S2'!$B:$B,$A$5,'BA History S2'!N:N, 1)</f>
        <v>0</v>
      </c>
      <c r="S5" s="2">
        <f>COUNTIFS('BA History S2'!$B:$B,$A$5,'BA History S2'!O:O, 1)</f>
        <v>0</v>
      </c>
      <c r="T5" s="2">
        <f>COUNTIFS('BA History S2'!$B:$B,$A$5,'BA History S2'!P:P, 1)</f>
        <v>0</v>
      </c>
      <c r="U5" s="2">
        <f>COUNTIFS('BA History S2'!$B:$B,$A$5,'BA History S2'!Q:Q, 1)</f>
        <v>0</v>
      </c>
      <c r="V5" s="2">
        <f>COUNTIFS('BA History S2'!$B:$B,$A$5,'BA History S2'!R:R, 1)</f>
        <v>0</v>
      </c>
      <c r="W5" s="2">
        <f>COUNTIFS('BA History S2'!$B:$B,$A$5,'BA History S2'!S:S, 1)</f>
        <v>0</v>
      </c>
      <c r="X5" s="2">
        <f>COUNTIFS('BA History S2'!$B:$B,$A$5,'BA History S2'!T:T, 1)</f>
        <v>0</v>
      </c>
      <c r="Y5" s="2">
        <f>COUNTIFS('BA History S2'!$B:$B,$A$5,'BA History S2'!U:U, 1)</f>
        <v>0</v>
      </c>
      <c r="Z5" s="2">
        <f>COUNTIFS('BA History S2'!$B:$B,$A$5,'BA History S2'!V:V, 1)</f>
        <v>0</v>
      </c>
      <c r="AA5" s="2">
        <f>COUNTIFS('BA History S2'!$B:$B,$A$5,'BA History S2'!W:W, 1)</f>
        <v>1</v>
      </c>
      <c r="AB5" s="2">
        <f>COUNTIFS('BA History S2'!$B:$B,$A$5,'BA History S2'!X:X, 1)</f>
        <v>0</v>
      </c>
      <c r="AC5" s="2">
        <f>COUNTIFS('BA History S2'!$B:$B,$A$5,'BA History S2'!Y:Y, 1)</f>
        <v>0</v>
      </c>
      <c r="AD5" s="2">
        <f>COUNTIFS('BA History S2'!$B:$B,$A$5,'BA History S2'!Z:Z, 1)</f>
        <v>0</v>
      </c>
      <c r="AE5" s="2">
        <f>COUNTIFS('BA History S2'!$B:$B,$A$5,'BA History S2'!AA:AA, 1)</f>
        <v>0</v>
      </c>
      <c r="AF5" s="2">
        <f>COUNTIFS('BA History S2'!$B:$B,$A$5,'BA History S2'!AB:AB, 1)</f>
        <v>0</v>
      </c>
      <c r="AG5" s="2">
        <f>COUNTIFS('BA History S2'!$B:$B,$A$5,'BA History S2'!AC:AC, 1)</f>
        <v>0</v>
      </c>
      <c r="AH5" s="2">
        <f>COUNTIFS('BA History S2'!$B:$B,$A$5,'BA History S2'!AD:AD, 1)</f>
        <v>0</v>
      </c>
      <c r="AI5" s="2">
        <f>COUNTIFS('BA History S2'!$B:$B,$A$5,'BA History S2'!AE:AE, 1)</f>
        <v>0</v>
      </c>
      <c r="AJ5" s="2">
        <f>COUNTIFS('BA History S2'!$B:$B,$A$5,'BA History S2'!AF:AF, 1)</f>
        <v>0</v>
      </c>
    </row>
    <row r="6" spans="1:36" x14ac:dyDescent="0.25">
      <c r="A6" s="2" t="s">
        <v>42</v>
      </c>
      <c r="B6" s="2" t="s">
        <v>79</v>
      </c>
      <c r="C6" s="34">
        <f>SUMIFS('BA History S2'!C:C,'BA History S2'!B:B,A6)</f>
        <v>105</v>
      </c>
      <c r="D6" s="66">
        <f>AVERAGEIFS('BA History S2'!C:C,'BA History S2'!B:B,A6)</f>
        <v>21</v>
      </c>
      <c r="E6" s="35">
        <f t="array" ref="E6">MAX(IF('BA History S2'!B:B=A6, 'BA History S2'!C:C))</f>
        <v>40</v>
      </c>
      <c r="F6" s="34">
        <f>COUNTIFS('BA History S2'!B:B,A6,'BA History S2'!D:D, 1)</f>
        <v>1</v>
      </c>
      <c r="G6" s="2">
        <f>COUNTIFS('BA History S2'!B:B,A6,'BA History S2'!D:D, 0)</f>
        <v>4</v>
      </c>
      <c r="H6" s="75">
        <f>LOOKUP(2, 1/('BA History S2'!$B:$B=A6), 'BA History S2'!$AJ:$AJ)</f>
        <v>0.2</v>
      </c>
      <c r="I6" s="34">
        <f>SUMIFS('BA History S2'!F:F,'BA History S2'!B:B,A6)</f>
        <v>7</v>
      </c>
      <c r="J6" s="2">
        <f>SUMIFS('BA History S2'!E:E,'BA History S2'!B:B,A6)-I6</f>
        <v>14</v>
      </c>
      <c r="K6" s="75">
        <f>LOOKUP(2, 1/('BA History S2'!$B:$B=A6), 'BA History S2'!$AH:$AH)</f>
        <v>0.3</v>
      </c>
      <c r="L6" s="34">
        <f>SUMIFS('BA History S2'!H:H,'BA History S2'!B:B,A6)</f>
        <v>37</v>
      </c>
      <c r="M6" s="2">
        <f>SUMIFS('BA History S2'!G:G,'BA History S2'!B:B,A6)-L6</f>
        <v>54</v>
      </c>
      <c r="N6" s="89">
        <f>LOOKUP(2, 1/('BA History S2'!$B:$B=A6), 'BA History S2'!$AI:$AI)</f>
        <v>0.38200000000000001</v>
      </c>
      <c r="O6" s="2">
        <f>COUNTIFS('BA History S2'!$B:$B,$A$6,'BA History S2'!K:K, 1)</f>
        <v>1</v>
      </c>
      <c r="P6" s="2">
        <f>COUNTIFS('BA History S2'!$B:$B,$A$6,'BA History S2'!L:L, 1)</f>
        <v>0</v>
      </c>
      <c r="Q6" s="2">
        <f>COUNTIFS('BA History S2'!$B:$B,$A$6,'BA History S2'!M:M, 1)</f>
        <v>1</v>
      </c>
      <c r="R6" s="2">
        <f>COUNTIFS('BA History S2'!$B:$B,$A$6,'BA History S2'!N:N, 1)</f>
        <v>1</v>
      </c>
      <c r="S6" s="2">
        <f>COUNTIFS('BA History S2'!$B:$B,$A$6,'BA History S2'!O:O, 1)</f>
        <v>0</v>
      </c>
      <c r="T6" s="2">
        <f>COUNTIFS('BA History S2'!$B:$B,$A$6,'BA History S2'!P:P, 1)</f>
        <v>0</v>
      </c>
      <c r="U6" s="2">
        <f>COUNTIFS('BA History S2'!$B:$B,$A$6,'BA History S2'!Q:Q, 1)</f>
        <v>0</v>
      </c>
      <c r="V6" s="2">
        <f>COUNTIFS('BA History S2'!$B:$B,$A$6,'BA History S2'!R:R, 1)</f>
        <v>0</v>
      </c>
      <c r="W6" s="2">
        <f>COUNTIFS('BA History S2'!$B:$B,$A$6,'BA History S2'!S:S, 1)</f>
        <v>0</v>
      </c>
      <c r="X6" s="2">
        <f>COUNTIFS('BA History S2'!$B:$B,$A$6,'BA History S2'!T:T, 1)</f>
        <v>0</v>
      </c>
      <c r="Y6" s="2">
        <f>COUNTIFS('BA History S2'!$B:$B,$A$6,'BA History S2'!U:U, 1)</f>
        <v>0</v>
      </c>
      <c r="Z6" s="2">
        <f>COUNTIFS('BA History S2'!$B:$B,$A$6,'BA History S2'!V:V, 1)</f>
        <v>0</v>
      </c>
      <c r="AA6" s="2">
        <f>COUNTIFS('BA History S2'!$B:$B,$A$6,'BA History S2'!W:W, 1)</f>
        <v>0</v>
      </c>
      <c r="AB6" s="2">
        <f>COUNTIFS('BA History S2'!$B:$B,$A$6,'BA History S2'!X:X, 1)</f>
        <v>0</v>
      </c>
      <c r="AC6" s="2">
        <f>COUNTIFS('BA History S2'!$B:$B,$A$6,'BA History S2'!Y:Y, 1)</f>
        <v>1</v>
      </c>
      <c r="AD6" s="2">
        <f>COUNTIFS('BA History S2'!$B:$B,$A$6,'BA History S2'!Z:Z, 1)</f>
        <v>0</v>
      </c>
      <c r="AE6" s="2">
        <f>COUNTIFS('BA History S2'!$B:$B,$A$6,'BA History S2'!AA:AA, 1)</f>
        <v>0</v>
      </c>
      <c r="AF6" s="2">
        <f>COUNTIFS('BA History S2'!$B:$B,$A$6,'BA History S2'!AB:AB, 1)</f>
        <v>3</v>
      </c>
      <c r="AG6" s="2">
        <f>COUNTIFS('BA History S2'!$B:$B,$A$6,'BA History S2'!AC:AC, 1)</f>
        <v>0</v>
      </c>
      <c r="AH6" s="2">
        <f>COUNTIFS('BA History S2'!$B:$B,$A$6,'BA History S2'!AD:AD, 1)</f>
        <v>0</v>
      </c>
      <c r="AI6" s="2">
        <f>COUNTIFS('BA History S2'!$B:$B,$A$6,'BA History S2'!AE:AE, 1)</f>
        <v>0</v>
      </c>
      <c r="AJ6" s="2">
        <f>COUNTIFS('BA History S2'!$B:$B,$A$6,'BA History S2'!AF:AF, 1)</f>
        <v>0</v>
      </c>
    </row>
    <row r="7" spans="1:36" x14ac:dyDescent="0.25">
      <c r="A7" s="2" t="s">
        <v>147</v>
      </c>
      <c r="B7" s="2" t="s">
        <v>79</v>
      </c>
      <c r="C7" s="34">
        <f>SUMIFS('BA History S2'!C:C,'BA History S2'!B:B,A7)</f>
        <v>4</v>
      </c>
      <c r="D7" s="66">
        <f>AVERAGEIFS('BA History S2'!C:C,'BA History S2'!B:B,A7)</f>
        <v>4</v>
      </c>
      <c r="E7" s="35">
        <f t="array" ref="E7">MAX(IF('BA History S2'!B:B=A7, 'BA History S2'!C:C))</f>
        <v>4</v>
      </c>
      <c r="F7" s="34">
        <f>COUNTIFS('BA History S2'!B:B,A7,'BA History S2'!D:D, 1)</f>
        <v>0</v>
      </c>
      <c r="G7" s="2">
        <f>COUNTIFS('BA History S2'!B:B,A7,'BA History S2'!D:D, 0)</f>
        <v>1</v>
      </c>
      <c r="H7" s="75">
        <f>LOOKUP(2, 1/('BA History S2'!$B:$B=A7), 'BA History S2'!$AJ:$AJ)</f>
        <v>0</v>
      </c>
      <c r="I7" s="34">
        <f>SUMIFS('BA History S2'!F:F,'BA History S2'!B:B,A7)</f>
        <v>0</v>
      </c>
      <c r="J7" s="2">
        <f>SUMIFS('BA History S2'!E:E,'BA History S2'!B:B,A7)-I7</f>
        <v>3</v>
      </c>
      <c r="K7" s="75">
        <f>LOOKUP(2, 1/('BA History S2'!$B:$B=A7), 'BA History S2'!$AH:$AH)</f>
        <v>0</v>
      </c>
      <c r="L7" s="34">
        <f>SUMIFS('BA History S2'!H:H,'BA History S2'!B:B,A7)</f>
        <v>1</v>
      </c>
      <c r="M7" s="2">
        <f>SUMIFS('BA History S2'!G:G,'BA History S2'!B:B,A7)-L7</f>
        <v>9</v>
      </c>
      <c r="N7" s="89">
        <f>LOOKUP(2, 1/('BA History S2'!$B:$B=A7), 'BA History S2'!$AI:$AI)</f>
        <v>0.1</v>
      </c>
      <c r="O7" s="2">
        <f>COUNTIFS('BA History S2'!$B:$B,$A$7,'BA History S2'!K:K, 1)</f>
        <v>0</v>
      </c>
      <c r="P7" s="2">
        <f>COUNTIFS('BA History S2'!$B:$B,$A$7,'BA History S2'!L:L, 1)</f>
        <v>0</v>
      </c>
      <c r="Q7" s="2">
        <f>COUNTIFS('BA History S2'!$B:$B,$A$7,'BA History S2'!M:M, 1)</f>
        <v>0</v>
      </c>
      <c r="R7" s="2">
        <f>COUNTIFS('BA History S2'!$B:$B,$A$7,'BA History S2'!N:N, 1)</f>
        <v>0</v>
      </c>
      <c r="S7" s="2">
        <f>COUNTIFS('BA History S2'!$B:$B,$A$7,'BA History S2'!O:O, 1)</f>
        <v>0</v>
      </c>
      <c r="T7" s="2">
        <f>COUNTIFS('BA History S2'!$B:$B,$A$7,'BA History S2'!P:P, 1)</f>
        <v>0</v>
      </c>
      <c r="U7" s="2">
        <f>COUNTIFS('BA History S2'!$B:$B,$A$7,'BA History S2'!Q:Q, 1)</f>
        <v>0</v>
      </c>
      <c r="V7" s="2">
        <f>COUNTIFS('BA History S2'!$B:$B,$A$7,'BA History S2'!R:R, 1)</f>
        <v>0</v>
      </c>
      <c r="W7" s="2">
        <f>COUNTIFS('BA History S2'!$B:$B,$A$7,'BA History S2'!S:S, 1)</f>
        <v>0</v>
      </c>
      <c r="X7" s="2">
        <f>COUNTIFS('BA History S2'!$B:$B,$A$7,'BA History S2'!T:T, 1)</f>
        <v>0</v>
      </c>
      <c r="Y7" s="2">
        <f>COUNTIFS('BA History S2'!$B:$B,$A$7,'BA History S2'!U:U, 1)</f>
        <v>0</v>
      </c>
      <c r="Z7" s="2">
        <f>COUNTIFS('BA History S2'!$B:$B,$A$7,'BA History S2'!V:V, 1)</f>
        <v>0</v>
      </c>
      <c r="AA7" s="2">
        <f>COUNTIFS('BA History S2'!$B:$B,$A$7,'BA History S2'!W:W, 1)</f>
        <v>0</v>
      </c>
      <c r="AB7" s="2">
        <f>COUNTIFS('BA History S2'!$B:$B,$A$7,'BA History S2'!X:X, 1)</f>
        <v>0</v>
      </c>
      <c r="AC7" s="2">
        <f>COUNTIFS('BA History S2'!$B:$B,$A$7,'BA History S2'!Y:Y, 1)</f>
        <v>0</v>
      </c>
      <c r="AD7" s="2">
        <f>COUNTIFS('BA History S2'!$B:$B,$A$7,'BA History S2'!Z:Z, 1)</f>
        <v>0</v>
      </c>
      <c r="AE7" s="2">
        <f>COUNTIFS('BA History S2'!$B:$B,$A$7,'BA History S2'!AA:AA, 1)</f>
        <v>0</v>
      </c>
      <c r="AF7" s="2">
        <f>COUNTIFS('BA History S2'!$B:$B,$A$7,'BA History S2'!AB:AB, 1)</f>
        <v>0</v>
      </c>
      <c r="AG7" s="2">
        <f>COUNTIFS('BA History S2'!$B:$B,$A$7,'BA History S2'!AC:AC, 1)</f>
        <v>0</v>
      </c>
      <c r="AH7" s="2">
        <f>COUNTIFS('BA History S2'!$B:$B,$A$7,'BA History S2'!AD:AD, 1)</f>
        <v>0</v>
      </c>
      <c r="AI7" s="2">
        <f>COUNTIFS('BA History S2'!$B:$B,$A$7,'BA History S2'!AE:AE, 1)</f>
        <v>0</v>
      </c>
      <c r="AJ7" s="2">
        <f>COUNTIFS('BA History S2'!$B:$B,$A$7,'BA History S2'!AF:AF, 1)</f>
        <v>0</v>
      </c>
    </row>
    <row r="8" spans="1:36" x14ac:dyDescent="0.25">
      <c r="A8" s="2" t="s">
        <v>50</v>
      </c>
      <c r="B8" s="2" t="s">
        <v>79</v>
      </c>
      <c r="C8" s="34">
        <f>SUMIFS('BA History S2'!C:C,'BA History S2'!B:B,A8)</f>
        <v>40</v>
      </c>
      <c r="D8" s="66">
        <f>AVERAGEIFS('BA History S2'!C:C,'BA History S2'!B:B,A8)</f>
        <v>13.333333333333334</v>
      </c>
      <c r="E8" s="35">
        <f t="array" ref="E8">MAX(IF('BA History S2'!B:B=A8, 'BA History S2'!C:C))</f>
        <v>14</v>
      </c>
      <c r="F8" s="34">
        <f>COUNTIFS('BA History S2'!B:B,A8,'BA History S2'!D:D, 1)</f>
        <v>1</v>
      </c>
      <c r="G8" s="2">
        <f>COUNTIFS('BA History S2'!B:B,A8,'BA History S2'!D:D, 0)</f>
        <v>2</v>
      </c>
      <c r="H8" s="75">
        <f>LOOKUP(2, 1/('BA History S2'!$B:$B=A8), 'BA History S2'!$AJ:$AJ)</f>
        <v>0.33333333333333331</v>
      </c>
      <c r="I8" s="34">
        <f>SUMIFS('BA History S2'!F:F,'BA History S2'!B:B,A8)</f>
        <v>4</v>
      </c>
      <c r="J8" s="2">
        <f>SUMIFS('BA History S2'!E:E,'BA History S2'!B:B,A8)-I8</f>
        <v>8</v>
      </c>
      <c r="K8" s="75">
        <f>LOOKUP(2, 1/('BA History S2'!$B:$B=A8), 'BA History S2'!$AH:$AH)</f>
        <v>0.28333333333333333</v>
      </c>
      <c r="L8" s="34">
        <f>SUMIFS('BA History S2'!H:H,'BA History S2'!B:B,A8)</f>
        <v>20</v>
      </c>
      <c r="M8" s="2">
        <f>SUMIFS('BA History S2'!G:G,'BA History S2'!B:B,A8)-L8</f>
        <v>32</v>
      </c>
      <c r="N8" s="89">
        <f>LOOKUP(2, 1/('BA History S2'!$B:$B=A8), 'BA History S2'!$AI:$AI)</f>
        <v>0.33</v>
      </c>
      <c r="O8" s="2">
        <f>COUNTIFS('BA History S2'!$B:$B,$A$8,'BA History S2'!K:K, 1)</f>
        <v>0</v>
      </c>
      <c r="P8" s="2">
        <f>COUNTIFS('BA History S2'!$B:$B,$A$8,'BA History S2'!L:L, 1)</f>
        <v>0</v>
      </c>
      <c r="Q8" s="2">
        <f>COUNTIFS('BA History S2'!$B:$B,$A$8,'BA History S2'!M:M, 1)</f>
        <v>1</v>
      </c>
      <c r="R8" s="2">
        <f>COUNTIFS('BA History S2'!$B:$B,$A$8,'BA History S2'!N:N, 1)</f>
        <v>1</v>
      </c>
      <c r="S8" s="2">
        <f>COUNTIFS('BA History S2'!$B:$B,$A$8,'BA History S2'!O:O, 1)</f>
        <v>0</v>
      </c>
      <c r="T8" s="2">
        <f>COUNTIFS('BA History S2'!$B:$B,$A$8,'BA History S2'!P:P, 1)</f>
        <v>0</v>
      </c>
      <c r="U8" s="2">
        <f>COUNTIFS('BA History S2'!$B:$B,$A$8,'BA History S2'!Q:Q, 1)</f>
        <v>0</v>
      </c>
      <c r="V8" s="2">
        <f>COUNTIFS('BA History S2'!$B:$B,$A$8,'BA History S2'!R:R, 1)</f>
        <v>0</v>
      </c>
      <c r="W8" s="2">
        <f>COUNTIFS('BA History S2'!$B:$B,$A$8,'BA History S2'!S:S, 1)</f>
        <v>0</v>
      </c>
      <c r="X8" s="2">
        <f>COUNTIFS('BA History S2'!$B:$B,$A$8,'BA History S2'!T:T, 1)</f>
        <v>0</v>
      </c>
      <c r="Y8" s="2">
        <f>COUNTIFS('BA History S2'!$B:$B,$A$8,'BA History S2'!U:U, 1)</f>
        <v>0</v>
      </c>
      <c r="Z8" s="2">
        <f>COUNTIFS('BA History S2'!$B:$B,$A$8,'BA History S2'!V:V, 1)</f>
        <v>0</v>
      </c>
      <c r="AA8" s="2">
        <f>COUNTIFS('BA History S2'!$B:$B,$A$8,'BA History S2'!W:W, 1)</f>
        <v>1</v>
      </c>
      <c r="AB8" s="2">
        <f>COUNTIFS('BA History S2'!$B:$B,$A$8,'BA History S2'!X:X, 1)</f>
        <v>0</v>
      </c>
      <c r="AC8" s="2">
        <f>COUNTIFS('BA History S2'!$B:$B,$A$8,'BA History S2'!Y:Y, 1)</f>
        <v>0</v>
      </c>
      <c r="AD8" s="2">
        <f>COUNTIFS('BA History S2'!$B:$B,$A$8,'BA History S2'!Z:Z, 1)</f>
        <v>0</v>
      </c>
      <c r="AE8" s="2">
        <f>COUNTIFS('BA History S2'!$B:$B,$A$8,'BA History S2'!AA:AA, 1)</f>
        <v>0</v>
      </c>
      <c r="AF8" s="2">
        <f>COUNTIFS('BA History S2'!$B:$B,$A$8,'BA History S2'!AB:AB, 1)</f>
        <v>1</v>
      </c>
      <c r="AG8" s="2">
        <f>COUNTIFS('BA History S2'!$B:$B,$A$8,'BA History S2'!AC:AC, 1)</f>
        <v>0</v>
      </c>
      <c r="AH8" s="2">
        <f>COUNTIFS('BA History S2'!$B:$B,$A$8,'BA History S2'!AD:AD, 1)</f>
        <v>0</v>
      </c>
      <c r="AI8" s="2">
        <f>COUNTIFS('BA History S2'!$B:$B,$A$8,'BA History S2'!AE:AE, 1)</f>
        <v>0</v>
      </c>
      <c r="AJ8" s="2">
        <f>COUNTIFS('BA History S2'!$B:$B,$A$8,'BA History S2'!AF:AF, 1)</f>
        <v>0</v>
      </c>
    </row>
    <row r="9" spans="1:36" x14ac:dyDescent="0.25">
      <c r="A9" s="2" t="s">
        <v>44</v>
      </c>
      <c r="B9" s="2" t="s">
        <v>79</v>
      </c>
      <c r="C9" s="34">
        <f>SUMIFS('BA History S2'!C:C,'BA History S2'!B:B,A9)</f>
        <v>101</v>
      </c>
      <c r="D9" s="66">
        <f>AVERAGEIFS('BA History S2'!C:C,'BA History S2'!B:B,A9)</f>
        <v>16.833333333333332</v>
      </c>
      <c r="E9" s="35">
        <f t="array" ref="E9">MAX(IF('BA History S2'!B:B=A9, 'BA History S2'!C:C))</f>
        <v>24</v>
      </c>
      <c r="F9" s="34">
        <f>COUNTIFS('BA History S2'!B:B,A9,'BA History S2'!D:D, 1)</f>
        <v>3</v>
      </c>
      <c r="G9" s="2">
        <f>COUNTIFS('BA History S2'!B:B,A9,'BA History S2'!D:D, 0)</f>
        <v>3</v>
      </c>
      <c r="H9" s="75">
        <f>LOOKUP(2, 1/('BA History S2'!$B:$B=A9), 'BA History S2'!$AJ:$AJ)</f>
        <v>0.5</v>
      </c>
      <c r="I9" s="34">
        <f>SUMIFS('BA History S2'!F:F,'BA History S2'!B:B,A9)</f>
        <v>11</v>
      </c>
      <c r="J9" s="2">
        <f>SUMIFS('BA History S2'!E:E,'BA History S2'!B:B,A9)-I9</f>
        <v>14</v>
      </c>
      <c r="K9" s="75">
        <f>LOOKUP(2, 1/('BA History S2'!$B:$B=A9), 'BA History S2'!$AH:$AH)</f>
        <v>0.40833333333333338</v>
      </c>
      <c r="L9" s="34">
        <f>SUMIFS('BA History S2'!H:H,'BA History S2'!B:B,A9)</f>
        <v>50</v>
      </c>
      <c r="M9" s="2">
        <f>SUMIFS('BA History S2'!G:G,'BA History S2'!B:B,A9)-L9</f>
        <v>59</v>
      </c>
      <c r="N9" s="89">
        <f>LOOKUP(2, 1/('BA History S2'!$B:$B=A9), 'BA History S2'!$AI:$AI)</f>
        <v>0.4366666666666667</v>
      </c>
      <c r="O9" s="2">
        <f>COUNTIFS('BA History S2'!$B:$B,$A$9,'BA History S2'!K:K, 1)</f>
        <v>0</v>
      </c>
      <c r="P9" s="2">
        <f>COUNTIFS('BA History S2'!$B:$B,$A$9,'BA History S2'!L:L, 1)</f>
        <v>1</v>
      </c>
      <c r="Q9" s="2">
        <f>COUNTIFS('BA History S2'!$B:$B,$A$9,'BA History S2'!M:M, 1)</f>
        <v>2</v>
      </c>
      <c r="R9" s="2">
        <f>COUNTIFS('BA History S2'!$B:$B,$A$9,'BA History S2'!N:N, 1)</f>
        <v>2</v>
      </c>
      <c r="S9" s="2">
        <f>COUNTIFS('BA History S2'!$B:$B,$A$9,'BA History S2'!O:O, 1)</f>
        <v>0</v>
      </c>
      <c r="T9" s="2">
        <f>COUNTIFS('BA History S2'!$B:$B,$A$9,'BA History S2'!P:P, 1)</f>
        <v>0</v>
      </c>
      <c r="U9" s="2">
        <f>COUNTIFS('BA History S2'!$B:$B,$A$9,'BA History S2'!Q:Q, 1)</f>
        <v>1</v>
      </c>
      <c r="V9" s="2">
        <f>COUNTIFS('BA History S2'!$B:$B,$A$9,'BA History S2'!R:R, 1)</f>
        <v>0</v>
      </c>
      <c r="W9" s="2">
        <f>COUNTIFS('BA History S2'!$B:$B,$A$9,'BA History S2'!S:S, 1)</f>
        <v>0</v>
      </c>
      <c r="X9" s="2">
        <f>COUNTIFS('BA History S2'!$B:$B,$A$9,'BA History S2'!T:T, 1)</f>
        <v>0</v>
      </c>
      <c r="Y9" s="2">
        <f>COUNTIFS('BA History S2'!$B:$B,$A$9,'BA History S2'!U:U, 1)</f>
        <v>0</v>
      </c>
      <c r="Z9" s="2">
        <f>COUNTIFS('BA History S2'!$B:$B,$A$9,'BA History S2'!V:V, 1)</f>
        <v>0</v>
      </c>
      <c r="AA9" s="2">
        <f>COUNTIFS('BA History S2'!$B:$B,$A$9,'BA History S2'!W:W, 1)</f>
        <v>1</v>
      </c>
      <c r="AB9" s="2">
        <f>COUNTIFS('BA History S2'!$B:$B,$A$9,'BA History S2'!X:X, 1)</f>
        <v>0</v>
      </c>
      <c r="AC9" s="2">
        <f>COUNTIFS('BA History S2'!$B:$B,$A$9,'BA History S2'!Y:Y, 1)</f>
        <v>0</v>
      </c>
      <c r="AD9" s="2">
        <f>COUNTIFS('BA History S2'!$B:$B,$A$9,'BA History S2'!Z:Z, 1)</f>
        <v>1</v>
      </c>
      <c r="AE9" s="2">
        <f>COUNTIFS('BA History S2'!$B:$B,$A$9,'BA History S2'!AA:AA, 1)</f>
        <v>0</v>
      </c>
      <c r="AF9" s="2">
        <f>COUNTIFS('BA History S2'!$B:$B,$A$9,'BA History S2'!AB:AB, 1)</f>
        <v>2</v>
      </c>
      <c r="AG9" s="2">
        <f>COUNTIFS('BA History S2'!$B:$B,$A$9,'BA History S2'!AC:AC, 1)</f>
        <v>1</v>
      </c>
      <c r="AH9" s="2">
        <f>COUNTIFS('BA History S2'!$B:$B,$A$9,'BA History S2'!AD:AD, 1)</f>
        <v>0</v>
      </c>
      <c r="AI9" s="2">
        <f>COUNTIFS('BA History S2'!$B:$B,$A$9,'BA History S2'!AE:AE, 1)</f>
        <v>0</v>
      </c>
      <c r="AJ9" s="2">
        <f>COUNTIFS('BA History S2'!$B:$B,$A$9,'BA History S2'!AF:AF, 1)</f>
        <v>0</v>
      </c>
    </row>
    <row r="10" spans="1:36" x14ac:dyDescent="0.25">
      <c r="A10" s="2" t="s">
        <v>1</v>
      </c>
      <c r="B10" s="1" t="s">
        <v>162</v>
      </c>
      <c r="C10" s="34">
        <f>SUMIFS('BA History S2'!C:C,'BA History S2'!B:B,A10)</f>
        <v>109</v>
      </c>
      <c r="D10" s="66">
        <f>AVERAGEIFS('BA History S2'!C:C,'BA History S2'!B:B,A10)</f>
        <v>21.8</v>
      </c>
      <c r="E10" s="35">
        <f t="array" ref="E10">MAX(IF('BA History S2'!B:B=A10, 'BA History S2'!C:C))</f>
        <v>28</v>
      </c>
      <c r="F10" s="34">
        <f>COUNTIFS('BA History S2'!B:B,A10,'BA History S2'!D:D, 1)</f>
        <v>2</v>
      </c>
      <c r="G10" s="2">
        <f>COUNTIFS('BA History S2'!B:B,A10,'BA History S2'!D:D, 0)</f>
        <v>3</v>
      </c>
      <c r="H10" s="75">
        <f>LOOKUP(2, 1/('BA History S2'!$B:$B=A10), 'BA History S2'!$AJ:$AJ)</f>
        <v>0.4</v>
      </c>
      <c r="I10" s="34">
        <f>SUMIFS('BA History S2'!F:F,'BA History S2'!B:B,A10)</f>
        <v>9</v>
      </c>
      <c r="J10" s="2">
        <f>SUMIFS('BA History S2'!E:E,'BA History S2'!B:B,A10)-I10</f>
        <v>10</v>
      </c>
      <c r="K10" s="75">
        <f>LOOKUP(2, 1/('BA History S2'!$B:$B=A10), 'BA History S2'!$AH:$AH)</f>
        <v>0.48</v>
      </c>
      <c r="L10" s="34">
        <f>SUMIFS('BA History S2'!H:H,'BA History S2'!B:B,A10)</f>
        <v>39</v>
      </c>
      <c r="M10" s="2">
        <f>SUMIFS('BA History S2'!G:G,'BA History S2'!B:B,A10)-L10</f>
        <v>41</v>
      </c>
      <c r="N10" s="89">
        <f>LOOKUP(2, 1/('BA History S2'!$B:$B=A10), 'BA History S2'!$AI:$AI)</f>
        <v>0.50600000000000001</v>
      </c>
      <c r="O10" s="2">
        <f>COUNTIFS('BA History S2'!$B:$B,$A$10,'BA History S2'!K:K, 1)</f>
        <v>2</v>
      </c>
      <c r="P10" s="2">
        <f>COUNTIFS('BA History S2'!$B:$B,$A$10,'BA History S2'!L:L, 1)</f>
        <v>1</v>
      </c>
      <c r="Q10" s="2">
        <f>COUNTIFS('BA History S2'!$B:$B,$A$10,'BA History S2'!M:M, 1)</f>
        <v>0</v>
      </c>
      <c r="R10" s="2">
        <f>COUNTIFS('BA History S2'!$B:$B,$A$10,'BA History S2'!N:N, 1)</f>
        <v>1</v>
      </c>
      <c r="S10" s="2">
        <f>COUNTIFS('BA History S2'!$B:$B,$A$10,'BA History S2'!O:O, 1)</f>
        <v>0</v>
      </c>
      <c r="T10" s="2">
        <f>COUNTIFS('BA History S2'!$B:$B,$A$10,'BA History S2'!P:P, 1)</f>
        <v>0</v>
      </c>
      <c r="U10" s="2">
        <f>COUNTIFS('BA History S2'!$B:$B,$A$10,'BA History S2'!Q:Q, 1)</f>
        <v>0</v>
      </c>
      <c r="V10" s="2">
        <f>COUNTIFS('BA History S2'!$B:$B,$A$10,'BA History S2'!R:R, 1)</f>
        <v>0</v>
      </c>
      <c r="W10" s="2">
        <f>COUNTIFS('BA History S2'!$B:$B,$A$10,'BA History S2'!S:S, 1)</f>
        <v>0</v>
      </c>
      <c r="X10" s="2">
        <f>COUNTIFS('BA History S2'!$B:$B,$A$10,'BA History S2'!T:T, 1)</f>
        <v>0</v>
      </c>
      <c r="Y10" s="2">
        <f>COUNTIFS('BA History S2'!$B:$B,$A$10,'BA History S2'!U:U, 1)</f>
        <v>0</v>
      </c>
      <c r="Z10" s="2">
        <f>COUNTIFS('BA History S2'!$B:$B,$A$10,'BA History S2'!V:V, 1)</f>
        <v>0</v>
      </c>
      <c r="AA10" s="2">
        <f>COUNTIFS('BA History S2'!$B:$B,$A$10,'BA History S2'!W:W, 1)</f>
        <v>1</v>
      </c>
      <c r="AB10" s="2">
        <f>COUNTIFS('BA History S2'!$B:$B,$A$10,'BA History S2'!X:X, 1)</f>
        <v>0</v>
      </c>
      <c r="AC10" s="2">
        <f>COUNTIFS('BA History S2'!$B:$B,$A$10,'BA History S2'!Y:Y, 1)</f>
        <v>1</v>
      </c>
      <c r="AD10" s="2">
        <f>COUNTIFS('BA History S2'!$B:$B,$A$10,'BA History S2'!Z:Z, 1)</f>
        <v>1</v>
      </c>
      <c r="AE10" s="2">
        <f>COUNTIFS('BA History S2'!$B:$B,$A$10,'BA History S2'!AA:AA, 1)</f>
        <v>0</v>
      </c>
      <c r="AF10" s="2">
        <f>COUNTIFS('BA History S2'!$B:$B,$A$10,'BA History S2'!AB:AB, 1)</f>
        <v>0</v>
      </c>
      <c r="AG10" s="2">
        <f>COUNTIFS('BA History S2'!$B:$B,$A$10,'BA History S2'!AC:AC, 1)</f>
        <v>1</v>
      </c>
      <c r="AH10" s="2">
        <f>COUNTIFS('BA History S2'!$B:$B,$A$10,'BA History S2'!AD:AD, 1)</f>
        <v>1</v>
      </c>
      <c r="AI10" s="2">
        <f>COUNTIFS('BA History S2'!$B:$B,$A$10,'BA History S2'!AE:AE, 1)</f>
        <v>0</v>
      </c>
      <c r="AJ10" s="2">
        <f>COUNTIFS('BA History S2'!$B:$B,$A$10,'BA History S2'!AF:AF, 1)</f>
        <v>0</v>
      </c>
    </row>
    <row r="11" spans="1:36" ht="15.75" x14ac:dyDescent="0.25">
      <c r="A11" s="2" t="s">
        <v>151</v>
      </c>
      <c r="B11" s="95" t="s">
        <v>79</v>
      </c>
      <c r="C11" s="34">
        <f>SUMIFS('BA History S2'!C:C,'BA History S2'!B:B,A11)</f>
        <v>46</v>
      </c>
      <c r="D11" s="66">
        <f>AVERAGEIFS('BA History S2'!C:C,'BA History S2'!B:B,A11)</f>
        <v>15.333333333333334</v>
      </c>
      <c r="E11" s="35">
        <f t="array" ref="E11">MAX(IF('BA History S2'!B:B=A11, 'BA History S2'!C:C))</f>
        <v>21</v>
      </c>
      <c r="F11" s="34">
        <f>COUNTIFS('BA History S2'!B:B,A11,'BA History S2'!D:D, 1)</f>
        <v>3</v>
      </c>
      <c r="G11" s="2">
        <f>COUNTIFS('BA History S2'!B:B,A11,'BA History S2'!D:D, 0)</f>
        <v>0</v>
      </c>
      <c r="H11" s="75">
        <f>LOOKUP(2, 1/('BA History S2'!$B:$B=A11), 'BA History S2'!$AJ:$AJ)</f>
        <v>1</v>
      </c>
      <c r="I11" s="34">
        <f>SUMIFS('BA History S2'!F:F,'BA History S2'!B:B,A11)</f>
        <v>9</v>
      </c>
      <c r="J11" s="2">
        <f>SUMIFS('BA History S2'!E:E,'BA History S2'!B:B,A11)-I11</f>
        <v>1</v>
      </c>
      <c r="K11" s="75">
        <f>LOOKUP(2, 1/('BA History S2'!$B:$B=A11), 'BA History S2'!$AH:$AH)</f>
        <v>0.91666666666666663</v>
      </c>
      <c r="L11" s="34">
        <f>SUMIFS('BA History S2'!H:H,'BA History S2'!B:B,A11)</f>
        <v>29</v>
      </c>
      <c r="M11" s="2">
        <f>SUMIFS('BA History S2'!G:G,'BA History S2'!B:B,A11)-L11</f>
        <v>10</v>
      </c>
      <c r="N11" s="89">
        <f>LOOKUP(2, 1/('BA History S2'!$B:$B=A11), 'BA History S2'!$AI:$AI)</f>
        <v>0.77666666666666673</v>
      </c>
      <c r="O11" s="2">
        <f>COUNTIFS('BA History S2'!$B:$B,$A$11,'BA History S2'!K:K, 1)</f>
        <v>0</v>
      </c>
      <c r="P11" s="2">
        <f>COUNTIFS('BA History S2'!$B:$B,$A$11,'BA History S2'!L:L, 1)</f>
        <v>1</v>
      </c>
      <c r="Q11" s="2">
        <f>COUNTIFS('BA History S2'!$B:$B,$A$11,'BA History S2'!M:M, 1)</f>
        <v>1</v>
      </c>
      <c r="R11" s="2">
        <f>COUNTIFS('BA History S2'!$B:$B,$A$11,'BA History S2'!N:N, 1)</f>
        <v>2</v>
      </c>
      <c r="S11" s="2">
        <f>COUNTIFS('BA History S2'!$B:$B,$A$11,'BA History S2'!O:O, 1)</f>
        <v>0</v>
      </c>
      <c r="T11" s="2">
        <f>COUNTIFS('BA History S2'!$B:$B,$A$11,'BA History S2'!P:P, 1)</f>
        <v>0</v>
      </c>
      <c r="U11" s="2">
        <f>COUNTIFS('BA History S2'!$B:$B,$A$11,'BA History S2'!Q:Q, 1)</f>
        <v>1</v>
      </c>
      <c r="V11" s="2">
        <f>COUNTIFS('BA History S2'!$B:$B,$A$11,'BA History S2'!R:R, 1)</f>
        <v>0</v>
      </c>
      <c r="W11" s="2">
        <f>COUNTIFS('BA History S2'!$B:$B,$A$11,'BA History S2'!S:S, 1)</f>
        <v>0</v>
      </c>
      <c r="X11" s="2">
        <f>COUNTIFS('BA History S2'!$B:$B,$A$11,'BA History S2'!T:T, 1)</f>
        <v>0</v>
      </c>
      <c r="Y11" s="2">
        <f>COUNTIFS('BA History S2'!$B:$B,$A$11,'BA History S2'!U:U, 1)</f>
        <v>0</v>
      </c>
      <c r="Z11" s="2">
        <f>COUNTIFS('BA History S2'!$B:$B,$A$11,'BA History S2'!V:V, 1)</f>
        <v>0</v>
      </c>
      <c r="AA11" s="2">
        <f>COUNTIFS('BA History S2'!$B:$B,$A$11,'BA History S2'!W:W, 1)</f>
        <v>0</v>
      </c>
      <c r="AB11" s="2">
        <f>COUNTIFS('BA History S2'!$B:$B,$A$11,'BA History S2'!X:X, 1)</f>
        <v>0</v>
      </c>
      <c r="AC11" s="2">
        <f>COUNTIFS('BA History S2'!$B:$B,$A$11,'BA History S2'!Y:Y, 1)</f>
        <v>0</v>
      </c>
      <c r="AD11" s="2">
        <f>COUNTIFS('BA History S2'!$B:$B,$A$11,'BA History S2'!Z:Z, 1)</f>
        <v>2</v>
      </c>
      <c r="AE11" s="2">
        <f>COUNTIFS('BA History S2'!$B:$B,$A$11,'BA History S2'!AA:AA, 1)</f>
        <v>0</v>
      </c>
      <c r="AF11" s="2">
        <f>COUNTIFS('BA History S2'!$B:$B,$A$11,'BA History S2'!AB:AB, 1)</f>
        <v>1</v>
      </c>
      <c r="AG11" s="2">
        <f>COUNTIFS('BA History S2'!$B:$B,$A$11,'BA History S2'!AC:AC, 1)</f>
        <v>0</v>
      </c>
      <c r="AH11" s="2">
        <f>COUNTIFS('BA History S2'!$B:$B,$A$11,'BA History S2'!AD:AD, 1)</f>
        <v>1</v>
      </c>
      <c r="AI11" s="2">
        <f>COUNTIFS('BA History S2'!$B:$B,$A$11,'BA History S2'!AE:AE, 1)</f>
        <v>0</v>
      </c>
      <c r="AJ11" s="2">
        <f>COUNTIFS('BA History S2'!$B:$B,$A$11,'BA History S2'!AF:AF, 1)</f>
        <v>0</v>
      </c>
    </row>
    <row r="12" spans="1:36" x14ac:dyDescent="0.25">
      <c r="A12" s="2" t="s">
        <v>46</v>
      </c>
      <c r="B12" s="1" t="s">
        <v>162</v>
      </c>
      <c r="C12" s="34">
        <f>SUMIFS('BA History S2'!C:C,'BA History S2'!B:B,A12)</f>
        <v>69</v>
      </c>
      <c r="D12" s="66">
        <f>AVERAGEIFS('BA History S2'!C:C,'BA History S2'!B:B,A12)</f>
        <v>17.25</v>
      </c>
      <c r="E12" s="35">
        <f t="array" ref="E12">MAX(IF('BA History S2'!B:B=A12, 'BA History S2'!C:C))</f>
        <v>34</v>
      </c>
      <c r="F12" s="34">
        <f>COUNTIFS('BA History S2'!B:B,A12,'BA History S2'!D:D, 1)</f>
        <v>0</v>
      </c>
      <c r="G12" s="2">
        <f>COUNTIFS('BA History S2'!B:B,A12,'BA History S2'!D:D, 0)</f>
        <v>4</v>
      </c>
      <c r="H12" s="75">
        <f>LOOKUP(2, 1/('BA History S2'!$B:$B=A12), 'BA History S2'!$AJ:$AJ)</f>
        <v>0</v>
      </c>
      <c r="I12" s="34">
        <f>SUMIFS('BA History S2'!F:F,'BA History S2'!B:B,A12)</f>
        <v>5</v>
      </c>
      <c r="J12" s="2">
        <f>SUMIFS('BA History S2'!E:E,'BA History S2'!B:B,A12)-I12</f>
        <v>12</v>
      </c>
      <c r="K12" s="75">
        <f>LOOKUP(2, 1/('BA History S2'!$B:$B=A12), 'BA History S2'!$AH:$AH)</f>
        <v>0.26250000000000001</v>
      </c>
      <c r="L12" s="34">
        <f>SUMIFS('BA History S2'!H:H,'BA History S2'!B:B,A12)</f>
        <v>31</v>
      </c>
      <c r="M12" s="2">
        <f>SUMIFS('BA History S2'!G:G,'BA History S2'!B:B,A12)-L12</f>
        <v>44</v>
      </c>
      <c r="N12" s="89">
        <f>LOOKUP(2, 1/('BA History S2'!$B:$B=A12), 'BA History S2'!$AI:$AI)</f>
        <v>0.4</v>
      </c>
      <c r="O12" s="2">
        <f>COUNTIFS('BA History S2'!$B:$B,$A$12,'BA History S2'!K:K, 1)</f>
        <v>1</v>
      </c>
      <c r="P12" s="2">
        <f>COUNTIFS('BA History S2'!$B:$B,$A$12,'BA History S2'!L:L, 1)</f>
        <v>1</v>
      </c>
      <c r="Q12" s="2">
        <f>COUNTIFS('BA History S2'!$B:$B,$A$12,'BA History S2'!M:M, 1)</f>
        <v>0</v>
      </c>
      <c r="R12" s="2">
        <f>COUNTIFS('BA History S2'!$B:$B,$A$12,'BA History S2'!N:N, 1)</f>
        <v>0</v>
      </c>
      <c r="S12" s="2">
        <f>COUNTIFS('BA History S2'!$B:$B,$A$12,'BA History S2'!O:O, 1)</f>
        <v>0</v>
      </c>
      <c r="T12" s="2">
        <f>COUNTIFS('BA History S2'!$B:$B,$A$12,'BA History S2'!P:P, 1)</f>
        <v>0</v>
      </c>
      <c r="U12" s="2">
        <f>COUNTIFS('BA History S2'!$B:$B,$A$12,'BA History S2'!Q:Q, 1)</f>
        <v>0</v>
      </c>
      <c r="V12" s="2">
        <f>COUNTIFS('BA History S2'!$B:$B,$A$12,'BA History S2'!R:R, 1)</f>
        <v>0</v>
      </c>
      <c r="W12" s="2">
        <f>COUNTIFS('BA History S2'!$B:$B,$A$12,'BA History S2'!S:S, 1)</f>
        <v>0</v>
      </c>
      <c r="X12" s="2">
        <f>COUNTIFS('BA History S2'!$B:$B,$A$12,'BA History S2'!T:T, 1)</f>
        <v>0</v>
      </c>
      <c r="Y12" s="2">
        <f>COUNTIFS('BA History S2'!$B:$B,$A$12,'BA History S2'!U:U, 1)</f>
        <v>0</v>
      </c>
      <c r="Z12" s="2">
        <f>COUNTIFS('BA History S2'!$B:$B,$A$12,'BA History S2'!V:V, 1)</f>
        <v>0</v>
      </c>
      <c r="AA12" s="2">
        <f>COUNTIFS('BA History S2'!$B:$B,$A$12,'BA History S2'!W:W, 1)</f>
        <v>1</v>
      </c>
      <c r="AB12" s="2">
        <f>COUNTIFS('BA History S2'!$B:$B,$A$12,'BA History S2'!X:X, 1)</f>
        <v>0</v>
      </c>
      <c r="AC12" s="2">
        <f>COUNTIFS('BA History S2'!$B:$B,$A$12,'BA History S2'!Y:Y, 1)</f>
        <v>1</v>
      </c>
      <c r="AD12" s="2">
        <f>COUNTIFS('BA History S2'!$B:$B,$A$12,'BA History S2'!Z:Z, 1)</f>
        <v>0</v>
      </c>
      <c r="AE12" s="2">
        <f>COUNTIFS('BA History S2'!$B:$B,$A$12,'BA History S2'!AA:AA, 1)</f>
        <v>0</v>
      </c>
      <c r="AF12" s="2">
        <f>COUNTIFS('BA History S2'!$B:$B,$A$12,'BA History S2'!AB:AB, 1)</f>
        <v>0</v>
      </c>
      <c r="AG12" s="2">
        <f>COUNTIFS('BA History S2'!$B:$B,$A$12,'BA History S2'!AC:AC, 1)</f>
        <v>0</v>
      </c>
      <c r="AH12" s="2">
        <f>COUNTIFS('BA History S2'!$B:$B,$A$12,'BA History S2'!AD:AD, 1)</f>
        <v>0</v>
      </c>
      <c r="AI12" s="2">
        <f>COUNTIFS('BA History S2'!$B:$B,$A$12,'BA History S2'!AE:AE, 1)</f>
        <v>0</v>
      </c>
      <c r="AJ12" s="2">
        <f>COUNTIFS('BA History S2'!$B:$B,$A$12,'BA History S2'!AF:AF, 1)</f>
        <v>1</v>
      </c>
    </row>
    <row r="13" spans="1:36" x14ac:dyDescent="0.25">
      <c r="A13" s="2" t="s">
        <v>28</v>
      </c>
      <c r="B13" s="1" t="s">
        <v>79</v>
      </c>
      <c r="C13" s="34">
        <f>SUMIFS('BA History S2'!C:C,'BA History S2'!B:B,A13)</f>
        <v>9</v>
      </c>
      <c r="D13" s="66">
        <f>AVERAGEIFS('BA History S2'!C:C,'BA History S2'!B:B,A13)</f>
        <v>9</v>
      </c>
      <c r="E13" s="35">
        <f t="array" ref="E13">MAX(IF('BA History S2'!B:B=A13, 'BA History S2'!C:C))</f>
        <v>9</v>
      </c>
      <c r="F13" s="34">
        <f>COUNTIFS('BA History S2'!B:B,A13,'BA History S2'!D:D, 1)</f>
        <v>0</v>
      </c>
      <c r="G13" s="2">
        <f>COUNTIFS('BA History S2'!B:B,A13,'BA History S2'!D:D, 0)</f>
        <v>1</v>
      </c>
      <c r="H13" s="75">
        <f>LOOKUP(2, 1/('BA History S2'!$B:$B=A13), 'BA History S2'!$AJ:$AJ)</f>
        <v>0</v>
      </c>
      <c r="I13" s="34">
        <f>SUMIFS('BA History S2'!F:F,'BA History S2'!B:B,A13)</f>
        <v>0</v>
      </c>
      <c r="J13" s="2">
        <f>SUMIFS('BA History S2'!E:E,'BA History S2'!B:B,A13)-I13</f>
        <v>3</v>
      </c>
      <c r="K13" s="75">
        <f>LOOKUP(2, 1/('BA History S2'!$B:$B=A13), 'BA History S2'!$AH:$AH)</f>
        <v>0</v>
      </c>
      <c r="L13" s="34">
        <f>SUMIFS('BA History S2'!H:H,'BA History S2'!B:B,A13)</f>
        <v>1</v>
      </c>
      <c r="M13" s="2">
        <f>SUMIFS('BA History S2'!G:G,'BA History S2'!B:B,A13)-L13</f>
        <v>9</v>
      </c>
      <c r="N13" s="89">
        <f>LOOKUP(2, 1/('BA History S2'!$B:$B=A13), 'BA History S2'!$AI:$AI)</f>
        <v>0.1</v>
      </c>
      <c r="O13" s="2">
        <f>COUNTIFS('BA History S2'!$B:$B,$A$13,'BA History S2'!K:K, 1)</f>
        <v>0</v>
      </c>
      <c r="P13" s="2">
        <f>COUNTIFS('BA History S2'!$B:$B,$A$13,'BA History S2'!L:L, 1)</f>
        <v>0</v>
      </c>
      <c r="Q13" s="2">
        <f>COUNTIFS('BA History S2'!$B:$B,$A$13,'BA History S2'!M:M, 1)</f>
        <v>0</v>
      </c>
      <c r="R13" s="2">
        <f>COUNTIFS('BA History S2'!$B:$B,$A$13,'BA History S2'!N:N, 1)</f>
        <v>0</v>
      </c>
      <c r="S13" s="2">
        <f>COUNTIFS('BA History S2'!$B:$B,$A$13,'BA History S2'!O:O, 1)</f>
        <v>0</v>
      </c>
      <c r="T13" s="2">
        <f>COUNTIFS('BA History S2'!$B:$B,$A$13,'BA History S2'!P:P, 1)</f>
        <v>0</v>
      </c>
      <c r="U13" s="2">
        <f>COUNTIFS('BA History S2'!$B:$B,$A$13,'BA History S2'!Q:Q, 1)</f>
        <v>0</v>
      </c>
      <c r="V13" s="2">
        <f>COUNTIFS('BA History S2'!$B:$B,$A$13,'BA History S2'!R:R, 1)</f>
        <v>0</v>
      </c>
      <c r="W13" s="2">
        <f>COUNTIFS('BA History S2'!$B:$B,$A$13,'BA History S2'!S:S, 1)</f>
        <v>0</v>
      </c>
      <c r="X13" s="2">
        <f>COUNTIFS('BA History S2'!$B:$B,$A$13,'BA History S2'!T:T, 1)</f>
        <v>0</v>
      </c>
      <c r="Y13" s="2">
        <f>COUNTIFS('BA History S2'!$B:$B,$A$13,'BA History S2'!U:U, 1)</f>
        <v>0</v>
      </c>
      <c r="Z13" s="2">
        <f>COUNTIFS('BA History S2'!$B:$B,$A$13,'BA History S2'!V:V, 1)</f>
        <v>0</v>
      </c>
      <c r="AA13" s="2">
        <f>COUNTIFS('BA History S2'!$B:$B,$A$13,'BA History S2'!W:W, 1)</f>
        <v>0</v>
      </c>
      <c r="AB13" s="2">
        <f>COUNTIFS('BA History S2'!$B:$B,$A$13,'BA History S2'!X:X, 1)</f>
        <v>0</v>
      </c>
      <c r="AC13" s="2">
        <f>COUNTIFS('BA History S2'!$B:$B,$A$13,'BA History S2'!Y:Y, 1)</f>
        <v>0</v>
      </c>
      <c r="AD13" s="2">
        <f>COUNTIFS('BA History S2'!$B:$B,$A$13,'BA History S2'!Z:Z, 1)</f>
        <v>0</v>
      </c>
      <c r="AE13" s="2">
        <f>COUNTIFS('BA History S2'!$B:$B,$A$13,'BA History S2'!AA:AA, 1)</f>
        <v>0</v>
      </c>
      <c r="AF13" s="2">
        <f>COUNTIFS('BA History S2'!$B:$B,$A$13,'BA History S2'!AB:AB, 1)</f>
        <v>0</v>
      </c>
      <c r="AG13" s="2">
        <f>COUNTIFS('BA History S2'!$B:$B,$A$13,'BA History S2'!AC:AC, 1)</f>
        <v>0</v>
      </c>
      <c r="AH13" s="2">
        <f>COUNTIFS('BA History S2'!$B:$B,$A$13,'BA History S2'!AD:AD, 1)</f>
        <v>0</v>
      </c>
      <c r="AI13" s="2">
        <f>COUNTIFS('BA History S2'!$B:$B,$A$13,'BA History S2'!AE:AE, 1)</f>
        <v>0</v>
      </c>
      <c r="AJ13" s="2">
        <f>COUNTIFS('BA History S2'!$B:$B,$A$13,'BA History S2'!AF:AF, 1)</f>
        <v>0</v>
      </c>
    </row>
    <row r="14" spans="1:36" x14ac:dyDescent="0.25">
      <c r="A14" s="2" t="s">
        <v>53</v>
      </c>
      <c r="B14" s="2" t="s">
        <v>79</v>
      </c>
      <c r="C14" s="34">
        <f>SUMIFS('BA History S2'!C:C,'BA History S2'!B:B,A14)</f>
        <v>76</v>
      </c>
      <c r="D14" s="66">
        <f>AVERAGEIFS('BA History S2'!C:C,'BA History S2'!B:B,A14)</f>
        <v>15.2</v>
      </c>
      <c r="E14" s="35">
        <f t="array" ref="E14">MAX(IF('BA History S2'!B:B=A14, 'BA History S2'!C:C))</f>
        <v>27</v>
      </c>
      <c r="F14" s="34">
        <f>COUNTIFS('BA History S2'!B:B,A14,'BA History S2'!D:D, 1)</f>
        <v>2</v>
      </c>
      <c r="G14" s="2">
        <f>COUNTIFS('BA History S2'!B:B,A14,'BA History S2'!D:D, 0)</f>
        <v>3</v>
      </c>
      <c r="H14" s="75">
        <f>LOOKUP(2, 1/('BA History S2'!$B:$B=A14), 'BA History S2'!$AJ:$AJ)</f>
        <v>0.4</v>
      </c>
      <c r="I14" s="34">
        <f>SUMIFS('BA History S2'!F:F,'BA History S2'!B:B,A14)</f>
        <v>11</v>
      </c>
      <c r="J14" s="2">
        <f>SUMIFS('BA History S2'!E:E,'BA History S2'!B:B,A14)-I14</f>
        <v>9</v>
      </c>
      <c r="K14" s="75">
        <f>LOOKUP(2, 1/('BA History S2'!$B:$B=A14), 'BA History S2'!$AH:$AH)</f>
        <v>0.61</v>
      </c>
      <c r="L14" s="34">
        <f>SUMIFS('BA History S2'!H:H,'BA History S2'!B:B,A14)</f>
        <v>45</v>
      </c>
      <c r="M14" s="2">
        <f>SUMIFS('BA History S2'!G:G,'BA History S2'!B:B,A14)-L14</f>
        <v>41</v>
      </c>
      <c r="N14" s="89">
        <f>LOOKUP(2, 1/('BA History S2'!$B:$B=A14), 'BA History S2'!$AI:$AI)</f>
        <v>0.55999999999999994</v>
      </c>
      <c r="O14" s="2">
        <f>COUNTIFS('BA History S2'!$B:$B,$A$14,'BA History S2'!K:K, 1)</f>
        <v>1</v>
      </c>
      <c r="P14" s="2">
        <f>COUNTIFS('BA History S2'!$B:$B,$A$14,'BA History S2'!L:L, 1)</f>
        <v>3</v>
      </c>
      <c r="Q14" s="2">
        <f>COUNTIFS('BA History S2'!$B:$B,$A$14,'BA History S2'!M:M, 1)</f>
        <v>0</v>
      </c>
      <c r="R14" s="2">
        <f>COUNTIFS('BA History S2'!$B:$B,$A$14,'BA History S2'!N:N, 1)</f>
        <v>1</v>
      </c>
      <c r="S14" s="2">
        <f>COUNTIFS('BA History S2'!$B:$B,$A$14,'BA History S2'!O:O, 1)</f>
        <v>0</v>
      </c>
      <c r="T14" s="2">
        <f>COUNTIFS('BA History S2'!$B:$B,$A$14,'BA History S2'!P:P, 1)</f>
        <v>0</v>
      </c>
      <c r="U14" s="2">
        <f>COUNTIFS('BA History S2'!$B:$B,$A$14,'BA History S2'!Q:Q, 1)</f>
        <v>0</v>
      </c>
      <c r="V14" s="2">
        <f>COUNTIFS('BA History S2'!$B:$B,$A$14,'BA History S2'!R:R, 1)</f>
        <v>0</v>
      </c>
      <c r="W14" s="2">
        <f>COUNTIFS('BA History S2'!$B:$B,$A$14,'BA History S2'!S:S, 1)</f>
        <v>0</v>
      </c>
      <c r="X14" s="2">
        <f>COUNTIFS('BA History S2'!$B:$B,$A$14,'BA History S2'!T:T, 1)</f>
        <v>0</v>
      </c>
      <c r="Y14" s="2">
        <f>COUNTIFS('BA History S2'!$B:$B,$A$14,'BA History S2'!U:U, 1)</f>
        <v>0</v>
      </c>
      <c r="Z14" s="2">
        <f>COUNTIFS('BA History S2'!$B:$B,$A$14,'BA History S2'!V:V, 1)</f>
        <v>0</v>
      </c>
      <c r="AA14" s="2">
        <f>COUNTIFS('BA History S2'!$B:$B,$A$14,'BA History S2'!W:W, 1)</f>
        <v>0</v>
      </c>
      <c r="AB14" s="2">
        <f>COUNTIFS('BA History S2'!$B:$B,$A$14,'BA History S2'!X:X, 1)</f>
        <v>0</v>
      </c>
      <c r="AC14" s="2">
        <f>COUNTIFS('BA History S2'!$B:$B,$A$14,'BA History S2'!Y:Y, 1)</f>
        <v>1</v>
      </c>
      <c r="AD14" s="2">
        <f>COUNTIFS('BA History S2'!$B:$B,$A$14,'BA History S2'!Z:Z, 1)</f>
        <v>1</v>
      </c>
      <c r="AE14" s="2">
        <f>COUNTIFS('BA History S2'!$B:$B,$A$14,'BA History S2'!AA:AA, 1)</f>
        <v>0</v>
      </c>
      <c r="AF14" s="2">
        <f>COUNTIFS('BA History S2'!$B:$B,$A$14,'BA History S2'!AB:AB, 1)</f>
        <v>1</v>
      </c>
      <c r="AG14" s="2">
        <f>COUNTIFS('BA History S2'!$B:$B,$A$14,'BA History S2'!AC:AC, 1)</f>
        <v>1</v>
      </c>
      <c r="AH14" s="2">
        <f>COUNTIFS('BA History S2'!$B:$B,$A$14,'BA History S2'!AD:AD, 1)</f>
        <v>0</v>
      </c>
      <c r="AI14" s="2">
        <f>COUNTIFS('BA History S2'!$B:$B,$A$14,'BA History S2'!AE:AE, 1)</f>
        <v>0</v>
      </c>
      <c r="AJ14" s="2">
        <f>COUNTIFS('BA History S2'!$B:$B,$A$14,'BA History S2'!AF:AF, 1)</f>
        <v>2</v>
      </c>
    </row>
    <row r="15" spans="1:36" x14ac:dyDescent="0.25">
      <c r="A15" s="2" t="s">
        <v>165</v>
      </c>
      <c r="B15" s="2" t="s">
        <v>79</v>
      </c>
      <c r="C15" s="34">
        <f>SUMIFS('BA History S2'!C:C,'BA History S2'!B:B,A15)</f>
        <v>4</v>
      </c>
      <c r="D15" s="66">
        <f>AVERAGEIFS('BA History S2'!C:C,'BA History S2'!B:B,A15)</f>
        <v>4</v>
      </c>
      <c r="E15" s="35">
        <f t="array" ref="E15">MAX(IF('BA History S2'!B:B=A15, 'BA History S2'!C:C))</f>
        <v>4</v>
      </c>
      <c r="F15" s="34">
        <f>COUNTIFS('BA History S2'!B:B,A15,'BA History S2'!D:D, 1)</f>
        <v>1</v>
      </c>
      <c r="G15" s="2">
        <f>COUNTIFS('BA History S2'!B:B,A15,'BA History S2'!D:D, 0)</f>
        <v>0</v>
      </c>
      <c r="H15" s="75">
        <f>LOOKUP(2, 1/('BA History S2'!$B:$B=A15), 'BA History S2'!$AJ:$AJ)</f>
        <v>1</v>
      </c>
      <c r="I15" s="34">
        <f>SUMIFS('BA History S2'!F:F,'BA History S2'!B:B,A15)</f>
        <v>3</v>
      </c>
      <c r="J15" s="2">
        <f>SUMIFS('BA History S2'!E:E,'BA History S2'!B:B,A15)-I15</f>
        <v>1</v>
      </c>
      <c r="K15" s="75">
        <f>LOOKUP(2, 1/('BA History S2'!$B:$B=A15), 'BA History S2'!$AH:$AH)</f>
        <v>0.75</v>
      </c>
      <c r="L15" s="34">
        <f>SUMIFS('BA History S2'!H:H,'BA History S2'!B:B,A15)</f>
        <v>11</v>
      </c>
      <c r="M15" s="2">
        <f>SUMIFS('BA History S2'!G:G,'BA History S2'!B:B,A15)-L15</f>
        <v>7</v>
      </c>
      <c r="N15" s="89">
        <f>LOOKUP(2, 1/('BA History S2'!$B:$B=A15), 'BA History S2'!$AI:$AI)</f>
        <v>0.61</v>
      </c>
      <c r="O15" s="2">
        <f>COUNTIFS('BA History S2'!$B:$B,$A$15,'BA History S2'!K:K, 1)</f>
        <v>1</v>
      </c>
      <c r="P15" s="2">
        <f>COUNTIFS('BA History S2'!$B:$B,$A$15,'BA History S2'!L:L, 1)</f>
        <v>0</v>
      </c>
      <c r="Q15" s="2">
        <f>COUNTIFS('BA History S2'!$B:$B,$A$15,'BA History S2'!M:M, 1)</f>
        <v>0</v>
      </c>
      <c r="R15" s="2">
        <f>COUNTIFS('BA History S2'!$B:$B,$A$15,'BA History S2'!N:N, 1)</f>
        <v>0</v>
      </c>
      <c r="S15" s="2">
        <f>COUNTIFS('BA History S2'!$B:$B,$A$15,'BA History S2'!O:O, 1)</f>
        <v>0</v>
      </c>
      <c r="T15" s="2">
        <f>COUNTIFS('BA History S2'!$B:$B,$A$15,'BA History S2'!P:P, 1)</f>
        <v>0</v>
      </c>
      <c r="U15" s="2">
        <f>COUNTIFS('BA History S2'!$B:$B,$A$15,'BA History S2'!Q:Q, 1)</f>
        <v>0</v>
      </c>
      <c r="V15" s="2">
        <f>COUNTIFS('BA History S2'!$B:$B,$A$15,'BA History S2'!R:R, 1)</f>
        <v>0</v>
      </c>
      <c r="W15" s="2">
        <f>COUNTIFS('BA History S2'!$B:$B,$A$15,'BA History S2'!S:S, 1)</f>
        <v>0</v>
      </c>
      <c r="X15" s="2">
        <f>COUNTIFS('BA History S2'!$B:$B,$A$15,'BA History S2'!T:T, 1)</f>
        <v>0</v>
      </c>
      <c r="Y15" s="2">
        <f>COUNTIFS('BA History S2'!$B:$B,$A$15,'BA History S2'!U:U, 1)</f>
        <v>0</v>
      </c>
      <c r="Z15" s="2">
        <f>COUNTIFS('BA History S2'!$B:$B,$A$15,'BA History S2'!V:V, 1)</f>
        <v>0</v>
      </c>
      <c r="AA15" s="2">
        <f>COUNTIFS('BA History S2'!$B:$B,$A$15,'BA History S2'!W:W, 1)</f>
        <v>0</v>
      </c>
      <c r="AB15" s="2">
        <f>COUNTIFS('BA History S2'!$B:$B,$A$15,'BA History S2'!X:X, 1)</f>
        <v>0</v>
      </c>
      <c r="AC15" s="2">
        <f>COUNTIFS('BA History S2'!$B:$B,$A$15,'BA History S2'!Y:Y, 1)</f>
        <v>0</v>
      </c>
      <c r="AD15" s="2">
        <f>COUNTIFS('BA History S2'!$B:$B,$A$15,'BA History S2'!Z:Z, 1)</f>
        <v>0</v>
      </c>
      <c r="AE15" s="2">
        <f>COUNTIFS('BA History S2'!$B:$B,$A$15,'BA History S2'!AA:AA, 1)</f>
        <v>0</v>
      </c>
      <c r="AF15" s="2">
        <f>COUNTIFS('BA History S2'!$B:$B,$A$15,'BA History S2'!AB:AB, 1)</f>
        <v>0</v>
      </c>
      <c r="AG15" s="2">
        <f>COUNTIFS('BA History S2'!$B:$B,$A$15,'BA History S2'!AC:AC, 1)</f>
        <v>1</v>
      </c>
      <c r="AH15" s="2">
        <f>COUNTIFS('BA History S2'!$B:$B,$A$15,'BA History S2'!AD:AD, 1)</f>
        <v>1</v>
      </c>
      <c r="AI15" s="2">
        <f>COUNTIFS('BA History S2'!$B:$B,$A$15,'BA History S2'!AE:AE, 1)</f>
        <v>0</v>
      </c>
      <c r="AJ15" s="2">
        <f>COUNTIFS('BA History S2'!$B:$B,$A$15,'BA History S2'!AF:AF, 1)</f>
        <v>0</v>
      </c>
    </row>
    <row r="16" spans="1:36" x14ac:dyDescent="0.25">
      <c r="A16" s="2" t="s">
        <v>13</v>
      </c>
      <c r="B16" s="2" t="s">
        <v>79</v>
      </c>
      <c r="C16" s="34">
        <f>SUMIFS('BA History S2'!C:C,'BA History S2'!B:B,A16)</f>
        <v>56</v>
      </c>
      <c r="D16" s="66">
        <f>AVERAGEIFS('BA History S2'!C:C,'BA History S2'!B:B,A16)</f>
        <v>14</v>
      </c>
      <c r="E16" s="35">
        <f t="array" ref="E16">MAX(IF('BA History S2'!B:B=A16, 'BA History S2'!C:C))</f>
        <v>20</v>
      </c>
      <c r="F16" s="34">
        <f>COUNTIFS('BA History S2'!B:B,A16,'BA History S2'!D:D, 1)</f>
        <v>2</v>
      </c>
      <c r="G16" s="2">
        <f>COUNTIFS('BA History S2'!B:B,A16,'BA History S2'!D:D, 0)</f>
        <v>2</v>
      </c>
      <c r="H16" s="75">
        <f>LOOKUP(2, 1/('BA History S2'!$B:$B=A16), 'BA History S2'!$AJ:$AJ)</f>
        <v>0.5</v>
      </c>
      <c r="I16" s="34">
        <f>SUMIFS('BA History S2'!F:F,'BA History S2'!B:B,A16)</f>
        <v>7</v>
      </c>
      <c r="J16" s="2">
        <f>SUMIFS('BA History S2'!E:E,'BA History S2'!B:B,A16)-I16</f>
        <v>7</v>
      </c>
      <c r="K16" s="75">
        <f>LOOKUP(2, 1/('BA History S2'!$B:$B=A16), 'BA History S2'!$AH:$AH)</f>
        <v>0.5</v>
      </c>
      <c r="L16" s="34">
        <f>SUMIFS('BA History S2'!H:H,'BA History S2'!B:B,A16)</f>
        <v>29</v>
      </c>
      <c r="M16" s="2">
        <f>SUMIFS('BA History S2'!G:G,'BA History S2'!B:B,A16)-L16</f>
        <v>31</v>
      </c>
      <c r="N16" s="89">
        <f>LOOKUP(2, 1/('BA History S2'!$B:$B=A16), 'BA History S2'!$AI:$AI)</f>
        <v>0.46749999999999997</v>
      </c>
      <c r="O16" s="2">
        <f>COUNTIFS('BA History S2'!$B:$B,$A$16,'BA History S2'!K:K, 1)</f>
        <v>1</v>
      </c>
      <c r="P16" s="2">
        <f>COUNTIFS('BA History S2'!$B:$B,$A$16,'BA History S2'!L:L, 1)</f>
        <v>1</v>
      </c>
      <c r="Q16" s="2">
        <f>COUNTIFS('BA History S2'!$B:$B,$A$16,'BA History S2'!M:M, 1)</f>
        <v>0</v>
      </c>
      <c r="R16" s="2">
        <f>COUNTIFS('BA History S2'!$B:$B,$A$16,'BA History S2'!N:N, 1)</f>
        <v>0</v>
      </c>
      <c r="S16" s="2">
        <f>COUNTIFS('BA History S2'!$B:$B,$A$16,'BA History S2'!O:O, 1)</f>
        <v>0</v>
      </c>
      <c r="T16" s="2">
        <f>COUNTIFS('BA History S2'!$B:$B,$A$16,'BA History S2'!P:P, 1)</f>
        <v>0</v>
      </c>
      <c r="U16" s="2">
        <f>COUNTIFS('BA History S2'!$B:$B,$A$16,'BA History S2'!Q:Q, 1)</f>
        <v>0</v>
      </c>
      <c r="V16" s="2">
        <f>COUNTIFS('BA History S2'!$B:$B,$A$16,'BA History S2'!R:R, 1)</f>
        <v>0</v>
      </c>
      <c r="W16" s="2">
        <f>COUNTIFS('BA History S2'!$B:$B,$A$16,'BA History S2'!S:S, 1)</f>
        <v>0</v>
      </c>
      <c r="X16" s="2">
        <f>COUNTIFS('BA History S2'!$B:$B,$A$16,'BA History S2'!T:T, 1)</f>
        <v>0</v>
      </c>
      <c r="Y16" s="2">
        <f>COUNTIFS('BA History S2'!$B:$B,$A$16,'BA History S2'!U:U, 1)</f>
        <v>0</v>
      </c>
      <c r="Z16" s="2">
        <f>COUNTIFS('BA History S2'!$B:$B,$A$16,'BA History S2'!V:V, 1)</f>
        <v>0</v>
      </c>
      <c r="AA16" s="2">
        <f>COUNTIFS('BA History S2'!$B:$B,$A$16,'BA History S2'!W:W, 1)</f>
        <v>1</v>
      </c>
      <c r="AB16" s="2">
        <f>COUNTIFS('BA History S2'!$B:$B,$A$16,'BA History S2'!X:X, 1)</f>
        <v>0</v>
      </c>
      <c r="AC16" s="2">
        <f>COUNTIFS('BA History S2'!$B:$B,$A$16,'BA History S2'!Y:Y, 1)</f>
        <v>0</v>
      </c>
      <c r="AD16" s="2">
        <f>COUNTIFS('BA History S2'!$B:$B,$A$16,'BA History S2'!Z:Z, 1)</f>
        <v>0</v>
      </c>
      <c r="AE16" s="2">
        <f>COUNTIFS('BA History S2'!$B:$B,$A$16,'BA History S2'!AA:AA, 1)</f>
        <v>0</v>
      </c>
      <c r="AF16" s="2">
        <f>COUNTIFS('BA History S2'!$B:$B,$A$16,'BA History S2'!AB:AB, 1)</f>
        <v>0</v>
      </c>
      <c r="AG16" s="2">
        <f>COUNTIFS('BA History S2'!$B:$B,$A$16,'BA History S2'!AC:AC, 1)</f>
        <v>2</v>
      </c>
      <c r="AH16" s="2">
        <f>COUNTIFS('BA History S2'!$B:$B,$A$16,'BA History S2'!AD:AD, 1)</f>
        <v>1</v>
      </c>
      <c r="AI16" s="2">
        <f>COUNTIFS('BA History S2'!$B:$B,$A$16,'BA History S2'!AE:AE, 1)</f>
        <v>0</v>
      </c>
      <c r="AJ16" s="2">
        <f>COUNTIFS('BA History S2'!$B:$B,$A$16,'BA History S2'!AF:AF, 1)</f>
        <v>1</v>
      </c>
    </row>
    <row r="17" spans="1:36" x14ac:dyDescent="0.25">
      <c r="A17" s="2" t="s">
        <v>2</v>
      </c>
      <c r="B17" s="1" t="s">
        <v>162</v>
      </c>
      <c r="C17" s="34">
        <f>SUMIFS('BA History S2'!C:C,'BA History S2'!B:B,A17)</f>
        <v>82</v>
      </c>
      <c r="D17" s="66">
        <f>AVERAGEIFS('BA History S2'!C:C,'BA History S2'!B:B,A17)</f>
        <v>20.5</v>
      </c>
      <c r="E17" s="35">
        <f t="array" ref="E17">MAX(IF('BA History S2'!B:B=A17, 'BA History S2'!C:C))</f>
        <v>33</v>
      </c>
      <c r="F17" s="34">
        <f>COUNTIFS('BA History S2'!B:B,A17,'BA History S2'!D:D, 1)</f>
        <v>2</v>
      </c>
      <c r="G17" s="2">
        <f>COUNTIFS('BA History S2'!B:B,A17,'BA History S2'!D:D, 0)</f>
        <v>2</v>
      </c>
      <c r="H17" s="75">
        <f>LOOKUP(2, 1/('BA History S2'!$B:$B=A17), 'BA History S2'!$AJ:$AJ)</f>
        <v>0.5</v>
      </c>
      <c r="I17" s="34">
        <f>SUMIFS('BA History S2'!F:F,'BA History S2'!B:B,A17)</f>
        <v>9</v>
      </c>
      <c r="J17" s="2">
        <f>SUMIFS('BA History S2'!E:E,'BA History S2'!B:B,A17)-I17</f>
        <v>7</v>
      </c>
      <c r="K17" s="75">
        <f>LOOKUP(2, 1/('BA History S2'!$B:$B=A17), 'BA History S2'!$AH:$AH)</f>
        <v>0.6</v>
      </c>
      <c r="L17" s="34">
        <f>SUMIFS('BA History S2'!H:H,'BA History S2'!B:B,A17)</f>
        <v>40</v>
      </c>
      <c r="M17" s="2">
        <f>SUMIFS('BA History S2'!G:G,'BA History S2'!B:B,A17)-L17</f>
        <v>30</v>
      </c>
      <c r="N17" s="89">
        <f>LOOKUP(2, 1/('BA History S2'!$B:$B=A17), 'BA History S2'!$AI:$AI)</f>
        <v>0.61250000000000004</v>
      </c>
      <c r="O17" s="2">
        <f>COUNTIFS('BA History S2'!$B:$B,$A$17,'BA History S2'!K:K, 1)</f>
        <v>1</v>
      </c>
      <c r="P17" s="2">
        <f>COUNTIFS('BA History S2'!$B:$B,$A$17,'BA History S2'!L:L, 1)</f>
        <v>1</v>
      </c>
      <c r="Q17" s="2">
        <f>COUNTIFS('BA History S2'!$B:$B,$A$17,'BA History S2'!M:M, 1)</f>
        <v>0</v>
      </c>
      <c r="R17" s="2">
        <f>COUNTIFS('BA History S2'!$B:$B,$A$17,'BA History S2'!N:N, 1)</f>
        <v>1</v>
      </c>
      <c r="S17" s="2">
        <f>COUNTIFS('BA History S2'!$B:$B,$A$17,'BA History S2'!O:O, 1)</f>
        <v>0</v>
      </c>
      <c r="T17" s="2">
        <f>COUNTIFS('BA History S2'!$B:$B,$A$17,'BA History S2'!P:P, 1)</f>
        <v>0</v>
      </c>
      <c r="U17" s="2">
        <f>COUNTIFS('BA History S2'!$B:$B,$A$17,'BA History S2'!Q:Q, 1)</f>
        <v>1</v>
      </c>
      <c r="V17" s="2">
        <f>COUNTIFS('BA History S2'!$B:$B,$A$17,'BA History S2'!R:R, 1)</f>
        <v>0</v>
      </c>
      <c r="W17" s="2">
        <f>COUNTIFS('BA History S2'!$B:$B,$A$17,'BA History S2'!S:S, 1)</f>
        <v>0</v>
      </c>
      <c r="X17" s="2">
        <f>COUNTIFS('BA History S2'!$B:$B,$A$17,'BA History S2'!T:T, 1)</f>
        <v>0</v>
      </c>
      <c r="Y17" s="2">
        <f>COUNTIFS('BA History S2'!$B:$B,$A$17,'BA History S2'!U:U, 1)</f>
        <v>0</v>
      </c>
      <c r="Z17" s="2">
        <f>COUNTIFS('BA History S2'!$B:$B,$A$17,'BA History S2'!V:V, 1)</f>
        <v>0</v>
      </c>
      <c r="AA17" s="2">
        <f>COUNTIFS('BA History S2'!$B:$B,$A$17,'BA History S2'!W:W, 1)</f>
        <v>0</v>
      </c>
      <c r="AB17" s="2">
        <f>COUNTIFS('BA History S2'!$B:$B,$A$17,'BA History S2'!X:X, 1)</f>
        <v>0</v>
      </c>
      <c r="AC17" s="2">
        <f>COUNTIFS('BA History S2'!$B:$B,$A$17,'BA History S2'!Y:Y, 1)</f>
        <v>0</v>
      </c>
      <c r="AD17" s="2">
        <f>COUNTIFS('BA History S2'!$B:$B,$A$17,'BA History S2'!Z:Z, 1)</f>
        <v>1</v>
      </c>
      <c r="AE17" s="2">
        <f>COUNTIFS('BA History S2'!$B:$B,$A$17,'BA History S2'!AA:AA, 1)</f>
        <v>0</v>
      </c>
      <c r="AF17" s="2">
        <f>COUNTIFS('BA History S2'!$B:$B,$A$17,'BA History S2'!AB:AB, 1)</f>
        <v>1</v>
      </c>
      <c r="AG17" s="2">
        <f>COUNTIFS('BA History S2'!$B:$B,$A$17,'BA History S2'!AC:AC, 1)</f>
        <v>1</v>
      </c>
      <c r="AH17" s="2">
        <f>COUNTIFS('BA History S2'!$B:$B,$A$17,'BA History S2'!AD:AD, 1)</f>
        <v>1</v>
      </c>
      <c r="AI17" s="2">
        <f>COUNTIFS('BA History S2'!$B:$B,$A$17,'BA History S2'!AE:AE, 1)</f>
        <v>0</v>
      </c>
      <c r="AJ17" s="2">
        <f>COUNTIFS('BA History S2'!$B:$B,$A$17,'BA History S2'!AF:AF, 1)</f>
        <v>1</v>
      </c>
    </row>
    <row r="18" spans="1:36" x14ac:dyDescent="0.25">
      <c r="A18" s="2" t="s">
        <v>54</v>
      </c>
      <c r="B18" s="2" t="s">
        <v>79</v>
      </c>
      <c r="C18" s="34">
        <f>SUMIFS('BA History S2'!C:C,'BA History S2'!B:B,A18)</f>
        <v>32</v>
      </c>
      <c r="D18" s="66">
        <f>AVERAGEIFS('BA History S2'!C:C,'BA History S2'!B:B,A18)</f>
        <v>16</v>
      </c>
      <c r="E18" s="35">
        <f t="array" ref="E18">MAX(IF('BA History S2'!B:B=A18, 'BA History S2'!C:C))</f>
        <v>16</v>
      </c>
      <c r="F18" s="34">
        <f>COUNTIFS('BA History S2'!B:B,A18,'BA History S2'!D:D, 1)</f>
        <v>2</v>
      </c>
      <c r="G18" s="2">
        <f>COUNTIFS('BA History S2'!B:B,A18,'BA History S2'!D:D, 0)</f>
        <v>0</v>
      </c>
      <c r="H18" s="75">
        <f>LOOKUP(2, 1/('BA History S2'!$B:$B=A18), 'BA History S2'!$AJ:$AJ)</f>
        <v>1</v>
      </c>
      <c r="I18" s="34">
        <f>SUMIFS('BA History S2'!F:F,'BA History S2'!B:B,A18)</f>
        <v>6</v>
      </c>
      <c r="J18" s="2">
        <f>SUMIFS('BA History S2'!E:E,'BA History S2'!B:B,A18)-I18</f>
        <v>0</v>
      </c>
      <c r="K18" s="75">
        <f>LOOKUP(2, 1/('BA History S2'!$B:$B=A18), 'BA History S2'!$AH:$AH)</f>
        <v>1</v>
      </c>
      <c r="L18" s="34">
        <f>SUMIFS('BA History S2'!H:H,'BA History S2'!B:B,A18)</f>
        <v>18</v>
      </c>
      <c r="M18" s="2">
        <f>SUMIFS('BA History S2'!G:G,'BA History S2'!B:B,A18)-L18</f>
        <v>5</v>
      </c>
      <c r="N18" s="89">
        <f>LOOKUP(2, 1/('BA History S2'!$B:$B=A18), 'BA History S2'!$AI:$AI)</f>
        <v>0.79499999999999993</v>
      </c>
      <c r="O18" s="2">
        <f>COUNTIFS('BA History S2'!$B:$B,$A$18,'BA History S2'!K:K, 1)</f>
        <v>0</v>
      </c>
      <c r="P18" s="2">
        <f>COUNTIFS('BA History S2'!$B:$B,$A$18,'BA History S2'!L:L, 1)</f>
        <v>1</v>
      </c>
      <c r="Q18" s="2">
        <f>COUNTIFS('BA History S2'!$B:$B,$A$18,'BA History S2'!M:M, 1)</f>
        <v>0</v>
      </c>
      <c r="R18" s="2">
        <f>COUNTIFS('BA History S2'!$B:$B,$A$18,'BA History S2'!N:N, 1)</f>
        <v>1</v>
      </c>
      <c r="S18" s="2">
        <f>COUNTIFS('BA History S2'!$B:$B,$A$18,'BA History S2'!O:O, 1)</f>
        <v>0</v>
      </c>
      <c r="T18" s="2">
        <f>COUNTIFS('BA History S2'!$B:$B,$A$18,'BA History S2'!P:P, 1)</f>
        <v>0</v>
      </c>
      <c r="U18" s="2">
        <f>COUNTIFS('BA History S2'!$B:$B,$A$18,'BA History S2'!Q:Q, 1)</f>
        <v>1</v>
      </c>
      <c r="V18" s="2">
        <f>COUNTIFS('BA History S2'!$B:$B,$A$18,'BA History S2'!R:R, 1)</f>
        <v>0</v>
      </c>
      <c r="W18" s="2">
        <f>COUNTIFS('BA History S2'!$B:$B,$A$18,'BA History S2'!S:S, 1)</f>
        <v>0</v>
      </c>
      <c r="X18" s="2">
        <f>COUNTIFS('BA History S2'!$B:$B,$A$18,'BA History S2'!T:T, 1)</f>
        <v>0</v>
      </c>
      <c r="Y18" s="2">
        <f>COUNTIFS('BA History S2'!$B:$B,$A$18,'BA History S2'!U:U, 1)</f>
        <v>0</v>
      </c>
      <c r="Z18" s="2">
        <f>COUNTIFS('BA History S2'!$B:$B,$A$18,'BA History S2'!V:V, 1)</f>
        <v>0</v>
      </c>
      <c r="AA18" s="2">
        <f>COUNTIFS('BA History S2'!$B:$B,$A$18,'BA History S2'!W:W, 1)</f>
        <v>0</v>
      </c>
      <c r="AB18" s="2">
        <f>COUNTIFS('BA History S2'!$B:$B,$A$18,'BA History S2'!X:X, 1)</f>
        <v>0</v>
      </c>
      <c r="AC18" s="2">
        <f>COUNTIFS('BA History S2'!$B:$B,$A$18,'BA History S2'!Y:Y, 1)</f>
        <v>0</v>
      </c>
      <c r="AD18" s="2">
        <f>COUNTIFS('BA History S2'!$B:$B,$A$18,'BA History S2'!Z:Z, 1)</f>
        <v>1</v>
      </c>
      <c r="AE18" s="2">
        <f>COUNTIFS('BA History S2'!$B:$B,$A$18,'BA History S2'!AA:AA, 1)</f>
        <v>0</v>
      </c>
      <c r="AF18" s="2">
        <f>COUNTIFS('BA History S2'!$B:$B,$A$18,'BA History S2'!AB:AB, 1)</f>
        <v>0</v>
      </c>
      <c r="AG18" s="2">
        <f>COUNTIFS('BA History S2'!$B:$B,$A$18,'BA History S2'!AC:AC, 1)</f>
        <v>1</v>
      </c>
      <c r="AH18" s="2">
        <f>COUNTIFS('BA History S2'!$B:$B,$A$18,'BA History S2'!AD:AD, 1)</f>
        <v>0</v>
      </c>
      <c r="AI18" s="2">
        <f>COUNTIFS('BA History S2'!$B:$B,$A$18,'BA History S2'!AE:AE, 1)</f>
        <v>0</v>
      </c>
      <c r="AJ18" s="2">
        <f>COUNTIFS('BA History S2'!$B:$B,$A$18,'BA History S2'!AF:AF, 1)</f>
        <v>1</v>
      </c>
    </row>
    <row r="19" spans="1:36" x14ac:dyDescent="0.25">
      <c r="A19" s="2" t="s">
        <v>5</v>
      </c>
      <c r="B19" s="1" t="s">
        <v>162</v>
      </c>
      <c r="C19" s="34">
        <f>SUMIFS('BA History S2'!C:C,'BA History S2'!B:B,A19)</f>
        <v>51</v>
      </c>
      <c r="D19" s="66">
        <f>AVERAGEIFS('BA History S2'!C:C,'BA History S2'!B:B,A19)</f>
        <v>17</v>
      </c>
      <c r="E19" s="35">
        <f t="array" ref="E19">MAX(IF('BA History S2'!B:B=A19, 'BA History S2'!C:C))</f>
        <v>19</v>
      </c>
      <c r="F19" s="34">
        <f>COUNTIFS('BA History S2'!B:B,A19,'BA History S2'!D:D, 1)</f>
        <v>2</v>
      </c>
      <c r="G19" s="2">
        <f>COUNTIFS('BA History S2'!B:B,A19,'BA History S2'!D:D, 0)</f>
        <v>1</v>
      </c>
      <c r="H19" s="75">
        <f>LOOKUP(2, 1/('BA History S2'!$B:$B=A19), 'BA History S2'!$AJ:$AJ)</f>
        <v>0.66666666666666663</v>
      </c>
      <c r="I19" s="34">
        <f>SUMIFS('BA History S2'!F:F,'BA History S2'!B:B,A19)</f>
        <v>7</v>
      </c>
      <c r="J19" s="2">
        <f>SUMIFS('BA History S2'!E:E,'BA History S2'!B:B,A19)-I19</f>
        <v>5</v>
      </c>
      <c r="K19" s="75">
        <f>LOOKUP(2, 1/('BA History S2'!$B:$B=A19), 'BA History S2'!$AH:$AH)</f>
        <v>0.6166666666666667</v>
      </c>
      <c r="L19" s="34">
        <f>SUMIFS('BA History S2'!H:H,'BA History S2'!B:B,A19)</f>
        <v>28</v>
      </c>
      <c r="M19" s="2">
        <f>SUMIFS('BA History S2'!G:G,'BA History S2'!B:B,A19)-L19</f>
        <v>25</v>
      </c>
      <c r="N19" s="89">
        <f>LOOKUP(2, 1/('BA History S2'!$B:$B=A19), 'BA History S2'!$AI:$AI)</f>
        <v>0.56999999999999995</v>
      </c>
      <c r="O19" s="2">
        <f>COUNTIFS('BA History S2'!$B:$B,$A$19,'BA History S2'!K:K, 1)</f>
        <v>0</v>
      </c>
      <c r="P19" s="2">
        <f>COUNTIFS('BA History S2'!$B:$B,$A$19,'BA History S2'!L:L, 1)</f>
        <v>1</v>
      </c>
      <c r="Q19" s="2">
        <f>COUNTIFS('BA History S2'!$B:$B,$A$19,'BA History S2'!M:M, 1)</f>
        <v>1</v>
      </c>
      <c r="R19" s="2">
        <f>COUNTIFS('BA History S2'!$B:$B,$A$19,'BA History S2'!N:N, 1)</f>
        <v>2</v>
      </c>
      <c r="S19" s="2">
        <f>COUNTIFS('BA History S2'!$B:$B,$A$19,'BA History S2'!O:O, 1)</f>
        <v>0</v>
      </c>
      <c r="T19" s="2">
        <f>COUNTIFS('BA History S2'!$B:$B,$A$19,'BA History S2'!P:P, 1)</f>
        <v>0</v>
      </c>
      <c r="U19" s="2">
        <f>COUNTIFS('BA History S2'!$B:$B,$A$19,'BA History S2'!Q:Q, 1)</f>
        <v>0</v>
      </c>
      <c r="V19" s="2">
        <f>COUNTIFS('BA History S2'!$B:$B,$A$19,'BA History S2'!R:R, 1)</f>
        <v>0</v>
      </c>
      <c r="W19" s="2">
        <f>COUNTIFS('BA History S2'!$B:$B,$A$19,'BA History S2'!S:S, 1)</f>
        <v>0</v>
      </c>
      <c r="X19" s="2">
        <f>COUNTIFS('BA History S2'!$B:$B,$A$19,'BA History S2'!T:T, 1)</f>
        <v>0</v>
      </c>
      <c r="Y19" s="2">
        <f>COUNTIFS('BA History S2'!$B:$B,$A$19,'BA History S2'!U:U, 1)</f>
        <v>0</v>
      </c>
      <c r="Z19" s="2">
        <f>COUNTIFS('BA History S2'!$B:$B,$A$19,'BA History S2'!V:V, 1)</f>
        <v>0</v>
      </c>
      <c r="AA19" s="2">
        <f>COUNTIFS('BA History S2'!$B:$B,$A$19,'BA History S2'!W:W, 1)</f>
        <v>0</v>
      </c>
      <c r="AB19" s="2">
        <f>COUNTIFS('BA History S2'!$B:$B,$A$19,'BA History S2'!X:X, 1)</f>
        <v>0</v>
      </c>
      <c r="AC19" s="2">
        <f>COUNTIFS('BA History S2'!$B:$B,$A$19,'BA History S2'!Y:Y, 1)</f>
        <v>0</v>
      </c>
      <c r="AD19" s="2">
        <f>COUNTIFS('BA History S2'!$B:$B,$A$19,'BA History S2'!Z:Z, 1)</f>
        <v>1</v>
      </c>
      <c r="AE19" s="2">
        <f>COUNTIFS('BA History S2'!$B:$B,$A$19,'BA History S2'!AA:AA, 1)</f>
        <v>0</v>
      </c>
      <c r="AF19" s="2">
        <f>COUNTIFS('BA History S2'!$B:$B,$A$19,'BA History S2'!AB:AB, 1)</f>
        <v>2</v>
      </c>
      <c r="AG19" s="2">
        <f>COUNTIFS('BA History S2'!$B:$B,$A$19,'BA History S2'!AC:AC, 1)</f>
        <v>0</v>
      </c>
      <c r="AH19" s="2">
        <f>COUNTIFS('BA History S2'!$B:$B,$A$19,'BA History S2'!AD:AD, 1)</f>
        <v>0</v>
      </c>
      <c r="AI19" s="2">
        <f>COUNTIFS('BA History S2'!$B:$B,$A$19,'BA History S2'!AE:AE, 1)</f>
        <v>0</v>
      </c>
      <c r="AJ19" s="2">
        <f>COUNTIFS('BA History S2'!$B:$B,$A$19,'BA History S2'!AF:AF, 1)</f>
        <v>0</v>
      </c>
    </row>
    <row r="20" spans="1:36" x14ac:dyDescent="0.25">
      <c r="A20" s="2" t="s">
        <v>142</v>
      </c>
      <c r="B20" s="2" t="s">
        <v>79</v>
      </c>
      <c r="C20" s="34">
        <f>SUMIFS('BA History S2'!C:C,'BA History S2'!B:B,A20)</f>
        <v>15</v>
      </c>
      <c r="D20" s="66">
        <f>AVERAGEIFS('BA History S2'!C:C,'BA History S2'!B:B,A20)</f>
        <v>7.5</v>
      </c>
      <c r="E20" s="35">
        <f t="array" ref="E20">MAX(IF('BA History S2'!B:B=A20, 'BA History S2'!C:C))</f>
        <v>14</v>
      </c>
      <c r="F20" s="34">
        <f>COUNTIFS('BA History S2'!B:B,A20,'BA History S2'!D:D, 1)</f>
        <v>1</v>
      </c>
      <c r="G20" s="2">
        <f>COUNTIFS('BA History S2'!B:B,A20,'BA History S2'!D:D, 0)</f>
        <v>1</v>
      </c>
      <c r="H20" s="75">
        <f>LOOKUP(2, 1/('BA History S2'!$B:$B=A20), 'BA History S2'!$AJ:$AJ)</f>
        <v>0.5</v>
      </c>
      <c r="I20" s="34">
        <f>SUMIFS('BA History S2'!F:F,'BA History S2'!B:B,A20)</f>
        <v>3</v>
      </c>
      <c r="J20" s="2">
        <f>SUMIFS('BA History S2'!E:E,'BA History S2'!B:B,A20)-I20</f>
        <v>5</v>
      </c>
      <c r="K20" s="75">
        <f>LOOKUP(2, 1/('BA History S2'!$B:$B=A20), 'BA History S2'!$AH:$AH)</f>
        <v>0.3</v>
      </c>
      <c r="L20" s="34">
        <f>SUMIFS('BA History S2'!H:H,'BA History S2'!B:B,A20)</f>
        <v>16</v>
      </c>
      <c r="M20" s="2">
        <f>SUMIFS('BA History S2'!G:G,'BA History S2'!B:B,A20)-L20</f>
        <v>17</v>
      </c>
      <c r="N20" s="89">
        <f>LOOKUP(2, 1/('BA History S2'!$B:$B=A20), 'BA History S2'!$AI:$AI)</f>
        <v>0.45499999999999996</v>
      </c>
      <c r="O20" s="2">
        <f>COUNTIFS('BA History S2'!$B:$B,$A$20,'BA History S2'!K:K, 1)</f>
        <v>0</v>
      </c>
      <c r="P20" s="2">
        <f>COUNTIFS('BA History S2'!$B:$B,$A$20,'BA History S2'!L:L, 1)</f>
        <v>1</v>
      </c>
      <c r="Q20" s="2">
        <f>COUNTIFS('BA History S2'!$B:$B,$A$20,'BA History S2'!M:M, 1)</f>
        <v>0</v>
      </c>
      <c r="R20" s="2">
        <f>COUNTIFS('BA History S2'!$B:$B,$A$20,'BA History S2'!N:N, 1)</f>
        <v>1</v>
      </c>
      <c r="S20" s="2">
        <f>COUNTIFS('BA History S2'!$B:$B,$A$20,'BA History S2'!O:O, 1)</f>
        <v>0</v>
      </c>
      <c r="T20" s="2">
        <f>COUNTIFS('BA History S2'!$B:$B,$A$20,'BA History S2'!P:P, 1)</f>
        <v>0</v>
      </c>
      <c r="U20" s="2">
        <f>COUNTIFS('BA History S2'!$B:$B,$A$20,'BA History S2'!Q:Q, 1)</f>
        <v>0</v>
      </c>
      <c r="V20" s="2">
        <f>COUNTIFS('BA History S2'!$B:$B,$A$20,'BA History S2'!R:R, 1)</f>
        <v>0</v>
      </c>
      <c r="W20" s="2">
        <f>COUNTIFS('BA History S2'!$B:$B,$A$20,'BA History S2'!S:S, 1)</f>
        <v>0</v>
      </c>
      <c r="X20" s="2">
        <f>COUNTIFS('BA History S2'!$B:$B,$A$20,'BA History S2'!T:T, 1)</f>
        <v>0</v>
      </c>
      <c r="Y20" s="2">
        <f>COUNTIFS('BA History S2'!$B:$B,$A$20,'BA History S2'!U:U, 1)</f>
        <v>0</v>
      </c>
      <c r="Z20" s="2">
        <f>COUNTIFS('BA History S2'!$B:$B,$A$20,'BA History S2'!V:V, 1)</f>
        <v>0</v>
      </c>
      <c r="AA20" s="2">
        <f>COUNTIFS('BA History S2'!$B:$B,$A$20,'BA History S2'!W:W, 1)</f>
        <v>0</v>
      </c>
      <c r="AB20" s="2">
        <f>COUNTIFS('BA History S2'!$B:$B,$A$20,'BA History S2'!X:X, 1)</f>
        <v>0</v>
      </c>
      <c r="AC20" s="2">
        <f>COUNTIFS('BA History S2'!$B:$B,$A$20,'BA History S2'!Y:Y, 1)</f>
        <v>0</v>
      </c>
      <c r="AD20" s="2">
        <f>COUNTIFS('BA History S2'!$B:$B,$A$20,'BA History S2'!Z:Z, 1)</f>
        <v>0</v>
      </c>
      <c r="AE20" s="2">
        <f>COUNTIFS('BA History S2'!$B:$B,$A$20,'BA History S2'!AA:AA, 1)</f>
        <v>0</v>
      </c>
      <c r="AF20" s="2">
        <f>COUNTIFS('BA History S2'!$B:$B,$A$20,'BA History S2'!AB:AB, 1)</f>
        <v>0</v>
      </c>
      <c r="AG20" s="2">
        <f>COUNTIFS('BA History S2'!$B:$B,$A$20,'BA History S2'!AC:AC, 1)</f>
        <v>1</v>
      </c>
      <c r="AH20" s="2">
        <f>COUNTIFS('BA History S2'!$B:$B,$A$20,'BA History S2'!AD:AD, 1)</f>
        <v>0</v>
      </c>
      <c r="AI20" s="2">
        <f>COUNTIFS('BA History S2'!$B:$B,$A$20,'BA History S2'!AE:AE, 1)</f>
        <v>0</v>
      </c>
      <c r="AJ20" s="2">
        <f>COUNTIFS('BA History S2'!$B:$B,$A$20,'BA History S2'!AF:AF, 1)</f>
        <v>0</v>
      </c>
    </row>
    <row r="21" spans="1:36" x14ac:dyDescent="0.25">
      <c r="A21" s="2" t="s">
        <v>40</v>
      </c>
      <c r="B21" s="2" t="s">
        <v>79</v>
      </c>
      <c r="C21" s="34">
        <f>SUMIFS('BA History S2'!C:C,'BA History S2'!B:B,A21)</f>
        <v>135</v>
      </c>
      <c r="D21" s="66">
        <f>AVERAGEIFS('BA History S2'!C:C,'BA History S2'!B:B,A21)</f>
        <v>19.285714285714285</v>
      </c>
      <c r="E21" s="35">
        <f t="array" ref="E21">MAX(IF('BA History S2'!B:B=A21, 'BA History S2'!C:C))</f>
        <v>37</v>
      </c>
      <c r="F21" s="34">
        <f>COUNTIFS('BA History S2'!B:B,A21,'BA History S2'!D:D, 1)</f>
        <v>4</v>
      </c>
      <c r="G21" s="2">
        <f>COUNTIFS('BA History S2'!B:B,A21,'BA History S2'!D:D, 0)</f>
        <v>3</v>
      </c>
      <c r="H21" s="75">
        <f>LOOKUP(2, 1/('BA History S2'!$B:$B=A21), 'BA History S2'!$AJ:$AJ)</f>
        <v>0.5714285714285714</v>
      </c>
      <c r="I21" s="34">
        <f>SUMIFS('BA History S2'!F:F,'BA History S2'!B:B,A21)</f>
        <v>15</v>
      </c>
      <c r="J21" s="2">
        <f>SUMIFS('BA History S2'!E:E,'BA History S2'!B:B,A21)-I21</f>
        <v>13</v>
      </c>
      <c r="K21" s="75">
        <f>LOOKUP(2, 1/('BA History S2'!$B:$B=A21), 'BA History S2'!$AH:$AH)</f>
        <v>0.5357142857142857</v>
      </c>
      <c r="L21" s="34">
        <f>SUMIFS('BA History S2'!H:H,'BA History S2'!B:B,A21)</f>
        <v>62</v>
      </c>
      <c r="M21" s="2">
        <f>SUMIFS('BA History S2'!G:G,'BA History S2'!B:B,A21)-L21</f>
        <v>57</v>
      </c>
      <c r="N21" s="89">
        <f>LOOKUP(2, 1/('BA History S2'!$B:$B=A21), 'BA History S2'!$AI:$AI)</f>
        <v>0.51142857142857145</v>
      </c>
      <c r="O21" s="2">
        <f>COUNTIFS('BA History S2'!$B:$B,$A$21,'BA History S2'!K:K, 1)</f>
        <v>0</v>
      </c>
      <c r="P21" s="2">
        <f>COUNTIFS('BA History S2'!$B:$B,$A$21,'BA History S2'!L:L, 1)</f>
        <v>3</v>
      </c>
      <c r="Q21" s="2">
        <f>COUNTIFS('BA History S2'!$B:$B,$A$21,'BA History S2'!M:M, 1)</f>
        <v>2</v>
      </c>
      <c r="R21" s="2">
        <f>COUNTIFS('BA History S2'!$B:$B,$A$21,'BA History S2'!N:N, 1)</f>
        <v>2</v>
      </c>
      <c r="S21" s="2">
        <f>COUNTIFS('BA History S2'!$B:$B,$A$21,'BA History S2'!O:O, 1)</f>
        <v>0</v>
      </c>
      <c r="T21" s="2">
        <f>COUNTIFS('BA History S2'!$B:$B,$A$21,'BA History S2'!P:P, 1)</f>
        <v>0</v>
      </c>
      <c r="U21" s="2">
        <f>COUNTIFS('BA History S2'!$B:$B,$A$21,'BA History S2'!Q:Q, 1)</f>
        <v>1</v>
      </c>
      <c r="V21" s="2">
        <f>COUNTIFS('BA History S2'!$B:$B,$A$21,'BA History S2'!R:R, 1)</f>
        <v>0</v>
      </c>
      <c r="W21" s="2">
        <f>COUNTIFS('BA History S2'!$B:$B,$A$21,'BA History S2'!S:S, 1)</f>
        <v>0</v>
      </c>
      <c r="X21" s="2">
        <f>COUNTIFS('BA History S2'!$B:$B,$A$21,'BA History S2'!T:T, 1)</f>
        <v>0</v>
      </c>
      <c r="Y21" s="2">
        <f>COUNTIFS('BA History S2'!$B:$B,$A$21,'BA History S2'!U:U, 1)</f>
        <v>0</v>
      </c>
      <c r="Z21" s="2">
        <f>COUNTIFS('BA History S2'!$B:$B,$A$21,'BA History S2'!V:V, 1)</f>
        <v>0</v>
      </c>
      <c r="AA21" s="2">
        <f>COUNTIFS('BA History S2'!$B:$B,$A$21,'BA History S2'!W:W, 1)</f>
        <v>0</v>
      </c>
      <c r="AB21" s="2">
        <f>COUNTIFS('BA History S2'!$B:$B,$A$21,'BA History S2'!X:X, 1)</f>
        <v>0</v>
      </c>
      <c r="AC21" s="2">
        <f>COUNTIFS('BA History S2'!$B:$B,$A$21,'BA History S2'!Y:Y, 1)</f>
        <v>0</v>
      </c>
      <c r="AD21" s="2">
        <f>COUNTIFS('BA History S2'!$B:$B,$A$21,'BA History S2'!Z:Z, 1)</f>
        <v>2</v>
      </c>
      <c r="AE21" s="2">
        <f>COUNTIFS('BA History S2'!$B:$B,$A$21,'BA History S2'!AA:AA, 1)</f>
        <v>0</v>
      </c>
      <c r="AF21" s="2">
        <f>COUNTIFS('BA History S2'!$B:$B,$A$21,'BA History S2'!AB:AB, 1)</f>
        <v>2</v>
      </c>
      <c r="AG21" s="2">
        <f>COUNTIFS('BA History S2'!$B:$B,$A$21,'BA History S2'!AC:AC, 1)</f>
        <v>1</v>
      </c>
      <c r="AH21" s="2">
        <f>COUNTIFS('BA History S2'!$B:$B,$A$21,'BA History S2'!AD:AD, 1)</f>
        <v>1</v>
      </c>
      <c r="AI21" s="2">
        <f>COUNTIFS('BA History S2'!$B:$B,$A$21,'BA History S2'!AE:AE, 1)</f>
        <v>0</v>
      </c>
      <c r="AJ21" s="2">
        <f>COUNTIFS('BA History S2'!$B:$B,$A$21,'BA History S2'!AF:AF, 1)</f>
        <v>1</v>
      </c>
    </row>
    <row r="22" spans="1:36" x14ac:dyDescent="0.25">
      <c r="A22" s="2" t="s">
        <v>148</v>
      </c>
      <c r="B22" s="2" t="s">
        <v>79</v>
      </c>
      <c r="C22" s="34">
        <f>SUMIFS('BA History S2'!C:C,'BA History S2'!B:B,A22)</f>
        <v>40</v>
      </c>
      <c r="D22" s="66">
        <f>AVERAGEIFS('BA History S2'!C:C,'BA History S2'!B:B,A22)</f>
        <v>13.333333333333334</v>
      </c>
      <c r="E22" s="35">
        <f t="array" ref="E22">MAX(IF('BA History S2'!B:B=A22, 'BA History S2'!C:C))</f>
        <v>15</v>
      </c>
      <c r="F22" s="34">
        <f>COUNTIFS('BA History S2'!B:B,A22,'BA History S2'!D:D, 1)</f>
        <v>1</v>
      </c>
      <c r="G22" s="2">
        <f>COUNTIFS('BA History S2'!B:B,A22,'BA History S2'!D:D, 0)</f>
        <v>2</v>
      </c>
      <c r="H22" s="75">
        <f>LOOKUP(2, 1/('BA History S2'!$B:$B=A22), 'BA History S2'!$AJ:$AJ)</f>
        <v>0.33333333333333331</v>
      </c>
      <c r="I22" s="34">
        <f>SUMIFS('BA History S2'!F:F,'BA History S2'!B:B,A22)</f>
        <v>6</v>
      </c>
      <c r="J22" s="2">
        <f>SUMIFS('BA History S2'!E:E,'BA History S2'!B:B,A22)-I22</f>
        <v>6</v>
      </c>
      <c r="K22" s="75">
        <f>LOOKUP(2, 1/('BA History S2'!$B:$B=A22), 'BA History S2'!$AH:$AH)</f>
        <v>0.54999999999999993</v>
      </c>
      <c r="L22" s="34">
        <f>SUMIFS('BA History S2'!H:H,'BA History S2'!B:B,A22)</f>
        <v>29</v>
      </c>
      <c r="M22" s="2">
        <f>SUMIFS('BA History S2'!G:G,'BA History S2'!B:B,A22)-L22</f>
        <v>23</v>
      </c>
      <c r="N22" s="89">
        <f>LOOKUP(2, 1/('BA History S2'!$B:$B=A22), 'BA History S2'!$AI:$AI)</f>
        <v>0.6133333333333334</v>
      </c>
      <c r="O22" s="2">
        <f>COUNTIFS('BA History S2'!$B:$B,$A$22,'BA History S2'!K:K, 1)</f>
        <v>0</v>
      </c>
      <c r="P22" s="2">
        <f>COUNTIFS('BA History S2'!$B:$B,$A$22,'BA History S2'!L:L, 1)</f>
        <v>1</v>
      </c>
      <c r="Q22" s="2">
        <f>COUNTIFS('BA History S2'!$B:$B,$A$22,'BA History S2'!M:M, 1)</f>
        <v>0</v>
      </c>
      <c r="R22" s="2">
        <f>COUNTIFS('BA History S2'!$B:$B,$A$22,'BA History S2'!N:N, 1)</f>
        <v>1</v>
      </c>
      <c r="S22" s="2">
        <f>COUNTIFS('BA History S2'!$B:$B,$A$22,'BA History S2'!O:O, 1)</f>
        <v>0</v>
      </c>
      <c r="T22" s="2">
        <f>COUNTIFS('BA History S2'!$B:$B,$A$22,'BA History S2'!P:P, 1)</f>
        <v>0</v>
      </c>
      <c r="U22" s="2">
        <f>COUNTIFS('BA History S2'!$B:$B,$A$22,'BA History S2'!Q:Q, 1)</f>
        <v>1</v>
      </c>
      <c r="V22" s="2">
        <f>COUNTIFS('BA History S2'!$B:$B,$A$22,'BA History S2'!R:R, 1)</f>
        <v>0</v>
      </c>
      <c r="W22" s="2">
        <f>COUNTIFS('BA History S2'!$B:$B,$A$22,'BA History S2'!S:S, 1)</f>
        <v>0</v>
      </c>
      <c r="X22" s="2">
        <f>COUNTIFS('BA History S2'!$B:$B,$A$22,'BA History S2'!T:T, 1)</f>
        <v>0</v>
      </c>
      <c r="Y22" s="2">
        <f>COUNTIFS('BA History S2'!$B:$B,$A$22,'BA History S2'!U:U, 1)</f>
        <v>0</v>
      </c>
      <c r="Z22" s="2">
        <f>COUNTIFS('BA History S2'!$B:$B,$A$22,'BA History S2'!V:V, 1)</f>
        <v>0</v>
      </c>
      <c r="AA22" s="2">
        <f>COUNTIFS('BA History S2'!$B:$B,$A$22,'BA History S2'!W:W, 1)</f>
        <v>0</v>
      </c>
      <c r="AB22" s="2">
        <f>COUNTIFS('BA History S2'!$B:$B,$A$22,'BA History S2'!X:X, 1)</f>
        <v>0</v>
      </c>
      <c r="AC22" s="2">
        <f>COUNTIFS('BA History S2'!$B:$B,$A$22,'BA History S2'!Y:Y, 1)</f>
        <v>0</v>
      </c>
      <c r="AD22" s="2">
        <f>COUNTIFS('BA History S2'!$B:$B,$A$22,'BA History S2'!Z:Z, 1)</f>
        <v>1</v>
      </c>
      <c r="AE22" s="2">
        <f>COUNTIFS('BA History S2'!$B:$B,$A$22,'BA History S2'!AA:AA, 1)</f>
        <v>0</v>
      </c>
      <c r="AF22" s="2">
        <f>COUNTIFS('BA History S2'!$B:$B,$A$22,'BA History S2'!AB:AB, 1)</f>
        <v>1</v>
      </c>
      <c r="AG22" s="2">
        <f>COUNTIFS('BA History S2'!$B:$B,$A$22,'BA History S2'!AC:AC, 1)</f>
        <v>0</v>
      </c>
      <c r="AH22" s="2">
        <f>COUNTIFS('BA History S2'!$B:$B,$A$22,'BA History S2'!AD:AD, 1)</f>
        <v>0</v>
      </c>
      <c r="AI22" s="2">
        <f>COUNTIFS('BA History S2'!$B:$B,$A$22,'BA History S2'!AE:AE, 1)</f>
        <v>0</v>
      </c>
      <c r="AJ22" s="2">
        <f>COUNTIFS('BA History S2'!$B:$B,$A$22,'BA History S2'!AF:AF, 1)</f>
        <v>1</v>
      </c>
    </row>
    <row r="23" spans="1:36" x14ac:dyDescent="0.25">
      <c r="A23" s="2" t="s">
        <v>17</v>
      </c>
      <c r="B23" s="2" t="s">
        <v>79</v>
      </c>
      <c r="C23" s="34">
        <f>SUMIFS('BA History S2'!C:C,'BA History S2'!B:B,A23)</f>
        <v>75</v>
      </c>
      <c r="D23" s="66">
        <f>AVERAGEIFS('BA History S2'!C:C,'BA History S2'!B:B,A23)</f>
        <v>18.75</v>
      </c>
      <c r="E23" s="35">
        <f t="array" ref="E23">MAX(IF('BA History S2'!B:B=A23, 'BA History S2'!C:C))</f>
        <v>26</v>
      </c>
      <c r="F23" s="34">
        <f>COUNTIFS('BA History S2'!B:B,A23,'BA History S2'!D:D, 1)</f>
        <v>4</v>
      </c>
      <c r="G23" s="2">
        <f>COUNTIFS('BA History S2'!B:B,A23,'BA History S2'!D:D, 0)</f>
        <v>0</v>
      </c>
      <c r="H23" s="75">
        <f>LOOKUP(2, 1/('BA History S2'!$B:$B=A23), 'BA History S2'!$AJ:$AJ)</f>
        <v>1</v>
      </c>
      <c r="I23" s="34">
        <f>SUMIFS('BA History S2'!F:F,'BA History S2'!B:B,A23)</f>
        <v>12</v>
      </c>
      <c r="J23" s="2">
        <f>SUMIFS('BA History S2'!E:E,'BA History S2'!B:B,A23)-I23</f>
        <v>3</v>
      </c>
      <c r="K23" s="75">
        <f>LOOKUP(2, 1/('BA History S2'!$B:$B=A23), 'BA History S2'!$AH:$AH)</f>
        <v>0.8125</v>
      </c>
      <c r="L23" s="34">
        <f>SUMIFS('BA History S2'!H:H,'BA History S2'!B:B,A23)</f>
        <v>41</v>
      </c>
      <c r="M23" s="2">
        <f>SUMIFS('BA History S2'!G:G,'BA History S2'!B:B,A23)-L23</f>
        <v>23</v>
      </c>
      <c r="N23" s="89">
        <f>LOOKUP(2, 1/('BA History S2'!$B:$B=A23), 'BA History S2'!$AI:$AI)</f>
        <v>0.66999999999999993</v>
      </c>
      <c r="O23" s="2">
        <f>COUNTIFS('BA History S2'!$B:$B,$A$23,'BA History S2'!K:K, 1)</f>
        <v>1</v>
      </c>
      <c r="P23" s="2">
        <f>COUNTIFS('BA History S2'!$B:$B,$A$23,'BA History S2'!L:L, 1)</f>
        <v>0</v>
      </c>
      <c r="Q23" s="2">
        <f>COUNTIFS('BA History S2'!$B:$B,$A$23,'BA History S2'!M:M, 1)</f>
        <v>2</v>
      </c>
      <c r="R23" s="2">
        <f>COUNTIFS('BA History S2'!$B:$B,$A$23,'BA History S2'!N:N, 1)</f>
        <v>1</v>
      </c>
      <c r="S23" s="2">
        <f>COUNTIFS('BA History S2'!$B:$B,$A$23,'BA History S2'!O:O, 1)</f>
        <v>0</v>
      </c>
      <c r="T23" s="2">
        <f>COUNTIFS('BA History S2'!$B:$B,$A$23,'BA History S2'!P:P, 1)</f>
        <v>0</v>
      </c>
      <c r="U23" s="2">
        <f>COUNTIFS('BA History S2'!$B:$B,$A$23,'BA History S2'!Q:Q, 1)</f>
        <v>2</v>
      </c>
      <c r="V23" s="2">
        <f>COUNTIFS('BA History S2'!$B:$B,$A$23,'BA History S2'!R:R, 1)</f>
        <v>0</v>
      </c>
      <c r="W23" s="2">
        <f>COUNTIFS('BA History S2'!$B:$B,$A$23,'BA History S2'!S:S, 1)</f>
        <v>0</v>
      </c>
      <c r="X23" s="2">
        <f>COUNTIFS('BA History S2'!$B:$B,$A$23,'BA History S2'!T:T, 1)</f>
        <v>0</v>
      </c>
      <c r="Y23" s="2">
        <f>COUNTIFS('BA History S2'!$B:$B,$A$23,'BA History S2'!U:U, 1)</f>
        <v>0</v>
      </c>
      <c r="Z23" s="2">
        <f>COUNTIFS('BA History S2'!$B:$B,$A$23,'BA History S2'!V:V, 1)</f>
        <v>0</v>
      </c>
      <c r="AA23" s="2">
        <f>COUNTIFS('BA History S2'!$B:$B,$A$23,'BA History S2'!W:W, 1)</f>
        <v>0</v>
      </c>
      <c r="AB23" s="2">
        <f>COUNTIFS('BA History S2'!$B:$B,$A$23,'BA History S2'!X:X, 1)</f>
        <v>0</v>
      </c>
      <c r="AC23" s="2">
        <f>COUNTIFS('BA History S2'!$B:$B,$A$23,'BA History S2'!Y:Y, 1)</f>
        <v>0</v>
      </c>
      <c r="AD23" s="2">
        <f>COUNTIFS('BA History S2'!$B:$B,$A$23,'BA History S2'!Z:Z, 1)</f>
        <v>2</v>
      </c>
      <c r="AE23" s="2">
        <f>COUNTIFS('BA History S2'!$B:$B,$A$23,'BA History S2'!AA:AA, 1)</f>
        <v>0</v>
      </c>
      <c r="AF23" s="2">
        <f>COUNTIFS('BA History S2'!$B:$B,$A$23,'BA History S2'!AB:AB, 1)</f>
        <v>1</v>
      </c>
      <c r="AG23" s="2">
        <f>COUNTIFS('BA History S2'!$B:$B,$A$23,'BA History S2'!AC:AC, 1)</f>
        <v>1</v>
      </c>
      <c r="AH23" s="2">
        <f>COUNTIFS('BA History S2'!$B:$B,$A$23,'BA History S2'!AD:AD, 1)</f>
        <v>2</v>
      </c>
      <c r="AI23" s="2">
        <f>COUNTIFS('BA History S2'!$B:$B,$A$23,'BA History S2'!AE:AE, 1)</f>
        <v>0</v>
      </c>
      <c r="AJ23" s="2">
        <f>COUNTIFS('BA History S2'!$B:$B,$A$23,'BA History S2'!AF:AF, 1)</f>
        <v>0</v>
      </c>
    </row>
    <row r="24" spans="1:36" x14ac:dyDescent="0.25">
      <c r="A24" s="2" t="s">
        <v>6</v>
      </c>
      <c r="B24" s="1" t="s">
        <v>162</v>
      </c>
      <c r="C24" s="34">
        <f>SUMIFS('BA History S2'!C:C,'BA History S2'!B:B,A24)</f>
        <v>151</v>
      </c>
      <c r="D24" s="66">
        <f>AVERAGEIFS('BA History S2'!C:C,'BA History S2'!B:B,A24)</f>
        <v>21.571428571428573</v>
      </c>
      <c r="E24" s="35">
        <f t="array" ref="E24">MAX(IF('BA History S2'!B:B=A24, 'BA History S2'!C:C))</f>
        <v>31</v>
      </c>
      <c r="F24" s="34">
        <f>COUNTIFS('BA History S2'!B:B,A24,'BA History S2'!D:D, 1)</f>
        <v>3</v>
      </c>
      <c r="G24" s="2">
        <f>COUNTIFS('BA History S2'!B:B,A24,'BA History S2'!D:D, 0)</f>
        <v>4</v>
      </c>
      <c r="H24" s="75">
        <f>LOOKUP(2, 1/('BA History S2'!$B:$B=A24), 'BA History S2'!$AJ:$AJ)</f>
        <v>0.42857142857142855</v>
      </c>
      <c r="I24" s="34">
        <f>SUMIFS('BA History S2'!F:F,'BA History S2'!B:B,A24)</f>
        <v>12</v>
      </c>
      <c r="J24" s="2">
        <f>SUMIFS('BA History S2'!E:E,'BA History S2'!B:B,A24)-I24</f>
        <v>16</v>
      </c>
      <c r="K24" s="75">
        <f>LOOKUP(2, 1/('BA History S2'!$B:$B=A24), 'BA History S2'!$AH:$AH)</f>
        <v>0.39285714285714285</v>
      </c>
      <c r="L24" s="34">
        <f>SUMIFS('BA History S2'!H:H,'BA History S2'!B:B,A24)</f>
        <v>55</v>
      </c>
      <c r="M24" s="2">
        <f>SUMIFS('BA History S2'!G:G,'BA History S2'!B:B,A24)-L24</f>
        <v>64</v>
      </c>
      <c r="N24" s="89">
        <f>LOOKUP(2, 1/('BA History S2'!$B:$B=A24), 'BA History S2'!$AI:$AI)</f>
        <v>0.42000000000000004</v>
      </c>
      <c r="O24" s="2">
        <f>COUNTIFS('BA History S2'!$B:$B,$A$24,'BA History S2'!K:K, 1)</f>
        <v>0</v>
      </c>
      <c r="P24" s="2">
        <f>COUNTIFS('BA History S2'!$B:$B,$A$24,'BA History S2'!L:L, 1)</f>
        <v>2</v>
      </c>
      <c r="Q24" s="2">
        <f>COUNTIFS('BA History S2'!$B:$B,$A$24,'BA History S2'!M:M, 1)</f>
        <v>2</v>
      </c>
      <c r="R24" s="2">
        <f>COUNTIFS('BA History S2'!$B:$B,$A$24,'BA History S2'!N:N, 1)</f>
        <v>1</v>
      </c>
      <c r="S24" s="2">
        <f>COUNTIFS('BA History S2'!$B:$B,$A$24,'BA History S2'!O:O, 1)</f>
        <v>0</v>
      </c>
      <c r="T24" s="2">
        <f>COUNTIFS('BA History S2'!$B:$B,$A$24,'BA History S2'!P:P, 1)</f>
        <v>0</v>
      </c>
      <c r="U24" s="2">
        <f>COUNTIFS('BA History S2'!$B:$B,$A$24,'BA History S2'!Q:Q, 1)</f>
        <v>1</v>
      </c>
      <c r="V24" s="2">
        <f>COUNTIFS('BA History S2'!$B:$B,$A$24,'BA History S2'!R:R, 1)</f>
        <v>0</v>
      </c>
      <c r="W24" s="2">
        <f>COUNTIFS('BA History S2'!$B:$B,$A$24,'BA History S2'!S:S, 1)</f>
        <v>0</v>
      </c>
      <c r="X24" s="2">
        <f>COUNTIFS('BA History S2'!$B:$B,$A$24,'BA History S2'!T:T, 1)</f>
        <v>0</v>
      </c>
      <c r="Y24" s="2">
        <f>COUNTIFS('BA History S2'!$B:$B,$A$24,'BA History S2'!U:U, 1)</f>
        <v>0</v>
      </c>
      <c r="Z24" s="2">
        <f>COUNTIFS('BA History S2'!$B:$B,$A$24,'BA History S2'!V:V, 1)</f>
        <v>0</v>
      </c>
      <c r="AA24" s="2">
        <f>COUNTIFS('BA History S2'!$B:$B,$A$24,'BA History S2'!W:W, 1)</f>
        <v>0</v>
      </c>
      <c r="AB24" s="2">
        <f>COUNTIFS('BA History S2'!$B:$B,$A$24,'BA History S2'!X:X, 1)</f>
        <v>0</v>
      </c>
      <c r="AC24" s="2">
        <f>COUNTIFS('BA History S2'!$B:$B,$A$24,'BA History S2'!Y:Y, 1)</f>
        <v>0</v>
      </c>
      <c r="AD24" s="2">
        <f>COUNTIFS('BA History S2'!$B:$B,$A$24,'BA History S2'!Z:Z, 1)</f>
        <v>1</v>
      </c>
      <c r="AE24" s="2">
        <f>COUNTIFS('BA History S2'!$B:$B,$A$24,'BA History S2'!AA:AA, 1)</f>
        <v>0</v>
      </c>
      <c r="AF24" s="2">
        <f>COUNTIFS('BA History S2'!$B:$B,$A$24,'BA History S2'!AB:AB, 1)</f>
        <v>2</v>
      </c>
      <c r="AG24" s="2">
        <f>COUNTIFS('BA History S2'!$B:$B,$A$24,'BA History S2'!AC:AC, 1)</f>
        <v>1</v>
      </c>
      <c r="AH24" s="2">
        <f>COUNTIFS('BA History S2'!$B:$B,$A$24,'BA History S2'!AD:AD, 1)</f>
        <v>1</v>
      </c>
      <c r="AI24" s="2">
        <f>COUNTIFS('BA History S2'!$B:$B,$A$24,'BA History S2'!AE:AE, 1)</f>
        <v>0</v>
      </c>
      <c r="AJ24" s="2">
        <f>COUNTIFS('BA History S2'!$B:$B,$A$24,'BA History S2'!AF:AF, 1)</f>
        <v>1</v>
      </c>
    </row>
    <row r="25" spans="1:36" x14ac:dyDescent="0.25">
      <c r="A25" s="2" t="s">
        <v>113</v>
      </c>
      <c r="B25" s="2" t="s">
        <v>79</v>
      </c>
      <c r="C25" s="34">
        <f>SUMIFS('BA History S2'!C:C,'BA History S2'!B:B,A25)</f>
        <v>94</v>
      </c>
      <c r="D25" s="66">
        <f>AVERAGEIFS('BA History S2'!C:C,'BA History S2'!B:B,A25)</f>
        <v>18.8</v>
      </c>
      <c r="E25" s="35">
        <f t="array" ref="E25">MAX(IF('BA History S2'!B:B=A25, 'BA History S2'!C:C))</f>
        <v>23</v>
      </c>
      <c r="F25" s="34">
        <f>COUNTIFS('BA History S2'!B:B,A25,'BA History S2'!D:D, 1)</f>
        <v>4</v>
      </c>
      <c r="G25" s="2">
        <f>COUNTIFS('BA History S2'!B:B,A25,'BA History S2'!D:D, 0)</f>
        <v>1</v>
      </c>
      <c r="H25" s="75">
        <f>LOOKUP(2, 1/('BA History S2'!$B:$B=A25), 'BA History S2'!$AJ:$AJ)</f>
        <v>0.8</v>
      </c>
      <c r="I25" s="34">
        <f>SUMIFS('BA History S2'!F:F,'BA History S2'!B:B,A25)</f>
        <v>13</v>
      </c>
      <c r="J25" s="2">
        <f>SUMIFS('BA History S2'!E:E,'BA History S2'!B:B,A25)-I25</f>
        <v>7</v>
      </c>
      <c r="K25" s="75">
        <f>LOOKUP(2, 1/('BA History S2'!$B:$B=A25), 'BA History S2'!$AH:$AH)</f>
        <v>0.69000000000000006</v>
      </c>
      <c r="L25" s="34">
        <f>SUMIFS('BA History S2'!H:H,'BA History S2'!B:B,A25)</f>
        <v>49</v>
      </c>
      <c r="M25" s="2">
        <f>SUMIFS('BA History S2'!G:G,'BA History S2'!B:B,A25)-L25</f>
        <v>36</v>
      </c>
      <c r="N25" s="89">
        <f>LOOKUP(2, 1/('BA History S2'!$B:$B=A25), 'BA History S2'!$AI:$AI)</f>
        <v>0.61599999999999999</v>
      </c>
      <c r="O25" s="2">
        <f>COUNTIFS('BA History S2'!$B:$B,$A$25,'BA History S2'!K:K, 1)</f>
        <v>0</v>
      </c>
      <c r="P25" s="2">
        <f>COUNTIFS('BA History S2'!$B:$B,$A$25,'BA History S2'!L:L, 1)</f>
        <v>2</v>
      </c>
      <c r="Q25" s="2">
        <f>COUNTIFS('BA History S2'!$B:$B,$A$25,'BA History S2'!M:M, 1)</f>
        <v>1</v>
      </c>
      <c r="R25" s="2">
        <f>COUNTIFS('BA History S2'!$B:$B,$A$25,'BA History S2'!N:N, 1)</f>
        <v>3</v>
      </c>
      <c r="S25" s="2">
        <f>COUNTIFS('BA History S2'!$B:$B,$A$25,'BA History S2'!O:O, 1)</f>
        <v>0</v>
      </c>
      <c r="T25" s="2">
        <f>COUNTIFS('BA History S2'!$B:$B,$A$25,'BA History S2'!P:P, 1)</f>
        <v>0</v>
      </c>
      <c r="U25" s="2">
        <f>COUNTIFS('BA History S2'!$B:$B,$A$25,'BA History S2'!Q:Q, 1)</f>
        <v>1</v>
      </c>
      <c r="V25" s="2">
        <f>COUNTIFS('BA History S2'!$B:$B,$A$25,'BA History S2'!R:R, 1)</f>
        <v>0</v>
      </c>
      <c r="W25" s="2">
        <f>COUNTIFS('BA History S2'!$B:$B,$A$25,'BA History S2'!S:S, 1)</f>
        <v>0</v>
      </c>
      <c r="X25" s="2">
        <f>COUNTIFS('BA History S2'!$B:$B,$A$25,'BA History S2'!T:T, 1)</f>
        <v>0</v>
      </c>
      <c r="Y25" s="2">
        <f>COUNTIFS('BA History S2'!$B:$B,$A$25,'BA History S2'!U:U, 1)</f>
        <v>0</v>
      </c>
      <c r="Z25" s="2">
        <f>COUNTIFS('BA History S2'!$B:$B,$A$25,'BA History S2'!V:V, 1)</f>
        <v>0</v>
      </c>
      <c r="AA25" s="2">
        <f>COUNTIFS('BA History S2'!$B:$B,$A$25,'BA History S2'!W:W, 1)</f>
        <v>0</v>
      </c>
      <c r="AB25" s="2">
        <f>COUNTIFS('BA History S2'!$B:$B,$A$25,'BA History S2'!X:X, 1)</f>
        <v>0</v>
      </c>
      <c r="AC25" s="2">
        <f>COUNTIFS('BA History S2'!$B:$B,$A$25,'BA History S2'!Y:Y, 1)</f>
        <v>0</v>
      </c>
      <c r="AD25" s="2">
        <f>COUNTIFS('BA History S2'!$B:$B,$A$25,'BA History S2'!Z:Z, 1)</f>
        <v>1</v>
      </c>
      <c r="AE25" s="2">
        <f>COUNTIFS('BA History S2'!$B:$B,$A$25,'BA History S2'!AA:AA, 1)</f>
        <v>0</v>
      </c>
      <c r="AF25" s="2">
        <f>COUNTIFS('BA History S2'!$B:$B,$A$25,'BA History S2'!AB:AB, 1)</f>
        <v>2</v>
      </c>
      <c r="AG25" s="2">
        <f>COUNTIFS('BA History S2'!$B:$B,$A$25,'BA History S2'!AC:AC, 1)</f>
        <v>2</v>
      </c>
      <c r="AH25" s="2">
        <f>COUNTIFS('BA History S2'!$B:$B,$A$25,'BA History S2'!AD:AD, 1)</f>
        <v>0</v>
      </c>
      <c r="AI25" s="2">
        <f>COUNTIFS('BA History S2'!$B:$B,$A$25,'BA History S2'!AE:AE, 1)</f>
        <v>0</v>
      </c>
      <c r="AJ25" s="2">
        <f>COUNTIFS('BA History S2'!$B:$B,$A$25,'BA History S2'!AF:AF, 1)</f>
        <v>1</v>
      </c>
    </row>
    <row r="26" spans="1:36" x14ac:dyDescent="0.25">
      <c r="A26" s="2" t="s">
        <v>14</v>
      </c>
      <c r="B26" s="2" t="s">
        <v>79</v>
      </c>
      <c r="C26" s="34">
        <f>SUMIFS('BA History S2'!C:C,'BA History S2'!B:B,A26)</f>
        <v>21</v>
      </c>
      <c r="D26" s="66">
        <f>AVERAGEIFS('BA History S2'!C:C,'BA History S2'!B:B,A26)</f>
        <v>10.5</v>
      </c>
      <c r="E26" s="35">
        <f t="array" ref="E26">MAX(IF('BA History S2'!B:B=A26, 'BA History S2'!C:C))</f>
        <v>11</v>
      </c>
      <c r="F26" s="34">
        <f>COUNTIFS('BA History S2'!B:B,A26,'BA History S2'!D:D, 1)</f>
        <v>0</v>
      </c>
      <c r="G26" s="2">
        <f>COUNTIFS('BA History S2'!B:B,A26,'BA History S2'!D:D, 0)</f>
        <v>2</v>
      </c>
      <c r="H26" s="75">
        <f>LOOKUP(2, 1/('BA History S2'!$B:$B=A26), 'BA History S2'!$AJ:$AJ)</f>
        <v>0</v>
      </c>
      <c r="I26" s="34">
        <f>SUMIFS('BA History S2'!F:F,'BA History S2'!B:B,A26)</f>
        <v>2</v>
      </c>
      <c r="J26" s="2">
        <f>SUMIFS('BA History S2'!E:E,'BA History S2'!B:B,A26)-I26</f>
        <v>6</v>
      </c>
      <c r="K26" s="75">
        <f>LOOKUP(2, 1/('BA History S2'!$B:$B=A26), 'BA History S2'!$AH:$AH)</f>
        <v>0.25</v>
      </c>
      <c r="L26" s="34">
        <f>SUMIFS('BA History S2'!H:H,'BA History S2'!B:B,A26)</f>
        <v>15</v>
      </c>
      <c r="M26" s="2">
        <f>SUMIFS('BA History S2'!G:G,'BA History S2'!B:B,A26)-L26</f>
        <v>21</v>
      </c>
      <c r="N26" s="89">
        <f>LOOKUP(2, 1/('BA History S2'!$B:$B=A26), 'BA History S2'!$AI:$AI)</f>
        <v>0.41500000000000004</v>
      </c>
      <c r="O26" s="2">
        <f>COUNTIFS('BA History S2'!$B:$B,$A$26,'BA History S2'!K:K, 1)</f>
        <v>0</v>
      </c>
      <c r="P26" s="2">
        <f>COUNTIFS('BA History S2'!$B:$B,$A$26,'BA History S2'!L:L, 1)</f>
        <v>0</v>
      </c>
      <c r="Q26" s="2">
        <f>COUNTIFS('BA History S2'!$B:$B,$A$26,'BA History S2'!M:M, 1)</f>
        <v>0</v>
      </c>
      <c r="R26" s="2">
        <f>COUNTIFS('BA History S2'!$B:$B,$A$26,'BA History S2'!N:N, 1)</f>
        <v>0</v>
      </c>
      <c r="S26" s="2">
        <f>COUNTIFS('BA History S2'!$B:$B,$A$26,'BA History S2'!O:O, 1)</f>
        <v>0</v>
      </c>
      <c r="T26" s="2">
        <f>COUNTIFS('BA History S2'!$B:$B,$A$26,'BA History S2'!P:P, 1)</f>
        <v>0</v>
      </c>
      <c r="U26" s="2">
        <f>COUNTIFS('BA History S2'!$B:$B,$A$26,'BA History S2'!Q:Q, 1)</f>
        <v>0</v>
      </c>
      <c r="V26" s="2">
        <f>COUNTIFS('BA History S2'!$B:$B,$A$26,'BA History S2'!R:R, 1)</f>
        <v>0</v>
      </c>
      <c r="W26" s="2">
        <f>COUNTIFS('BA History S2'!$B:$B,$A$26,'BA History S2'!S:S, 1)</f>
        <v>0</v>
      </c>
      <c r="X26" s="2">
        <f>COUNTIFS('BA History S2'!$B:$B,$A$26,'BA History S2'!T:T, 1)</f>
        <v>0</v>
      </c>
      <c r="Y26" s="2">
        <f>COUNTIFS('BA History S2'!$B:$B,$A$26,'BA History S2'!U:U, 1)</f>
        <v>0</v>
      </c>
      <c r="Z26" s="2">
        <f>COUNTIFS('BA History S2'!$B:$B,$A$26,'BA History S2'!V:V, 1)</f>
        <v>0</v>
      </c>
      <c r="AA26" s="2">
        <f>COUNTIFS('BA History S2'!$B:$B,$A$26,'BA History S2'!W:W, 1)</f>
        <v>0</v>
      </c>
      <c r="AB26" s="2">
        <f>COUNTIFS('BA History S2'!$B:$B,$A$26,'BA History S2'!X:X, 1)</f>
        <v>0</v>
      </c>
      <c r="AC26" s="2">
        <f>COUNTIFS('BA History S2'!$B:$B,$A$26,'BA History S2'!Y:Y, 1)</f>
        <v>0</v>
      </c>
      <c r="AD26" s="2">
        <f>COUNTIFS('BA History S2'!$B:$B,$A$26,'BA History S2'!Z:Z, 1)</f>
        <v>0</v>
      </c>
      <c r="AE26" s="2">
        <f>COUNTIFS('BA History S2'!$B:$B,$A$26,'BA History S2'!AA:AA, 1)</f>
        <v>0</v>
      </c>
      <c r="AF26" s="2">
        <f>COUNTIFS('BA History S2'!$B:$B,$A$26,'BA History S2'!AB:AB, 1)</f>
        <v>2</v>
      </c>
      <c r="AG26" s="2">
        <f>COUNTIFS('BA History S2'!$B:$B,$A$26,'BA History S2'!AC:AC, 1)</f>
        <v>0</v>
      </c>
      <c r="AH26" s="2">
        <f>COUNTIFS('BA History S2'!$B:$B,$A$26,'BA History S2'!AD:AD, 1)</f>
        <v>0</v>
      </c>
      <c r="AI26" s="2">
        <f>COUNTIFS('BA History S2'!$B:$B,$A$26,'BA History S2'!AE:AE, 1)</f>
        <v>0</v>
      </c>
      <c r="AJ26" s="2">
        <f>COUNTIFS('BA History S2'!$B:$B,$A$26,'BA History S2'!AF:AF, 1)</f>
        <v>0</v>
      </c>
    </row>
    <row r="27" spans="1:36" x14ac:dyDescent="0.25">
      <c r="A27" s="2" t="s">
        <v>4</v>
      </c>
      <c r="B27" s="1" t="s">
        <v>162</v>
      </c>
      <c r="C27" s="34">
        <f>SUMIFS('BA History S2'!C:C,'BA History S2'!B:B,A27)</f>
        <v>105</v>
      </c>
      <c r="D27" s="66">
        <f>AVERAGEIFS('BA History S2'!C:C,'BA History S2'!B:B,A27)</f>
        <v>26.25</v>
      </c>
      <c r="E27" s="35">
        <f t="array" ref="E27">MAX(IF('BA History S2'!B:B=A27, 'BA History S2'!C:C))</f>
        <v>38</v>
      </c>
      <c r="F27" s="34">
        <f>COUNTIFS('BA History S2'!B:B,A27,'BA History S2'!D:D, 1)</f>
        <v>4</v>
      </c>
      <c r="G27" s="2">
        <f>COUNTIFS('BA History S2'!B:B,A27,'BA History S2'!D:D, 0)</f>
        <v>0</v>
      </c>
      <c r="H27" s="75">
        <f>LOOKUP(2, 1/('BA History S2'!$B:$B=A27), 'BA History S2'!$AJ:$AJ)</f>
        <v>1</v>
      </c>
      <c r="I27" s="34">
        <f>SUMIFS('BA History S2'!F:F,'BA History S2'!B:B,A27)</f>
        <v>12</v>
      </c>
      <c r="J27" s="2">
        <f>SUMIFS('BA History S2'!E:E,'BA History S2'!B:B,A27)-I27</f>
        <v>5</v>
      </c>
      <c r="K27" s="75">
        <f>LOOKUP(2, 1/('BA History S2'!$B:$B=A27), 'BA History S2'!$AH:$AH)</f>
        <v>0.73750000000000004</v>
      </c>
      <c r="L27" s="34">
        <f>SUMIFS('BA History S2'!H:H,'BA History S2'!B:B,A27)</f>
        <v>44</v>
      </c>
      <c r="M27" s="2">
        <f>SUMIFS('BA History S2'!G:G,'BA History S2'!B:B,A27)-L27</f>
        <v>31</v>
      </c>
      <c r="N27" s="89">
        <f>LOOKUP(2, 1/('BA History S2'!$B:$B=A27), 'BA History S2'!$AI:$AI)</f>
        <v>0.6</v>
      </c>
      <c r="O27" s="2">
        <f>COUNTIFS('BA History S2'!$B:$B,$A$27,'BA History S2'!K:K, 1)</f>
        <v>1</v>
      </c>
      <c r="P27" s="2">
        <f>COUNTIFS('BA History S2'!$B:$B,$A$27,'BA History S2'!L:L, 1)</f>
        <v>2</v>
      </c>
      <c r="Q27" s="2">
        <f>COUNTIFS('BA History S2'!$B:$B,$A$27,'BA History S2'!M:M, 1)</f>
        <v>1</v>
      </c>
      <c r="R27" s="2">
        <f>COUNTIFS('BA History S2'!$B:$B,$A$27,'BA History S2'!N:N, 1)</f>
        <v>2</v>
      </c>
      <c r="S27" s="2">
        <f>COUNTIFS('BA History S2'!$B:$B,$A$27,'BA History S2'!O:O, 1)</f>
        <v>0</v>
      </c>
      <c r="T27" s="2">
        <f>COUNTIFS('BA History S2'!$B:$B,$A$27,'BA History S2'!P:P, 1)</f>
        <v>0</v>
      </c>
      <c r="U27" s="2">
        <f>COUNTIFS('BA History S2'!$B:$B,$A$27,'BA History S2'!Q:Q, 1)</f>
        <v>0</v>
      </c>
      <c r="V27" s="2">
        <f>COUNTIFS('BA History S2'!$B:$B,$A$27,'BA History S2'!R:R, 1)</f>
        <v>0</v>
      </c>
      <c r="W27" s="2">
        <f>COUNTIFS('BA History S2'!$B:$B,$A$27,'BA History S2'!S:S, 1)</f>
        <v>0</v>
      </c>
      <c r="X27" s="2">
        <f>COUNTIFS('BA History S2'!$B:$B,$A$27,'BA History S2'!T:T, 1)</f>
        <v>0</v>
      </c>
      <c r="Y27" s="2">
        <f>COUNTIFS('BA History S2'!$B:$B,$A$27,'BA History S2'!U:U, 1)</f>
        <v>0</v>
      </c>
      <c r="Z27" s="2">
        <f>COUNTIFS('BA History S2'!$B:$B,$A$27,'BA History S2'!V:V, 1)</f>
        <v>0</v>
      </c>
      <c r="AA27" s="2">
        <f>COUNTIFS('BA History S2'!$B:$B,$A$27,'BA History S2'!W:W, 1)</f>
        <v>0</v>
      </c>
      <c r="AB27" s="2">
        <f>COUNTIFS('BA History S2'!$B:$B,$A$27,'BA History S2'!X:X, 1)</f>
        <v>0</v>
      </c>
      <c r="AC27" s="2">
        <f>COUNTIFS('BA History S2'!$B:$B,$A$27,'BA History S2'!Y:Y, 1)</f>
        <v>0</v>
      </c>
      <c r="AD27" s="2">
        <f>COUNTIFS('BA History S2'!$B:$B,$A$27,'BA History S2'!Z:Z, 1)</f>
        <v>0</v>
      </c>
      <c r="AE27" s="2">
        <f>COUNTIFS('BA History S2'!$B:$B,$A$27,'BA History S2'!AA:AA, 1)</f>
        <v>0</v>
      </c>
      <c r="AF27" s="2">
        <f>COUNTIFS('BA History S2'!$B:$B,$A$27,'BA History S2'!AB:AB, 1)</f>
        <v>1</v>
      </c>
      <c r="AG27" s="2">
        <f>COUNTIFS('BA History S2'!$B:$B,$A$27,'BA History S2'!AC:AC, 1)</f>
        <v>3</v>
      </c>
      <c r="AH27" s="2">
        <f>COUNTIFS('BA History S2'!$B:$B,$A$27,'BA History S2'!AD:AD, 1)</f>
        <v>1</v>
      </c>
      <c r="AI27" s="2">
        <f>COUNTIFS('BA History S2'!$B:$B,$A$27,'BA History S2'!AE:AE, 1)</f>
        <v>0</v>
      </c>
      <c r="AJ27" s="2">
        <f>COUNTIFS('BA History S2'!$B:$B,$A$27,'BA History S2'!AF:AF, 1)</f>
        <v>1</v>
      </c>
    </row>
    <row r="28" spans="1:36" x14ac:dyDescent="0.25">
      <c r="A28" s="1" t="s">
        <v>107</v>
      </c>
      <c r="B28" s="2" t="s">
        <v>79</v>
      </c>
      <c r="C28" s="34">
        <f>SUMIFS('BA History S2'!C:C,'BA History S2'!B:B,A28)</f>
        <v>78</v>
      </c>
      <c r="D28" s="66">
        <f>AVERAGEIFS('BA History S2'!C:C,'BA History S2'!B:B,A28)</f>
        <v>13</v>
      </c>
      <c r="E28" s="35">
        <f t="array" ref="E28">MAX(IF('BA History S2'!B:B=A28, 'BA History S2'!C:C))</f>
        <v>22</v>
      </c>
      <c r="F28" s="34">
        <f>COUNTIFS('BA History S2'!B:B,A28,'BA History S2'!D:D, 1)</f>
        <v>2</v>
      </c>
      <c r="G28" s="2">
        <f>COUNTIFS('BA History S2'!B:B,A28,'BA History S2'!D:D, 0)</f>
        <v>4</v>
      </c>
      <c r="H28" s="75">
        <f>LOOKUP(2, 1/('BA History S2'!$B:$B=A28), 'BA History S2'!$AJ:$AJ)</f>
        <v>0.33333333333333331</v>
      </c>
      <c r="I28" s="34">
        <f>SUMIFS('BA History S2'!F:F,'BA History S2'!B:B,A28)</f>
        <v>8</v>
      </c>
      <c r="J28" s="2">
        <f>SUMIFS('BA History S2'!E:E,'BA History S2'!B:B,A28)-I28</f>
        <v>14</v>
      </c>
      <c r="K28" s="75">
        <f>LOOKUP(2, 1/('BA History S2'!$B:$B=A28), 'BA History S2'!$AH:$AH)</f>
        <v>0.31666666666666665</v>
      </c>
      <c r="L28" s="34">
        <f>SUMIFS('BA History S2'!H:H,'BA History S2'!B:B,A28)</f>
        <v>37</v>
      </c>
      <c r="M28" s="2">
        <f>SUMIFS('BA History S2'!G:G,'BA History S2'!B:B,A28)-L28</f>
        <v>53</v>
      </c>
      <c r="N28" s="89">
        <f>LOOKUP(2, 1/('BA History S2'!$B:$B=A28), 'BA History S2'!$AI:$AI)</f>
        <v>0.36833333333333335</v>
      </c>
      <c r="O28" s="2">
        <f>COUNTIFS('BA History S2'!$B:$B,$A$28,'BA History S2'!K:K, 1)</f>
        <v>2</v>
      </c>
      <c r="P28" s="2">
        <f>COUNTIFS('BA History S2'!$B:$B,$A$28,'BA History S2'!L:L, 1)</f>
        <v>0</v>
      </c>
      <c r="Q28" s="2">
        <f>COUNTIFS('BA History S2'!$B:$B,$A$28,'BA History S2'!M:M, 1)</f>
        <v>1</v>
      </c>
      <c r="R28" s="2">
        <f>COUNTIFS('BA History S2'!$B:$B,$A$28,'BA History S2'!N:N, 1)</f>
        <v>0</v>
      </c>
      <c r="S28" s="2">
        <f>COUNTIFS('BA History S2'!$B:$B,$A$28,'BA History S2'!O:O, 1)</f>
        <v>0</v>
      </c>
      <c r="T28" s="2">
        <f>COUNTIFS('BA History S2'!$B:$B,$A$28,'BA History S2'!P:P, 1)</f>
        <v>0</v>
      </c>
      <c r="U28" s="2">
        <f>COUNTIFS('BA History S2'!$B:$B,$A$28,'BA History S2'!Q:Q, 1)</f>
        <v>0</v>
      </c>
      <c r="V28" s="2">
        <f>COUNTIFS('BA History S2'!$B:$B,$A$28,'BA History S2'!R:R, 1)</f>
        <v>0</v>
      </c>
      <c r="W28" s="2">
        <f>COUNTIFS('BA History S2'!$B:$B,$A$28,'BA History S2'!S:S, 1)</f>
        <v>0</v>
      </c>
      <c r="X28" s="2">
        <f>COUNTIFS('BA History S2'!$B:$B,$A$28,'BA History S2'!T:T, 1)</f>
        <v>0</v>
      </c>
      <c r="Y28" s="2">
        <f>COUNTIFS('BA History S2'!$B:$B,$A$28,'BA History S2'!U:U, 1)</f>
        <v>0</v>
      </c>
      <c r="Z28" s="2">
        <f>COUNTIFS('BA History S2'!$B:$B,$A$28,'BA History S2'!V:V, 1)</f>
        <v>0</v>
      </c>
      <c r="AA28" s="2">
        <f>COUNTIFS('BA History S2'!$B:$B,$A$28,'BA History S2'!W:W, 1)</f>
        <v>0</v>
      </c>
      <c r="AB28" s="2">
        <f>COUNTIFS('BA History S2'!$B:$B,$A$28,'BA History S2'!X:X, 1)</f>
        <v>0</v>
      </c>
      <c r="AC28" s="2">
        <f>COUNTIFS('BA History S2'!$B:$B,$A$28,'BA History S2'!Y:Y, 1)</f>
        <v>1</v>
      </c>
      <c r="AD28" s="2">
        <f>COUNTIFS('BA History S2'!$B:$B,$A$28,'BA History S2'!Z:Z, 1)</f>
        <v>0</v>
      </c>
      <c r="AE28" s="2">
        <f>COUNTIFS('BA History S2'!$B:$B,$A$28,'BA History S2'!AA:AA, 1)</f>
        <v>0</v>
      </c>
      <c r="AF28" s="2">
        <f>COUNTIFS('BA History S2'!$B:$B,$A$28,'BA History S2'!AB:AB, 1)</f>
        <v>1</v>
      </c>
      <c r="AG28" s="2">
        <f>COUNTIFS('BA History S2'!$B:$B,$A$28,'BA History S2'!AC:AC, 1)</f>
        <v>1</v>
      </c>
      <c r="AH28" s="2">
        <f>COUNTIFS('BA History S2'!$B:$B,$A$28,'BA History S2'!AD:AD, 1)</f>
        <v>2</v>
      </c>
      <c r="AI28" s="2">
        <f>COUNTIFS('BA History S2'!$B:$B,$A$28,'BA History S2'!AE:AE, 1)</f>
        <v>0</v>
      </c>
      <c r="AJ28" s="2">
        <f>COUNTIFS('BA History S2'!$B:$B,$A$28,'BA History S2'!AF:AF, 1)</f>
        <v>0</v>
      </c>
    </row>
  </sheetData>
  <autoFilter ref="A1:AJ28" xr:uid="{DA548192-1F03-46EA-8AB8-115EB9A7CE5D}">
    <sortState xmlns:xlrd2="http://schemas.microsoft.com/office/spreadsheetml/2017/richdata2" ref="A2:AJ28">
      <sortCondition ref="A1:A28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99"/>
  <sheetViews>
    <sheetView workbookViewId="0">
      <pane xSplit="2" ySplit="1" topLeftCell="C56" activePane="bottomRight" state="frozen"/>
      <selection pane="topRight" activeCell="C1" sqref="C1"/>
      <selection pane="bottomLeft" activeCell="A2" sqref="A2"/>
      <selection pane="bottomRight" activeCell="N104" sqref="N10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22</v>
      </c>
      <c r="AH2" s="86">
        <f>AVERAGEIFS($I$2:I2, $B$2:B2, B2)</f>
        <v>0</v>
      </c>
      <c r="AI2" s="86">
        <f>AVERAGEIFS($J$2:J2, $B$2:B2, B2)</f>
        <v>0.31</v>
      </c>
      <c r="AJ2" s="86">
        <f>AVERAGEIFS($D$2:D2, $B$2:B2,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142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141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ht="14.25" customHeight="1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148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151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141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142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148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151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147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148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165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151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141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</sheetData>
  <autoFilter ref="A1:AJ7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59"/>
  <sheetViews>
    <sheetView workbookViewId="0">
      <selection activeCell="C1" sqref="C1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148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147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3" sqref="C4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37</v>
      </c>
      <c r="B2" s="2" t="s">
        <v>79</v>
      </c>
      <c r="C2" s="2" t="s">
        <v>79</v>
      </c>
      <c r="D2" s="34">
        <f>SUMIFS('Tourney History'!C:C,'Tourney History'!B:B,A2)</f>
        <v>126</v>
      </c>
      <c r="E2" s="4">
        <f>AVERAGEIFS('Tourney History'!C:C,'Tourney History'!B:B,A2)</f>
        <v>21</v>
      </c>
      <c r="F2" s="35">
        <f t="array" ref="F2">MAX(IF('Tourney History'!B:B=A2, 'Tourney History'!C:C))</f>
        <v>33</v>
      </c>
      <c r="G2" s="34">
        <f>COUNTIFS('Tourney History'!B:B,A2,'Tourney History'!D:D, 1)</f>
        <v>2</v>
      </c>
      <c r="H2" s="2">
        <f>COUNTIFS('Tourney History'!B:B,A2,'Tourney History'!D:D, 0)</f>
        <v>4</v>
      </c>
      <c r="I2" s="88">
        <f>LOOKUP(2, 1/('Tourney History'!$B:$B=A2), 'Tourney History'!$AD:$AD)</f>
        <v>0.33333333333333331</v>
      </c>
      <c r="J2" s="34">
        <f>SUMIFS('Tourney History'!F:F,'Tourney History'!B:B,A2)</f>
        <v>10</v>
      </c>
      <c r="K2" s="2">
        <f>SUMIFS('Tourney History'!E:E,'Tourney History'!B:B,A2)-J2</f>
        <v>15</v>
      </c>
      <c r="L2" s="88">
        <f>LOOKUP(2, 1/('Tourney History'!$B:$B=A2), 'Tourney History'!$AB:$AB)</f>
        <v>0.375</v>
      </c>
      <c r="M2" s="34">
        <f>SUMIFS('Tourney History'!H:H,'Tourney History'!B:B,A2)</f>
        <v>45</v>
      </c>
      <c r="N2" s="2">
        <f>SUMIFS('Tourney History'!G:G,'Tourney History'!B:B,A2)-M2</f>
        <v>55</v>
      </c>
      <c r="O2" s="88">
        <f>LOOKUP(2, 1/('Tourney History'!$B:$B=A2), 'Tourney History'!$AC:$AC)</f>
        <v>0.43333333333333335</v>
      </c>
      <c r="P2" s="2">
        <f>COUNTIFS('Tourney History'!$B:$B,$A$2,'Tourney History'!K:K, 1)</f>
        <v>1</v>
      </c>
      <c r="Q2" s="2">
        <f>COUNTIFS('Tourney History'!$B:$B,$A$2,'Tourney History'!L:L, 1)</f>
        <v>0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1</v>
      </c>
      <c r="U2" s="2">
        <f>COUNTIFS('Tourney History'!$B:$B,$A$2,'Tourney History'!P:P, 1)</f>
        <v>2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3</v>
      </c>
      <c r="AD2" s="2">
        <f>COUNTIFS('Tourney History'!$B:$B,$A$2,'Tourney History'!Y:Y, 1)</f>
        <v>0</v>
      </c>
      <c r="AE2" s="2">
        <f>COUNTIFS('Tourney History'!$B:$B,$A$2,'Tourney History'!Z:Z, 1)</f>
        <v>2</v>
      </c>
    </row>
    <row r="3" spans="1:31" ht="15.75" x14ac:dyDescent="0.25">
      <c r="A3" s="2" t="s">
        <v>35</v>
      </c>
      <c r="B3" s="80" t="s">
        <v>60</v>
      </c>
      <c r="C3" s="2" t="s">
        <v>79</v>
      </c>
      <c r="D3" s="34">
        <f>SUMIFS('Tourney History'!C:C,'Tourney History'!B:B,A3)</f>
        <v>41</v>
      </c>
      <c r="E3" s="4">
        <f>AVERAGEIFS('Tourney History'!C:C,'Tourney History'!B:B,A3)</f>
        <v>10.25</v>
      </c>
      <c r="F3" s="35">
        <f t="array" ref="F3">MAX(IF('Tourney History'!B:B=A3, 'Tourney History'!C:C))</f>
        <v>17</v>
      </c>
      <c r="G3" s="34">
        <f>COUNTIFS('Tourney History'!B:B,A3,'Tourney History'!D:D, 1)</f>
        <v>2</v>
      </c>
      <c r="H3" s="2">
        <f>COUNTIFS('Tourney History'!B:B,A3,'Tourney History'!D:D, 0)</f>
        <v>2</v>
      </c>
      <c r="I3" s="88">
        <f>LOOKUP(2, 1/('Tourney History'!$B:$B=A3), 'Tourney History'!$AD:$AD)</f>
        <v>0.5</v>
      </c>
      <c r="J3" s="34">
        <f>SUMIFS('Tourney History'!F:F,'Tourney History'!B:B,A3)</f>
        <v>7</v>
      </c>
      <c r="K3" s="2">
        <f>SUMIFS('Tourney History'!E:E,'Tourney History'!B:B,A3)-J3</f>
        <v>8</v>
      </c>
      <c r="L3" s="88">
        <f>LOOKUP(2, 1/('Tourney History'!$B:$B=A3), 'Tourney History'!$AB:$AB)</f>
        <v>0.4375</v>
      </c>
      <c r="M3" s="34">
        <f>SUMIFS('Tourney History'!H:H,'Tourney History'!B:B,A3)</f>
        <v>31</v>
      </c>
      <c r="N3" s="2">
        <f>SUMIFS('Tourney History'!G:G,'Tourney History'!B:B,A3)-M3</f>
        <v>29</v>
      </c>
      <c r="O3" s="88">
        <f>LOOKUP(2, 1/('Tourney History'!$B:$B=A3), 'Tourney History'!$AC:$AC)</f>
        <v>0.50749999999999995</v>
      </c>
      <c r="P3" s="2">
        <f>COUNTIFS('Tourney History'!$B:$B,$A$3,'Tourney History'!K:K, 1)</f>
        <v>0</v>
      </c>
      <c r="Q3" s="2">
        <f>COUNTIFS('Tourney History'!$B:$B,$A$3,'Tourney History'!L:L, 1)</f>
        <v>1</v>
      </c>
      <c r="R3" s="2">
        <f>COUNTIFS('Tourney History'!$B:$B,$A$3,'Tourney History'!M:M, 1)</f>
        <v>0</v>
      </c>
      <c r="S3" s="2">
        <f>COUNTIFS('Tourney History'!$B:$B,$A$3,'Tourney History'!N:N, 1)</f>
        <v>2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2</v>
      </c>
      <c r="AC3" s="2">
        <f>COUNTIFS('Tourney History'!$B:$B,$A$3,'Tourney History'!X:X, 1)</f>
        <v>0</v>
      </c>
      <c r="AD3" s="2">
        <f>COUNTIFS('Tourney History'!$B:$B,$A$3,'Tourney History'!Y:Y, 1)</f>
        <v>0</v>
      </c>
      <c r="AE3" s="2">
        <f>COUNTIFS('Tourney History'!$B:$B,$A$3,'Tourney History'!Z:Z, 1)</f>
        <v>1</v>
      </c>
    </row>
    <row r="4" spans="1:31" ht="15.75" x14ac:dyDescent="0.25">
      <c r="A4" s="2" t="s">
        <v>19</v>
      </c>
      <c r="B4" s="95" t="s">
        <v>79</v>
      </c>
      <c r="C4" s="2" t="s">
        <v>79</v>
      </c>
      <c r="D4" s="34">
        <f>SUMIFS('Tourney History'!C:C,'Tourney History'!B:B,A4)</f>
        <v>111</v>
      </c>
      <c r="E4" s="4">
        <f>AVERAGEIFS('Tourney History'!C:C,'Tourney History'!B:B,A4)</f>
        <v>13.875</v>
      </c>
      <c r="F4" s="35">
        <f t="array" ref="F4">MAX(IF('Tourney History'!B:B=A4, 'Tourney History'!C:C))</f>
        <v>26</v>
      </c>
      <c r="G4" s="34">
        <f>COUNTIFS('Tourney History'!B:B,A4,'Tourney History'!D:D, 1)</f>
        <v>3</v>
      </c>
      <c r="H4" s="2">
        <f>COUNTIFS('Tourney History'!B:B,A4,'Tourney History'!D:D, 0)</f>
        <v>5</v>
      </c>
      <c r="I4" s="88">
        <f>LOOKUP(2, 1/('Tourney History'!$B:$B=A4), 'Tourney History'!$AD:$AD)</f>
        <v>0.375</v>
      </c>
      <c r="J4" s="34">
        <f>SUMIFS('Tourney History'!F:F,'Tourney History'!B:B,A4)</f>
        <v>15</v>
      </c>
      <c r="K4" s="2">
        <f>SUMIFS('Tourney History'!E:E,'Tourney History'!B:B,A4)-J4</f>
        <v>18</v>
      </c>
      <c r="L4" s="88">
        <f>LOOKUP(2, 1/('Tourney History'!$B:$B=A4), 'Tourney History'!$AB:$AB)</f>
        <v>0.45624999999999999</v>
      </c>
      <c r="M4" s="34">
        <f>SUMIFS('Tourney History'!H:H,'Tourney History'!B:B,A4)</f>
        <v>65</v>
      </c>
      <c r="N4" s="2">
        <f>SUMIFS('Tourney History'!G:G,'Tourney History'!B:B,A4)-M4</f>
        <v>71</v>
      </c>
      <c r="O4" s="88">
        <f>LOOKUP(2, 1/('Tourney History'!$B:$B=A4), 'Tourney History'!$AC:$AC)</f>
        <v>0.47125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3</v>
      </c>
      <c r="AC4" s="2">
        <f>COUNTIFS('Tourney History'!$B:$B,$A$4,'Tourney History'!X:X, 1)</f>
        <v>4</v>
      </c>
      <c r="AD4" s="2">
        <f>COUNTIFS('Tourney History'!$B:$B,$A$4,'Tourney History'!Y:Y, 1)</f>
        <v>0</v>
      </c>
      <c r="AE4" s="2">
        <f>COUNTIFS('Tourney History'!$B:$B,$A$4,'Tourney History'!Z:Z, 1)</f>
        <v>3</v>
      </c>
    </row>
    <row r="5" spans="1:31" x14ac:dyDescent="0.25">
      <c r="A5" s="1" t="s">
        <v>42</v>
      </c>
      <c r="B5" s="6" t="s">
        <v>60</v>
      </c>
      <c r="C5" s="2" t="s">
        <v>79</v>
      </c>
      <c r="D5" s="34">
        <f>SUMIFS('Tourney History'!C:C,'Tourney History'!B:B,A5)</f>
        <v>18</v>
      </c>
      <c r="E5" s="4">
        <f>AVERAGEIFS('Tourney History'!C:C,'Tourney History'!B:B,A5)</f>
        <v>9</v>
      </c>
      <c r="F5" s="35">
        <f t="array" ref="F5">MAX(IF('Tourney History'!B:B=A5, 'Tourney History'!C:C))</f>
        <v>12</v>
      </c>
      <c r="G5" s="34">
        <f>COUNTIFS('Tourney History'!B:B,A5,'Tourney History'!D:D, 1)</f>
        <v>2</v>
      </c>
      <c r="H5" s="2">
        <f>COUNTIFS('Tourney History'!B:B,A5,'Tourney History'!D:D, 0)</f>
        <v>0</v>
      </c>
      <c r="I5" s="88">
        <f>LOOKUP(2, 1/('Tourney History'!$B:$B=A5), 'Tourney History'!$AD:$AD)</f>
        <v>1</v>
      </c>
      <c r="J5" s="34">
        <f>SUMIFS('Tourney History'!F:F,'Tourney History'!B:B,A5)</f>
        <v>6</v>
      </c>
      <c r="K5" s="2">
        <f>SUMIFS('Tourney History'!E:E,'Tourney History'!B:B,A5)-J5</f>
        <v>2</v>
      </c>
      <c r="L5" s="88">
        <f>LOOKUP(2, 1/('Tourney History'!$B:$B=A5), 'Tourney History'!$AB:$AB)</f>
        <v>0.8</v>
      </c>
      <c r="M5" s="34">
        <f>SUMIFS('Tourney History'!H:H,'Tourney History'!B:B,A5)</f>
        <v>20</v>
      </c>
      <c r="N5" s="2">
        <f>SUMIFS('Tourney History'!G:G,'Tourney History'!B:B,A5)-M5</f>
        <v>12</v>
      </c>
      <c r="O5" s="88">
        <f>LOOKUP(2, 1/('Tourney History'!$B:$B=A5), 'Tourney History'!$AC:$AC)</f>
        <v>0.66999999999999993</v>
      </c>
      <c r="P5" s="2">
        <f>COUNTIFS('Tourney History'!$B:$B,$A$5,'Tourney History'!K:K, 1)</f>
        <v>0</v>
      </c>
      <c r="Q5" s="2">
        <f>COUNTIFS('Tourney History'!$B:$B,$A$5,'Tourney History'!L:L, 1)</f>
        <v>2</v>
      </c>
      <c r="R5" s="2">
        <f>COUNTIFS('Tourney History'!$B:$B,$A$5,'Tourney History'!M:M, 1)</f>
        <v>1</v>
      </c>
      <c r="S5" s="2">
        <f>COUNTIFS('Tourney History'!$B:$B,$A$5,'Tourney History'!N:N, 1)</f>
        <v>0</v>
      </c>
      <c r="T5" s="2">
        <f>COUNTIFS('Tourney History'!$B:$B,$A$5,'Tourney History'!O:O, 1)</f>
        <v>1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x14ac:dyDescent="0.25">
      <c r="A6" s="1" t="s">
        <v>25</v>
      </c>
      <c r="B6" s="6" t="s">
        <v>79</v>
      </c>
      <c r="C6" s="2" t="s">
        <v>79</v>
      </c>
      <c r="D6" s="34">
        <f>SUMIFS('Tourney History'!C:C,'Tourney History'!B:B,A6)</f>
        <v>67</v>
      </c>
      <c r="E6" s="4">
        <f>AVERAGEIFS('Tourney History'!C:C,'Tourney History'!B:B,A6)</f>
        <v>22.333333333333332</v>
      </c>
      <c r="F6" s="35">
        <f t="array" ref="F6">MAX(IF('Tourney History'!B:B=A6, 'Tourney History'!C:C))</f>
        <v>31</v>
      </c>
      <c r="G6" s="34">
        <f>COUNTIFS('Tourney History'!B:B,A6,'Tourney History'!D:D, 1)</f>
        <v>0</v>
      </c>
      <c r="H6" s="2">
        <f>COUNTIFS('Tourney History'!B:B,A6,'Tourney History'!D:D, 0)</f>
        <v>3</v>
      </c>
      <c r="I6" s="88">
        <f>LOOKUP(2, 1/('Tourney History'!$B:$B=A6), 'Tourney History'!$AD:$AD)</f>
        <v>0</v>
      </c>
      <c r="J6" s="34">
        <f>SUMIFS('Tourney History'!F:F,'Tourney History'!B:B,A6)</f>
        <v>5</v>
      </c>
      <c r="K6" s="2">
        <f>SUMIFS('Tourney History'!E:E,'Tourney History'!B:B,A6)-J6</f>
        <v>9</v>
      </c>
      <c r="L6" s="88">
        <f>LOOKUP(2, 1/('Tourney History'!$B:$B=A6), 'Tourney History'!$AB:$AB)</f>
        <v>0.35000000000000003</v>
      </c>
      <c r="M6" s="34">
        <f>SUMIFS('Tourney History'!H:H,'Tourney History'!B:B,A6)</f>
        <v>27</v>
      </c>
      <c r="N6" s="2">
        <f>SUMIFS('Tourney History'!G:G,'Tourney History'!B:B,A6)-M6</f>
        <v>33</v>
      </c>
      <c r="O6" s="88">
        <f>LOOKUP(2, 1/('Tourney History'!$B:$B=A6), 'Tourney History'!$AC:$AC)</f>
        <v>0.45</v>
      </c>
      <c r="P6" s="2">
        <f>COUNTIFS('Tourney History'!$B:$B,$A$6,'Tourney History'!K:K, 1)</f>
        <v>0</v>
      </c>
      <c r="Q6" s="2">
        <f>COUNTIFS('Tourney History'!$B:$B,$A$6,'Tourney History'!L:L, 1)</f>
        <v>0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0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1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0</v>
      </c>
      <c r="AC6" s="2">
        <f>COUNTIFS('Tourney History'!$B:$B,$A$6,'Tourney History'!X:X, 1)</f>
        <v>0</v>
      </c>
      <c r="AD6" s="2">
        <f>COUNTIFS('Tourney History'!$B:$B,$A$6,'Tourney History'!Y:Y, 1)</f>
        <v>1</v>
      </c>
      <c r="AE6" s="2">
        <f>COUNTIFS('Tourney History'!$B:$B,$A$6,'Tourney History'!Z:Z, 1)</f>
        <v>2</v>
      </c>
    </row>
    <row r="7" spans="1:31" x14ac:dyDescent="0.25">
      <c r="A7" s="1" t="s">
        <v>147</v>
      </c>
      <c r="B7" s="6" t="s">
        <v>79</v>
      </c>
      <c r="C7" s="2" t="s">
        <v>79</v>
      </c>
      <c r="D7" s="34">
        <f>SUMIFS('Tourney History'!C:C,'Tourney History'!B:B,A7)</f>
        <v>21</v>
      </c>
      <c r="E7" s="4">
        <f>AVERAGEIFS('Tourney History'!C:C,'Tourney History'!B:B,A7)</f>
        <v>21</v>
      </c>
      <c r="F7" s="35">
        <f t="array" ref="F7">MAX(IF('Tourney History'!B:B=A7, 'Tourney History'!C:C))</f>
        <v>21</v>
      </c>
      <c r="G7" s="34">
        <f>COUNTIFS('Tourney History'!B:B,A7,'Tourney History'!D:D, 1)</f>
        <v>0</v>
      </c>
      <c r="H7" s="2">
        <f>COUNTIFS('Tourney History'!B:B,A7,'Tourney History'!D:D, 0)</f>
        <v>1</v>
      </c>
      <c r="I7" s="88">
        <f>LOOKUP(2, 1/('Tourney History'!$B:$B=A7), 'Tourney History'!$AD:$AD)</f>
        <v>0</v>
      </c>
      <c r="J7" s="34">
        <f>SUMIFS('Tourney History'!F:F,'Tourney History'!B:B,A7)</f>
        <v>2</v>
      </c>
      <c r="K7" s="2">
        <f>SUMIFS('Tourney History'!E:E,'Tourney History'!B:B,A7)-J7</f>
        <v>3</v>
      </c>
      <c r="L7" s="88">
        <f>LOOKUP(2, 1/('Tourney History'!$B:$B=A7), 'Tourney History'!$AB:$AB)</f>
        <v>0.4</v>
      </c>
      <c r="M7" s="34">
        <f>SUMIFS('Tourney History'!H:H,'Tourney History'!B:B,A7)</f>
        <v>8</v>
      </c>
      <c r="N7" s="2">
        <f>SUMIFS('Tourney History'!G:G,'Tourney History'!B:B,A7)-M7</f>
        <v>12</v>
      </c>
      <c r="O7" s="88">
        <f>LOOKUP(2, 1/('Tourney History'!$B:$B=A7), 'Tourney History'!$AC:$AC)</f>
        <v>0.4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0</v>
      </c>
      <c r="T7" s="2">
        <f>COUNTIFS('Tourney History'!$B:$B,$A$7,'Tourney History'!O:O, 1)</f>
        <v>0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0</v>
      </c>
    </row>
    <row r="8" spans="1:31" x14ac:dyDescent="0.25">
      <c r="A8" s="1" t="s">
        <v>27</v>
      </c>
      <c r="B8" s="6" t="s">
        <v>76</v>
      </c>
      <c r="C8" s="6" t="s">
        <v>79</v>
      </c>
      <c r="D8" s="34">
        <f>SUMIFS('Tourney History'!C:C,'Tourney History'!B:B,A8)</f>
        <v>112</v>
      </c>
      <c r="E8" s="4">
        <f>AVERAGEIFS('Tourney History'!C:C,'Tourney History'!B:B,A8)</f>
        <v>16</v>
      </c>
      <c r="F8" s="35">
        <f t="array" ref="F8">MAX(IF('Tourney History'!B:B=A8, 'Tourney History'!C:C))</f>
        <v>29</v>
      </c>
      <c r="G8" s="34">
        <f>COUNTIFS('Tourney History'!B:B,A8,'Tourney History'!D:D, 1)</f>
        <v>4</v>
      </c>
      <c r="H8" s="2">
        <f>COUNTIFS('Tourney History'!B:B,A8,'Tourney History'!D:D, 0)</f>
        <v>3</v>
      </c>
      <c r="I8" s="88">
        <f>LOOKUP(2, 1/('Tourney History'!$B:$B=A8), 'Tourney History'!$AD:$AD)</f>
        <v>0.5714285714285714</v>
      </c>
      <c r="J8" s="34">
        <f>SUMIFS('Tourney History'!F:F,'Tourney History'!B:B,A8)</f>
        <v>15</v>
      </c>
      <c r="K8" s="2">
        <f>SUMIFS('Tourney History'!E:E,'Tourney History'!B:B,A8)-J8</f>
        <v>16</v>
      </c>
      <c r="L8" s="88">
        <f>LOOKUP(2, 1/('Tourney History'!$B:$B=A8), 'Tourney History'!$AB:$AB)</f>
        <v>0.45714285714285718</v>
      </c>
      <c r="M8" s="34">
        <f>SUMIFS('Tourney History'!H:H,'Tourney History'!B:B,A8)</f>
        <v>64</v>
      </c>
      <c r="N8" s="2">
        <f>SUMIFS('Tourney History'!G:G,'Tourney History'!B:B,A8)-M8</f>
        <v>66</v>
      </c>
      <c r="O8" s="88">
        <f>LOOKUP(2, 1/('Tourney History'!$B:$B=A8), 'Tourney History'!$AC:$AC)</f>
        <v>0.47000000000000003</v>
      </c>
      <c r="P8" s="2">
        <f>COUNTIFS('Tourney History'!$B:$B,$A$8,'Tourney History'!K:K, 1)</f>
        <v>0</v>
      </c>
      <c r="Q8" s="2">
        <f>COUNTIFS('Tourney History'!$B:$B,$A$8,'Tourney History'!L:L, 1)</f>
        <v>0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3</v>
      </c>
      <c r="U8" s="2">
        <f>COUNTIFS('Tourney History'!$B:$B,$A$8,'Tourney History'!P:P, 1)</f>
        <v>2</v>
      </c>
      <c r="V8" s="2">
        <f>COUNTIFS('Tourney History'!$B:$B,$A$8,'Tourney History'!Q:Q, 1)</f>
        <v>1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1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26</v>
      </c>
      <c r="B9" s="6" t="s">
        <v>124</v>
      </c>
      <c r="C9" s="6" t="s">
        <v>79</v>
      </c>
      <c r="D9" s="34">
        <f>SUMIFS('Tourney History'!C:C,'Tourney History'!B:B,A9)</f>
        <v>108</v>
      </c>
      <c r="E9" s="4">
        <f>AVERAGEIFS('Tourney History'!C:C,'Tourney History'!B:B,A9)</f>
        <v>15.428571428571429</v>
      </c>
      <c r="F9" s="35">
        <f t="array" ref="F9">MAX(IF('Tourney History'!B:B=A9, 'Tourney History'!C:C))</f>
        <v>24</v>
      </c>
      <c r="G9" s="34">
        <f>COUNTIFS('Tourney History'!B:B,A9,'Tourney History'!D:D, 1)</f>
        <v>5</v>
      </c>
      <c r="H9" s="2">
        <f>COUNTIFS('Tourney History'!B:B,A9,'Tourney History'!D:D, 0)</f>
        <v>2</v>
      </c>
      <c r="I9" s="88">
        <f>LOOKUP(2, 1/('Tourney History'!$B:$B=A9), 'Tourney History'!$AD:$AD)</f>
        <v>0.7142857142857143</v>
      </c>
      <c r="J9" s="34">
        <f>SUMIFS('Tourney History'!F:F,'Tourney History'!B:B,A9)</f>
        <v>17</v>
      </c>
      <c r="K9" s="2">
        <f>SUMIFS('Tourney History'!E:E,'Tourney History'!B:B,A9)-J9</f>
        <v>13</v>
      </c>
      <c r="L9" s="88">
        <f>LOOKUP(2, 1/('Tourney History'!$B:$B=A9), 'Tourney History'!$AB:$AB)</f>
        <v>0.57857142857142863</v>
      </c>
      <c r="M9" s="34">
        <f>SUMIFS('Tourney History'!H:H,'Tourney History'!B:B,A9)</f>
        <v>66</v>
      </c>
      <c r="N9" s="2">
        <f>SUMIFS('Tourney History'!G:G,'Tourney History'!B:B,A9)-M9</f>
        <v>59</v>
      </c>
      <c r="O9" s="88">
        <f>LOOKUP(2, 1/('Tourney History'!$B:$B=A9), 'Tourney History'!$AC:$AC)</f>
        <v>0.53999999999999992</v>
      </c>
      <c r="P9" s="2">
        <f>COUNTIFS('Tourney History'!$B:$B,$A$9,'Tourney History'!K:K, 1)</f>
        <v>0</v>
      </c>
      <c r="Q9" s="2">
        <f>COUNTIFS('Tourney History'!$B:$B,$A$9,'Tourney History'!L:L, 1)</f>
        <v>2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2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2</v>
      </c>
      <c r="AC9" s="2">
        <f>COUNTIFS('Tourney History'!$B:$B,$A$9,'Tourney History'!X:X, 1)</f>
        <v>0</v>
      </c>
      <c r="AD9" s="2">
        <f>COUNTIFS('Tourney History'!$B:$B,$A$9,'Tourney History'!Y:Y, 1)</f>
        <v>0</v>
      </c>
      <c r="AE9" s="2">
        <f>COUNTIFS('Tourney History'!$B:$B,$A$9,'Tourney History'!Z:Z, 1)</f>
        <v>1</v>
      </c>
    </row>
    <row r="10" spans="1:31" ht="15.75" x14ac:dyDescent="0.25">
      <c r="A10" s="1" t="s">
        <v>45</v>
      </c>
      <c r="B10" s="80" t="s">
        <v>60</v>
      </c>
      <c r="C10" s="2" t="s">
        <v>79</v>
      </c>
      <c r="D10" s="34">
        <f>SUMIFS('Tourney History'!C:C,'Tourney History'!B:B,A10)</f>
        <v>71</v>
      </c>
      <c r="E10" s="4">
        <f>AVERAGEIFS('Tourney History'!C:C,'Tourney History'!B:B,A10)</f>
        <v>14.2</v>
      </c>
      <c r="F10" s="35">
        <f t="array" ref="F10">MAX(IF('Tourney History'!B:B=A10, 'Tourney History'!C:C))</f>
        <v>17</v>
      </c>
      <c r="G10" s="34">
        <f>COUNTIFS('Tourney History'!B:B,A10,'Tourney History'!D:D, 1)</f>
        <v>2</v>
      </c>
      <c r="H10" s="2">
        <f>COUNTIFS('Tourney History'!B:B,A10,'Tourney History'!D:D, 0)</f>
        <v>3</v>
      </c>
      <c r="I10" s="88">
        <f>LOOKUP(2, 1/('Tourney History'!$B:$B=A10), 'Tourney History'!$AD:$AD)</f>
        <v>0.4</v>
      </c>
      <c r="J10" s="34">
        <f>SUMIFS('Tourney History'!F:F,'Tourney History'!B:B,A10)</f>
        <v>9</v>
      </c>
      <c r="K10" s="2">
        <f>SUMIFS('Tourney History'!E:E,'Tourney History'!B:B,A10)-J10</f>
        <v>11</v>
      </c>
      <c r="L10" s="88">
        <f>LOOKUP(2, 1/('Tourney History'!$B:$B=A10), 'Tourney History'!$AB:$AB)</f>
        <v>0.43</v>
      </c>
      <c r="M10" s="34">
        <f>SUMIFS('Tourney History'!H:H,'Tourney History'!B:B,A10)</f>
        <v>39</v>
      </c>
      <c r="N10" s="2">
        <f>SUMIFS('Tourney History'!G:G,'Tourney History'!B:B,A10)-M10</f>
        <v>41</v>
      </c>
      <c r="O10" s="88">
        <f>LOOKUP(2, 1/('Tourney History'!$B:$B=A10), 'Tourney History'!$AC:$AC)</f>
        <v>0.48599999999999993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0</v>
      </c>
      <c r="S10" s="2">
        <f>COUNTIFS('Tourney History'!$B:$B,$A$10,'Tourney History'!N:N, 1)</f>
        <v>2</v>
      </c>
      <c r="T10" s="2">
        <f>COUNTIFS('Tourney History'!$B:$B,$A$10,'Tourney History'!O:O, 1)</f>
        <v>0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50</v>
      </c>
      <c r="B11" s="95" t="s">
        <v>79</v>
      </c>
      <c r="C11" s="2" t="s">
        <v>79</v>
      </c>
      <c r="D11" s="34">
        <f>SUMIFS('Tourney History'!C:C,'Tourney History'!B:B,A11)</f>
        <v>14</v>
      </c>
      <c r="E11" s="4">
        <f>AVERAGEIFS('Tourney History'!C:C,'Tourney History'!B:B,A11)</f>
        <v>14</v>
      </c>
      <c r="F11" s="35">
        <f t="array" ref="F11">MAX(IF('Tourney History'!B:B=A11, 'Tourney History'!C:C))</f>
        <v>14</v>
      </c>
      <c r="G11" s="34">
        <f>COUNTIFS('Tourney History'!B:B,A11,'Tourney History'!D:D, 1)</f>
        <v>0</v>
      </c>
      <c r="H11" s="2">
        <f>COUNTIFS('Tourney History'!B:B,A11,'Tourney History'!D:D, 0)</f>
        <v>1</v>
      </c>
      <c r="I11" s="88">
        <f>LOOKUP(2, 1/('Tourney History'!$B:$B=A11), 'Tourney History'!$AD:$AD)</f>
        <v>0</v>
      </c>
      <c r="J11" s="34">
        <f>SUMIFS('Tourney History'!F:F,'Tourney History'!B:B,A11)</f>
        <v>1</v>
      </c>
      <c r="K11" s="2">
        <f>SUMIFS('Tourney History'!E:E,'Tourney History'!B:B,A11)-J11</f>
        <v>3</v>
      </c>
      <c r="L11" s="88">
        <f>LOOKUP(2, 1/('Tourney History'!$B:$B=A11), 'Tourney History'!$AB:$AB)</f>
        <v>0.25</v>
      </c>
      <c r="M11" s="34">
        <f>SUMIFS('Tourney History'!H:H,'Tourney History'!B:B,A11)</f>
        <v>8</v>
      </c>
      <c r="N11" s="2">
        <f>SUMIFS('Tourney History'!G:G,'Tourney History'!B:B,A11)-M11</f>
        <v>11</v>
      </c>
      <c r="O11" s="88">
        <f>LOOKUP(2, 1/('Tourney History'!$B:$B=A11), 'Tourney History'!$AC:$AC)</f>
        <v>0.42</v>
      </c>
      <c r="P11" s="2">
        <f>COUNTIFS('Tourney History'!$B:$B,$A$11,'Tourney History'!K:K, 1)</f>
        <v>0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0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0</v>
      </c>
      <c r="AD11" s="2">
        <f>COUNTIFS('Tourney History'!$B:$B,$A$11,'Tourney History'!Y:Y, 1)</f>
        <v>0</v>
      </c>
      <c r="AE11" s="2">
        <f>COUNTIFS('Tourney History'!$B:$B,$A$11,'Tourney History'!Z:Z, 1)</f>
        <v>0</v>
      </c>
    </row>
    <row r="12" spans="1:31" x14ac:dyDescent="0.25">
      <c r="A12" s="2" t="s">
        <v>52</v>
      </c>
      <c r="B12" s="2" t="s">
        <v>79</v>
      </c>
      <c r="C12" s="2" t="s">
        <v>79</v>
      </c>
      <c r="D12" s="34">
        <f>SUMIFS('Tourney History'!C:C,'Tourney History'!B:B,A12)</f>
        <v>5</v>
      </c>
      <c r="E12" s="4">
        <f>AVERAGEIFS('Tourney History'!C:C,'Tourney History'!B:B,A12)</f>
        <v>5</v>
      </c>
      <c r="F12" s="35">
        <f t="array" ref="F12">MAX(IF('Tourney History'!B:B=A12, 'Tourney History'!C:C))</f>
        <v>5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0</v>
      </c>
      <c r="K12" s="2">
        <f>SUMIFS('Tourney History'!E:E,'Tourney History'!B:B,A12)-J12</f>
        <v>3</v>
      </c>
      <c r="L12" s="88">
        <f>LOOKUP(2, 1/('Tourney History'!$B:$B=A12), 'Tourney History'!$AB:$AB)</f>
        <v>0</v>
      </c>
      <c r="M12" s="34">
        <f>SUMIFS('Tourney History'!H:H,'Tourney History'!B:B,A12)</f>
        <v>4</v>
      </c>
      <c r="N12" s="2">
        <f>SUMIFS('Tourney History'!G:G,'Tourney History'!B:B,A12)-M12</f>
        <v>9</v>
      </c>
      <c r="O12" s="88">
        <f>LOOKUP(2, 1/('Tourney History'!$B:$B=A12), 'Tourney History'!$AC:$AC)</f>
        <v>0.31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0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29</v>
      </c>
      <c r="B13" s="6" t="s">
        <v>157</v>
      </c>
      <c r="C13" s="2" t="s">
        <v>79</v>
      </c>
      <c r="D13" s="34">
        <f>SUMIFS('Tourney History'!C:C,'Tourney History'!B:B,A13)</f>
        <v>83</v>
      </c>
      <c r="E13" s="4">
        <f>AVERAGEIFS('Tourney History'!C:C,'Tourney History'!B:B,A13)</f>
        <v>11.857142857142858</v>
      </c>
      <c r="F13" s="35">
        <f t="array" ref="F13">MAX(IF('Tourney History'!B:B=A13, 'Tourney History'!C:C))</f>
        <v>21</v>
      </c>
      <c r="G13" s="34">
        <f>COUNTIFS('Tourney History'!B:B,A13,'Tourney History'!D:D, 1)</f>
        <v>6</v>
      </c>
      <c r="H13" s="2">
        <f>COUNTIFS('Tourney History'!B:B,A13,'Tourney History'!D:D, 0)</f>
        <v>1</v>
      </c>
      <c r="I13" s="88">
        <f>LOOKUP(2, 1/('Tourney History'!$B:$B=A13), 'Tourney History'!$AD:$AD)</f>
        <v>0.8571428571428571</v>
      </c>
      <c r="J13" s="34">
        <f>SUMIFS('Tourney History'!F:F,'Tourney History'!B:B,A13)</f>
        <v>19</v>
      </c>
      <c r="K13" s="2">
        <f>SUMIFS('Tourney History'!E:E,'Tourney History'!B:B,A13)-J13</f>
        <v>10</v>
      </c>
      <c r="L13" s="88">
        <f>LOOKUP(2, 1/('Tourney History'!$B:$B=A13), 'Tourney History'!$AB:$AB)</f>
        <v>0.67142857142857149</v>
      </c>
      <c r="M13" s="34">
        <f>SUMIFS('Tourney History'!H:H,'Tourney History'!B:B,A13)</f>
        <v>71</v>
      </c>
      <c r="N13" s="2">
        <f>SUMIFS('Tourney History'!G:G,'Tourney History'!B:B,A13)-M13</f>
        <v>51</v>
      </c>
      <c r="O13" s="88">
        <f>LOOKUP(2, 1/('Tourney History'!$B:$B=A13), 'Tourney History'!$AC:$AC)</f>
        <v>0.59714285714285709</v>
      </c>
      <c r="P13" s="2">
        <f>COUNTIFS('Tourney History'!$B:$B,$A$13,'Tourney History'!K:K, 1)</f>
        <v>0</v>
      </c>
      <c r="Q13" s="2">
        <f>COUNTIFS('Tourney History'!$B:$B,$A$13,'Tourney History'!L:L, 1)</f>
        <v>3</v>
      </c>
      <c r="R13" s="2">
        <f>COUNTIFS('Tourney History'!$B:$B,$A$13,'Tourney History'!M:M, 1)</f>
        <v>2</v>
      </c>
      <c r="S13" s="2">
        <f>COUNTIFS('Tourney History'!$B:$B,$A$13,'Tourney History'!N:N, 1)</f>
        <v>2</v>
      </c>
      <c r="T13" s="2">
        <f>COUNTIFS('Tourney History'!$B:$B,$A$13,'Tourney History'!O:O, 1)</f>
        <v>2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4</v>
      </c>
      <c r="AC13" s="2">
        <f>COUNTIFS('Tourney History'!$B:$B,$A$13,'Tourney History'!X:X, 1)</f>
        <v>2</v>
      </c>
      <c r="AD13" s="2">
        <f>COUNTIFS('Tourney History'!$B:$B,$A$13,'Tourney History'!Y:Y, 1)</f>
        <v>0</v>
      </c>
      <c r="AE13" s="2">
        <f>COUNTIFS('Tourney History'!$B:$B,$A$13,'Tourney History'!Z:Z, 1)</f>
        <v>3</v>
      </c>
    </row>
    <row r="14" spans="1:31" x14ac:dyDescent="0.25">
      <c r="A14" s="2" t="s">
        <v>1</v>
      </c>
      <c r="B14" s="6" t="s">
        <v>160</v>
      </c>
      <c r="C14" s="2" t="s">
        <v>79</v>
      </c>
      <c r="D14" s="34">
        <f>SUMIFS('Tourney History'!C:C,'Tourney History'!B:B,A14)</f>
        <v>160</v>
      </c>
      <c r="E14" s="4">
        <f>AVERAGEIFS('Tourney History'!C:C,'Tourney History'!B:B,A14)</f>
        <v>26.666666666666668</v>
      </c>
      <c r="F14" s="35">
        <f t="array" ref="F14">MAX(IF('Tourney History'!B:B=A14, 'Tourney History'!C:C))</f>
        <v>33</v>
      </c>
      <c r="G14" s="34">
        <f>COUNTIFS('Tourney History'!B:B,A14,'Tourney History'!D:D, 1)</f>
        <v>5</v>
      </c>
      <c r="H14" s="2">
        <f>COUNTIFS('Tourney History'!B:B,A14,'Tourney History'!D:D, 0)</f>
        <v>1</v>
      </c>
      <c r="I14" s="88">
        <f>LOOKUP(2, 1/('Tourney History'!$B:$B=A14), 'Tourney History'!$AD:$AD)</f>
        <v>0.83333333333333337</v>
      </c>
      <c r="J14" s="34">
        <f>SUMIFS('Tourney History'!F:F,'Tourney History'!B:B,A14)</f>
        <v>17</v>
      </c>
      <c r="K14" s="2">
        <f>SUMIFS('Tourney History'!E:E,'Tourney History'!B:B,A14)-J14</f>
        <v>9</v>
      </c>
      <c r="L14" s="88">
        <f>LOOKUP(2, 1/('Tourney History'!$B:$B=A14), 'Tourney History'!$AB:$AB)</f>
        <v>0.68333333333333324</v>
      </c>
      <c r="M14" s="34">
        <f>SUMIFS('Tourney History'!H:H,'Tourney History'!B:B,A14)</f>
        <v>63</v>
      </c>
      <c r="N14" s="2">
        <f>SUMIFS('Tourney History'!G:G,'Tourney History'!B:B,A14)-M14</f>
        <v>51</v>
      </c>
      <c r="O14" s="88">
        <f>LOOKUP(2, 1/('Tourney History'!$B:$B=A14), 'Tourney History'!$AC:$AC)</f>
        <v>0.57500000000000007</v>
      </c>
      <c r="P14" s="2">
        <f>COUNTIFS('Tourney History'!$B:$B,$A$14,'Tourney History'!K:K, 1)</f>
        <v>0</v>
      </c>
      <c r="Q14" s="2">
        <f>COUNTIFS('Tourney History'!$B:$B,$A$14,'Tourney History'!L:L, 1)</f>
        <v>3</v>
      </c>
      <c r="R14" s="2">
        <f>COUNTIFS('Tourney History'!$B:$B,$A$14,'Tourney History'!M:M, 1)</f>
        <v>3</v>
      </c>
      <c r="S14" s="2">
        <f>COUNTIFS('Tourney History'!$B:$B,$A$14,'Tourney History'!N:N, 1)</f>
        <v>0</v>
      </c>
      <c r="T14" s="2">
        <f>COUNTIFS('Tourney History'!$B:$B,$A$14,'Tourney History'!O:O, 1)</f>
        <v>2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2</v>
      </c>
      <c r="AD14" s="2">
        <f>COUNTIFS('Tourney History'!$B:$B,$A$14,'Tourney History'!Y:Y, 1)</f>
        <v>2</v>
      </c>
      <c r="AE14" s="2">
        <f>COUNTIFS('Tourney History'!$B:$B,$A$14,'Tourney History'!Z:Z, 1)</f>
        <v>3</v>
      </c>
    </row>
    <row r="15" spans="1:31" x14ac:dyDescent="0.25">
      <c r="A15" s="2" t="s">
        <v>46</v>
      </c>
      <c r="B15" s="6" t="s">
        <v>162</v>
      </c>
      <c r="C15" s="2" t="s">
        <v>79</v>
      </c>
      <c r="D15" s="34">
        <f>SUMIFS('Tourney History'!C:C,'Tourney History'!B:B,A15)</f>
        <v>106</v>
      </c>
      <c r="E15" s="4">
        <f>AVERAGEIFS('Tourney History'!C:C,'Tourney History'!B:B,A15)</f>
        <v>21.2</v>
      </c>
      <c r="F15" s="35">
        <f t="array" ref="F15">MAX(IF('Tourney History'!B:B=A15, 'Tourney History'!C:C))</f>
        <v>36</v>
      </c>
      <c r="G15" s="34">
        <f>COUNTIFS('Tourney History'!B:B,A15,'Tourney History'!D:D, 1)</f>
        <v>2</v>
      </c>
      <c r="H15" s="2">
        <f>COUNTIFS('Tourney History'!B:B,A15,'Tourney History'!D:D, 0)</f>
        <v>3</v>
      </c>
      <c r="I15" s="88">
        <f>LOOKUP(2, 1/('Tourney History'!$B:$B=A15), 'Tourney History'!$AD:$AD)</f>
        <v>0.4</v>
      </c>
      <c r="J15" s="34">
        <f>SUMIFS('Tourney History'!F:F,'Tourney History'!B:B,A15)</f>
        <v>8</v>
      </c>
      <c r="K15" s="2">
        <f>SUMIFS('Tourney History'!E:E,'Tourney History'!B:B,A15)-J15</f>
        <v>11</v>
      </c>
      <c r="L15" s="88">
        <f>LOOKUP(2, 1/('Tourney History'!$B:$B=A15), 'Tourney History'!$AB:$AB)</f>
        <v>0.4</v>
      </c>
      <c r="M15" s="34">
        <f>SUMIFS('Tourney History'!H:H,'Tourney History'!B:B,A15)</f>
        <v>35</v>
      </c>
      <c r="N15" s="2">
        <f>SUMIFS('Tourney History'!G:G,'Tourney History'!B:B,A15)-M15</f>
        <v>45</v>
      </c>
      <c r="O15" s="88">
        <f>LOOKUP(2, 1/('Tourney History'!$B:$B=A15), 'Tourney History'!$AC:$AC)</f>
        <v>0.42800000000000005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1</v>
      </c>
      <c r="S15" s="2">
        <f>COUNTIFS('Tourney History'!$B:$B,$A$15,'Tourney History'!N:N, 1)</f>
        <v>1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1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1</v>
      </c>
      <c r="AC15" s="2">
        <f>COUNTIFS('Tourney History'!$B:$B,$A$15,'Tourney History'!X:X, 1)</f>
        <v>0</v>
      </c>
      <c r="AD15" s="2">
        <f>COUNTIFS('Tourney History'!$B:$B,$A$15,'Tourney History'!Y:Y, 1)</f>
        <v>1</v>
      </c>
      <c r="AE15" s="2">
        <f>COUNTIFS('Tourney History'!$B:$B,$A$15,'Tourney History'!Z:Z, 1)</f>
        <v>0</v>
      </c>
    </row>
    <row r="16" spans="1:31" x14ac:dyDescent="0.25">
      <c r="A16" s="2" t="s">
        <v>28</v>
      </c>
      <c r="B16" s="6" t="s">
        <v>60</v>
      </c>
      <c r="C16" s="2" t="s">
        <v>79</v>
      </c>
      <c r="D16" s="34">
        <f>SUMIFS('Tourney History'!C:C,'Tourney History'!B:B,A16)</f>
        <v>90</v>
      </c>
      <c r="E16" s="4">
        <f>AVERAGEIFS('Tourney History'!C:C,'Tourney History'!B:B,A16)</f>
        <v>18</v>
      </c>
      <c r="F16" s="35">
        <f t="array" ref="F16">MAX(IF('Tourney History'!B:B=A16, 'Tourney History'!C:C))</f>
        <v>23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11</v>
      </c>
      <c r="K16" s="2">
        <f>SUMIFS('Tourney History'!E:E,'Tourney History'!B:B,A16)-J16</f>
        <v>12</v>
      </c>
      <c r="L16" s="88">
        <f>LOOKUP(2, 1/('Tourney History'!$B:$B=A16), 'Tourney History'!$AB:$AB)</f>
        <v>0.48</v>
      </c>
      <c r="M16" s="34">
        <f>SUMIFS('Tourney History'!H:H,'Tourney History'!B:B,A16)</f>
        <v>51</v>
      </c>
      <c r="N16" s="2">
        <f>SUMIFS('Tourney History'!G:G,'Tourney History'!B:B,A16)-M16</f>
        <v>52</v>
      </c>
      <c r="O16" s="88">
        <f>LOOKUP(2, 1/('Tourney History'!$B:$B=A16), 'Tourney History'!$AC:$AC)</f>
        <v>0.49399999999999994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1</v>
      </c>
      <c r="U16" s="2">
        <f>COUNTIFS('Tourney History'!$B:$B,$A$16,'Tourney History'!P:P, 1)</f>
        <v>0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3</v>
      </c>
    </row>
    <row r="17" spans="1:31" x14ac:dyDescent="0.25">
      <c r="A17" s="2" t="s">
        <v>53</v>
      </c>
      <c r="B17" s="6" t="s">
        <v>60</v>
      </c>
      <c r="C17" s="2" t="s">
        <v>79</v>
      </c>
      <c r="D17" s="34">
        <f>SUMIFS('Tourney History'!C:C,'Tourney History'!B:B,A17)</f>
        <v>43</v>
      </c>
      <c r="E17" s="4">
        <f>AVERAGEIFS('Tourney History'!C:C,'Tourney History'!B:B,A17)</f>
        <v>14.333333333333334</v>
      </c>
      <c r="F17" s="35">
        <f t="array" ref="F17">MAX(IF('Tourney History'!B:B=A17, 'Tourney History'!C:C))</f>
        <v>25</v>
      </c>
      <c r="G17" s="34">
        <f>COUNTIFS('Tourney History'!B:B,A17,'Tourney History'!D:D, 1)</f>
        <v>2</v>
      </c>
      <c r="H17" s="2">
        <f>COUNTIFS('Tourney History'!B:B,A17,'Tourney History'!D:D, 0)</f>
        <v>1</v>
      </c>
      <c r="I17" s="88">
        <f>LOOKUP(2, 1/('Tourney History'!$B:$B=A17), 'Tourney History'!$AD:$AD)</f>
        <v>0.66666666666666663</v>
      </c>
      <c r="J17" s="34">
        <f>SUMIFS('Tourney History'!F:F,'Tourney History'!B:B,A17)</f>
        <v>6</v>
      </c>
      <c r="K17" s="2">
        <f>SUMIFS('Tourney History'!E:E,'Tourney History'!B:B,A17)-J17</f>
        <v>7</v>
      </c>
      <c r="L17" s="88">
        <f>LOOKUP(2, 1/('Tourney History'!$B:$B=A17), 'Tourney History'!$AB:$AB)</f>
        <v>0.39999999999999997</v>
      </c>
      <c r="M17" s="34">
        <f>SUMIFS('Tourney History'!H:H,'Tourney History'!B:B,A17)</f>
        <v>27</v>
      </c>
      <c r="N17" s="2">
        <f>SUMIFS('Tourney History'!G:G,'Tourney History'!B:B,A17)-M17</f>
        <v>26</v>
      </c>
      <c r="O17" s="88">
        <f>LOOKUP(2, 1/('Tourney History'!$B:$B=A17), 'Tourney History'!$AC:$AC)</f>
        <v>0.48666666666666664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1</v>
      </c>
      <c r="V17" s="2">
        <f>COUNTIFS('Tourney History'!$B:$B,$A$17,'Tourney History'!Q:Q, 1)</f>
        <v>2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51</v>
      </c>
      <c r="B18" s="6" t="s">
        <v>79</v>
      </c>
      <c r="C18" s="2" t="s">
        <v>79</v>
      </c>
      <c r="D18" s="34">
        <f>SUMIFS('Tourney History'!C:C,'Tourney History'!B:B,A18)</f>
        <v>84</v>
      </c>
      <c r="E18" s="4">
        <f>AVERAGEIFS('Tourney History'!C:C,'Tourney History'!B:B,A18)</f>
        <v>16.8</v>
      </c>
      <c r="F18" s="35">
        <f t="array" ref="F18">MAX(IF('Tourney History'!B:B=A18, 'Tourney History'!C:C))</f>
        <v>22</v>
      </c>
      <c r="G18" s="34">
        <f>COUNTIFS('Tourney History'!B:B,A18,'Tourney History'!D:D, 1)</f>
        <v>3</v>
      </c>
      <c r="H18" s="2">
        <f>COUNTIFS('Tourney History'!B:B,A18,'Tourney History'!D:D, 0)</f>
        <v>2</v>
      </c>
      <c r="I18" s="88">
        <f>LOOKUP(2, 1/('Tourney History'!$B:$B=A18), 'Tourney History'!$AD:$AD)</f>
        <v>0.6</v>
      </c>
      <c r="J18" s="34">
        <f>SUMIFS('Tourney History'!F:F,'Tourney History'!B:B,A18)</f>
        <v>12</v>
      </c>
      <c r="K18" s="2">
        <f>SUMIFS('Tourney History'!E:E,'Tourney History'!B:B,A18)-J18</f>
        <v>8</v>
      </c>
      <c r="L18" s="88">
        <f>LOOKUP(2, 1/('Tourney History'!$B:$B=A18), 'Tourney History'!$AB:$AB)</f>
        <v>0.63</v>
      </c>
      <c r="M18" s="34">
        <f>SUMIFS('Tourney History'!H:H,'Tourney History'!B:B,A18)</f>
        <v>41</v>
      </c>
      <c r="N18" s="2">
        <f>SUMIFS('Tourney History'!G:G,'Tourney History'!B:B,A18)-M18</f>
        <v>40</v>
      </c>
      <c r="O18" s="88">
        <f>LOOKUP(2, 1/('Tourney History'!$B:$B=A18), 'Tourney History'!$AC:$AC)</f>
        <v>0.51600000000000001</v>
      </c>
      <c r="P18" s="2">
        <f>COUNTIFS('Tourney History'!$B:$B,$A$18,'Tourney History'!K:K, 1)</f>
        <v>1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0</v>
      </c>
      <c r="AE18" s="2">
        <f>COUNTIFS('Tourney History'!$B:$B,$A$18,'Tourney History'!Z:Z, 1)</f>
        <v>2</v>
      </c>
    </row>
    <row r="19" spans="1:31" ht="15.75" x14ac:dyDescent="0.25">
      <c r="A19" s="2" t="s">
        <v>20</v>
      </c>
      <c r="B19" s="80" t="s">
        <v>60</v>
      </c>
      <c r="C19" s="2" t="s">
        <v>79</v>
      </c>
      <c r="D19" s="34">
        <f>SUMIFS('Tourney History'!C:C,'Tourney History'!B:B,A19)</f>
        <v>127</v>
      </c>
      <c r="E19" s="4">
        <f>AVERAGEIFS('Tourney History'!C:C,'Tourney History'!B:B,A19)</f>
        <v>15.875</v>
      </c>
      <c r="F19" s="35">
        <f t="array" ref="F19">MAX(IF('Tourney History'!B:B=A19, 'Tourney History'!C:C))</f>
        <v>28</v>
      </c>
      <c r="G19" s="34">
        <f>COUNTIFS('Tourney History'!B:B,A19,'Tourney History'!D:D, 1)</f>
        <v>3</v>
      </c>
      <c r="H19" s="2">
        <f>COUNTIFS('Tourney History'!B:B,A19,'Tourney History'!D:D, 0)</f>
        <v>5</v>
      </c>
      <c r="I19" s="88">
        <f>LOOKUP(2, 1/('Tourney History'!$B:$B=A19), 'Tourney History'!$AD:$AD)</f>
        <v>0.375</v>
      </c>
      <c r="J19" s="34">
        <f>SUMIFS('Tourney History'!F:F,'Tourney History'!B:B,A19)</f>
        <v>17</v>
      </c>
      <c r="K19" s="2">
        <f>SUMIFS('Tourney History'!E:E,'Tourney History'!B:B,A19)-J19</f>
        <v>18</v>
      </c>
      <c r="L19" s="88">
        <f>LOOKUP(2, 1/('Tourney History'!$B:$B=A19), 'Tourney History'!$AB:$AB)</f>
        <v>0.49374999999999997</v>
      </c>
      <c r="M19" s="34">
        <f>SUMIFS('Tourney History'!H:H,'Tourney History'!B:B,A19)</f>
        <v>75</v>
      </c>
      <c r="N19" s="2">
        <f>SUMIFS('Tourney History'!G:G,'Tourney History'!B:B,A19)-M19</f>
        <v>73</v>
      </c>
      <c r="O19" s="88">
        <f>LOOKUP(2, 1/('Tourney History'!$B:$B=A19), 'Tourney History'!$AC:$AC)</f>
        <v>0.51749999999999996</v>
      </c>
      <c r="P19" s="2">
        <f>COUNTIFS('Tourney History'!$B:$B,$A$19,'Tourney History'!K:K, 1)</f>
        <v>1</v>
      </c>
      <c r="Q19" s="2">
        <f>COUNTIFS('Tourney History'!$B:$B,$A$19,'Tourney History'!L:L, 1)</f>
        <v>1</v>
      </c>
      <c r="R19" s="2">
        <f>COUNTIFS('Tourney History'!$B:$B,$A$19,'Tourney History'!M:M, 1)</f>
        <v>0</v>
      </c>
      <c r="S19" s="2">
        <f>COUNTIFS('Tourney History'!$B:$B,$A$19,'Tourney History'!N:N, 1)</f>
        <v>4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2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x14ac:dyDescent="0.25">
      <c r="A20" s="1" t="s">
        <v>47</v>
      </c>
      <c r="B20" s="2" t="s">
        <v>79</v>
      </c>
      <c r="C20" s="2" t="s">
        <v>79</v>
      </c>
      <c r="D20" s="34">
        <f>SUMIFS('Tourney History'!C:C,'Tourney History'!B:B,A20)</f>
        <v>48</v>
      </c>
      <c r="E20" s="4">
        <f>AVERAGEIFS('Tourney History'!C:C,'Tourney History'!B:B,A20)</f>
        <v>9.6</v>
      </c>
      <c r="F20" s="35">
        <f t="array" ref="F20">MAX(IF('Tourney History'!B:B=A20, 'Tourney History'!C:C))</f>
        <v>13</v>
      </c>
      <c r="G20" s="34">
        <f>COUNTIFS('Tourney History'!B:B,A20,'Tourney History'!D:D, 1)</f>
        <v>2</v>
      </c>
      <c r="H20" s="2">
        <f>COUNTIFS('Tourney History'!B:B,A20,'Tourney History'!D:D, 0)</f>
        <v>3</v>
      </c>
      <c r="I20" s="88">
        <f>LOOKUP(2, 1/('Tourney History'!$B:$B=A20), 'Tourney History'!$AD:$AD)</f>
        <v>0.4</v>
      </c>
      <c r="J20" s="34">
        <f>SUMIFS('Tourney History'!F:F,'Tourney History'!B:B,A20)</f>
        <v>9</v>
      </c>
      <c r="K20" s="2">
        <f>SUMIFS('Tourney History'!E:E,'Tourney History'!B:B,A20)-J20</f>
        <v>11</v>
      </c>
      <c r="L20" s="88">
        <f>LOOKUP(2, 1/('Tourney History'!$B:$B=A20), 'Tourney History'!$AB:$AB)</f>
        <v>0.45</v>
      </c>
      <c r="M20" s="34">
        <f>SUMIFS('Tourney History'!H:H,'Tourney History'!B:B,A20)</f>
        <v>42</v>
      </c>
      <c r="N20" s="2">
        <f>SUMIFS('Tourney History'!G:G,'Tourney History'!B:B,A20)-M20</f>
        <v>44</v>
      </c>
      <c r="O20" s="88">
        <f>LOOKUP(2, 1/('Tourney History'!$B:$B=A20), 'Tourney History'!$AC:$AC)</f>
        <v>0.47400000000000003</v>
      </c>
      <c r="P20" s="2">
        <f>COUNTIFS('Tourney History'!$B:$B,$A$20,'Tourney History'!K:K, 1)</f>
        <v>0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1</v>
      </c>
      <c r="U20" s="2">
        <f>COUNTIFS('Tourney History'!$B:$B,$A$20,'Tourney History'!P:P, 1)</f>
        <v>2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2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3</v>
      </c>
    </row>
    <row r="21" spans="1:31" ht="15.75" x14ac:dyDescent="0.25">
      <c r="A21" s="1" t="s">
        <v>3</v>
      </c>
      <c r="B21" s="80" t="s">
        <v>161</v>
      </c>
      <c r="C21" s="2" t="s">
        <v>163</v>
      </c>
      <c r="D21" s="34">
        <f>SUMIFS('Tourney History'!C:C,'Tourney History'!B:B,A21)</f>
        <v>117</v>
      </c>
      <c r="E21" s="4">
        <f>AVERAGEIFS('Tourney History'!C:C,'Tourney History'!B:B,A21)</f>
        <v>29.25</v>
      </c>
      <c r="F21" s="35">
        <f t="array" ref="F21">MAX(IF('Tourney History'!B:B=A21, 'Tourney History'!C:C))</f>
        <v>44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10</v>
      </c>
      <c r="K21" s="2">
        <f>SUMIFS('Tourney History'!E:E,'Tourney History'!B:B,A21)-J21</f>
        <v>8</v>
      </c>
      <c r="L21" s="88">
        <f>LOOKUP(2, 1/('Tourney History'!$B:$B=A21), 'Tourney History'!$AB:$AB)</f>
        <v>0.55000000000000004</v>
      </c>
      <c r="M21" s="34">
        <f>SUMIFS('Tourney History'!H:H,'Tourney History'!B:B,A21)</f>
        <v>39</v>
      </c>
      <c r="N21" s="2">
        <f>SUMIFS('Tourney History'!G:G,'Tourney History'!B:B,A21)-M21</f>
        <v>35</v>
      </c>
      <c r="O21" s="88">
        <f>LOOKUP(2, 1/('Tourney History'!$B:$B=A21), 'Tourney History'!$AC:$AC)</f>
        <v>0.52249999999999996</v>
      </c>
      <c r="P21" s="2">
        <f>COUNTIFS('Tourney History'!$B:$B,$A$21,'Tourney History'!K:K, 1)</f>
        <v>0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0</v>
      </c>
      <c r="AC21" s="2">
        <f>COUNTIFS('Tourney History'!$B:$B,$A$21,'Tourney History'!X:X, 1)</f>
        <v>1</v>
      </c>
      <c r="AD21" s="2">
        <f>COUNTIFS('Tourney History'!$B:$B,$A$21,'Tourney History'!Y:Y, 1)</f>
        <v>1</v>
      </c>
      <c r="AE21" s="2">
        <f>COUNTIFS('Tourney History'!$B:$B,$A$21,'Tourney History'!Z:Z, 1)</f>
        <v>0</v>
      </c>
    </row>
    <row r="22" spans="1:31" x14ac:dyDescent="0.25">
      <c r="A22" s="2" t="s">
        <v>15</v>
      </c>
      <c r="B22" s="2" t="s">
        <v>79</v>
      </c>
      <c r="C22" s="2" t="s">
        <v>79</v>
      </c>
      <c r="D22" s="34">
        <f>SUMIFS('Tourney History'!C:C,'Tourney History'!B:B,A22)</f>
        <v>231</v>
      </c>
      <c r="E22" s="4">
        <f>AVERAGEIFS('Tourney History'!C:C,'Tourney History'!B:B,A22)</f>
        <v>33</v>
      </c>
      <c r="F22" s="35">
        <f t="array" ref="F22">MAX(IF('Tourney History'!B:B=A22, 'Tourney History'!C:C))</f>
        <v>55</v>
      </c>
      <c r="G22" s="34">
        <f>COUNTIFS('Tourney History'!B:B,A22,'Tourney History'!D:D, 1)</f>
        <v>2</v>
      </c>
      <c r="H22" s="2">
        <f>COUNTIFS('Tourney History'!B:B,A22,'Tourney History'!D:D, 0)</f>
        <v>5</v>
      </c>
      <c r="I22" s="88">
        <f>LOOKUP(2, 1/('Tourney History'!$B:$B=A22), 'Tourney History'!$AD:$AD)</f>
        <v>0.2857142857142857</v>
      </c>
      <c r="J22" s="34">
        <f>SUMIFS('Tourney History'!F:F,'Tourney History'!B:B,A22)</f>
        <v>14</v>
      </c>
      <c r="K22" s="2">
        <f>SUMIFS('Tourney History'!E:E,'Tourney History'!B:B,A22)-J22</f>
        <v>16</v>
      </c>
      <c r="L22" s="88">
        <f>LOOKUP(2, 1/('Tourney History'!$B:$B=A22), 'Tourney History'!$AB:$AB)</f>
        <v>0.49285714285714283</v>
      </c>
      <c r="M22" s="34">
        <f>SUMIFS('Tourney History'!H:H,'Tourney History'!B:B,A22)</f>
        <v>61</v>
      </c>
      <c r="N22" s="2">
        <f>SUMIFS('Tourney History'!G:G,'Tourney History'!B:B,A22)-M22</f>
        <v>66</v>
      </c>
      <c r="O22" s="88">
        <f>LOOKUP(2, 1/('Tourney History'!$B:$B=A22), 'Tourney History'!$AC:$AC)</f>
        <v>0.49285714285714283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3</v>
      </c>
      <c r="AC22" s="2">
        <f>COUNTIFS('Tourney History'!$B:$B,$A$22,'Tourney History'!X:X, 1)</f>
        <v>4</v>
      </c>
      <c r="AD22" s="2">
        <f>COUNTIFS('Tourney History'!$B:$B,$A$22,'Tourney History'!Y:Y, 1)</f>
        <v>1</v>
      </c>
      <c r="AE22" s="2">
        <f>COUNTIFS('Tourney History'!$B:$B,$A$22,'Tourney History'!Z:Z, 1)</f>
        <v>3</v>
      </c>
    </row>
    <row r="23" spans="1:31" x14ac:dyDescent="0.25">
      <c r="A23" s="2" t="s">
        <v>13</v>
      </c>
      <c r="B23" s="6" t="s">
        <v>124</v>
      </c>
      <c r="C23" s="1" t="s">
        <v>163</v>
      </c>
      <c r="D23" s="34">
        <f>SUMIFS('Tourney History'!C:C,'Tourney History'!B:B,A23)</f>
        <v>267</v>
      </c>
      <c r="E23" s="4">
        <f>AVERAGEIFS('Tourney History'!C:C,'Tourney History'!B:B,A23)</f>
        <v>33.375</v>
      </c>
      <c r="F23" s="35">
        <f t="array" ref="F23">MAX(IF('Tourney History'!B:B=A23, 'Tourney History'!C:C))</f>
        <v>50</v>
      </c>
      <c r="G23" s="34">
        <f>COUNTIFS('Tourney History'!B:B,A23,'Tourney History'!D:D, 1)</f>
        <v>5</v>
      </c>
      <c r="H23" s="2">
        <f>COUNTIFS('Tourney History'!B:B,A23,'Tourney History'!D:D, 0)</f>
        <v>3</v>
      </c>
      <c r="I23" s="88">
        <f>LOOKUP(2, 1/('Tourney History'!$B:$B=A23), 'Tourney History'!$AD:$AD)</f>
        <v>0.625</v>
      </c>
      <c r="J23" s="34">
        <f>SUMIFS('Tourney History'!F:F,'Tourney History'!B:B,A23)</f>
        <v>16</v>
      </c>
      <c r="K23" s="2">
        <f>SUMIFS('Tourney History'!E:E,'Tourney History'!B:B,A23)-J23</f>
        <v>17</v>
      </c>
      <c r="L23" s="88">
        <f>LOOKUP(2, 1/('Tourney History'!$B:$B=A23), 'Tourney History'!$AB:$AB)</f>
        <v>0.44375000000000003</v>
      </c>
      <c r="M23" s="34">
        <f>SUMIFS('Tourney History'!H:H,'Tourney History'!B:B,A23)</f>
        <v>70</v>
      </c>
      <c r="N23" s="2">
        <f>SUMIFS('Tourney History'!G:G,'Tourney History'!B:B,A23)-M23</f>
        <v>64</v>
      </c>
      <c r="O23" s="88">
        <f>LOOKUP(2, 1/('Tourney History'!$B:$B=A23), 'Tourney History'!$AC:$AC)</f>
        <v>0.5</v>
      </c>
      <c r="P23" s="2">
        <f>COUNTIFS('Tourney History'!$B:$B,$A$23,'Tourney History'!K:K, 1)</f>
        <v>0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3</v>
      </c>
      <c r="T23" s="2">
        <f>COUNTIFS('Tourney History'!$B:$B,$A$23,'Tourney History'!O:O, 1)</f>
        <v>3</v>
      </c>
      <c r="U23" s="2">
        <f>COUNTIFS('Tourney History'!$B:$B,$A$23,'Tourney History'!P:P, 1)</f>
        <v>2</v>
      </c>
      <c r="V23" s="2">
        <f>COUNTIFS('Tourney History'!$B:$B,$A$23,'Tourney History'!Q:Q, 1)</f>
        <v>2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0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x14ac:dyDescent="0.25">
      <c r="A24" s="2" t="s">
        <v>2</v>
      </c>
      <c r="B24" s="6" t="s">
        <v>124</v>
      </c>
      <c r="C24" s="6" t="s">
        <v>79</v>
      </c>
      <c r="D24" s="34">
        <f>SUMIFS('Tourney History'!C:C,'Tourney History'!B:B,A24)</f>
        <v>189</v>
      </c>
      <c r="E24" s="4">
        <f>AVERAGEIFS('Tourney History'!C:C,'Tourney History'!B:B,A24)</f>
        <v>31.5</v>
      </c>
      <c r="F24" s="35">
        <f t="array" ref="F24">MAX(IF('Tourney History'!B:B=A24, 'Tourney History'!C:C))</f>
        <v>37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14</v>
      </c>
      <c r="K24" s="2">
        <f>SUMIFS('Tourney History'!E:E,'Tourney History'!B:B,A24)-J24</f>
        <v>12</v>
      </c>
      <c r="L24" s="88">
        <f>LOOKUP(2, 1/('Tourney History'!$B:$B=A24), 'Tourney History'!$AB:$AB)</f>
        <v>0.54999999999999993</v>
      </c>
      <c r="M24" s="34">
        <f>SUMIFS('Tourney History'!H:H,'Tourney History'!B:B,A24)</f>
        <v>58</v>
      </c>
      <c r="N24" s="2">
        <f>SUMIFS('Tourney History'!G:G,'Tourney History'!B:B,A24)-M24</f>
        <v>53</v>
      </c>
      <c r="O24" s="88">
        <f>LOOKUP(2, 1/('Tourney History'!$B:$B=A24), 'Tourney History'!$AC:$AC)</f>
        <v>0.53500000000000003</v>
      </c>
      <c r="P24" s="2">
        <f>COUNTIFS('Tourney History'!$B:$B,$A$24,'Tourney History'!K:K, 1)</f>
        <v>0</v>
      </c>
      <c r="Q24" s="2">
        <f>COUNTIFS('Tourney History'!$B:$B,$A$24,'Tourney History'!L:L, 1)</f>
        <v>2</v>
      </c>
      <c r="R24" s="2">
        <f>COUNTIFS('Tourney History'!$B:$B,$A$24,'Tourney History'!M:M, 1)</f>
        <v>1</v>
      </c>
      <c r="S24" s="2">
        <f>COUNTIFS('Tourney History'!$B:$B,$A$24,'Tourney History'!N:N, 1)</f>
        <v>3</v>
      </c>
      <c r="T24" s="2">
        <f>COUNTIFS('Tourney History'!$B:$B,$A$24,'Tourney History'!O:O, 1)</f>
        <v>0</v>
      </c>
      <c r="U24" s="2">
        <f>COUNTIFS('Tourney History'!$B:$B,$A$24,'Tourney History'!P:P, 1)</f>
        <v>1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2</v>
      </c>
      <c r="AC24" s="2">
        <f>COUNTIFS('Tourney History'!$B:$B,$A$24,'Tourney History'!X:X, 1)</f>
        <v>0</v>
      </c>
      <c r="AD24" s="2">
        <f>COUNTIFS('Tourney History'!$B:$B,$A$24,'Tourney History'!Y:Y, 1)</f>
        <v>2</v>
      </c>
      <c r="AE24" s="2">
        <f>COUNTIFS('Tourney History'!$B:$B,$A$24,'Tourney History'!Z:Z, 1)</f>
        <v>2</v>
      </c>
    </row>
    <row r="25" spans="1:31" x14ac:dyDescent="0.25">
      <c r="A25" s="2" t="s">
        <v>54</v>
      </c>
      <c r="B25" s="6" t="s">
        <v>60</v>
      </c>
      <c r="C25" s="6" t="s">
        <v>79</v>
      </c>
      <c r="D25" s="34">
        <f>SUMIFS('Tourney History'!C:C,'Tourney History'!B:B,A25)</f>
        <v>53</v>
      </c>
      <c r="E25" s="4">
        <f>AVERAGEIFS('Tourney History'!C:C,'Tourney History'!B:B,A25)</f>
        <v>26.5</v>
      </c>
      <c r="F25" s="35">
        <f t="array" ref="F25">MAX(IF('Tourney History'!B:B=A25, 'Tourney History'!C:C))</f>
        <v>29</v>
      </c>
      <c r="G25" s="34">
        <f>COUNTIFS('Tourney History'!B:B,A25,'Tourney History'!D:D, 1)</f>
        <v>2</v>
      </c>
      <c r="H25" s="2">
        <f>COUNTIFS('Tourney History'!B:B,A25,'Tourney History'!D:D, 0)</f>
        <v>0</v>
      </c>
      <c r="I25" s="88">
        <f>LOOKUP(2, 1/('Tourney History'!$B:$B=A25), 'Tourney History'!$AD:$AD)</f>
        <v>1</v>
      </c>
      <c r="J25" s="34">
        <f>SUMIFS('Tourney History'!F:F,'Tourney History'!B:B,A25)</f>
        <v>6</v>
      </c>
      <c r="K25" s="2">
        <f>SUMIFS('Tourney History'!E:E,'Tourney History'!B:B,A25)-J25</f>
        <v>4</v>
      </c>
      <c r="L25" s="88">
        <f>LOOKUP(2, 1/('Tourney History'!$B:$B=A25), 'Tourney History'!$AB:$AB)</f>
        <v>0.6</v>
      </c>
      <c r="M25" s="34">
        <f>SUMIFS('Tourney History'!H:H,'Tourney History'!B:B,A25)</f>
        <v>23</v>
      </c>
      <c r="N25" s="2">
        <f>SUMIFS('Tourney History'!G:G,'Tourney History'!B:B,A25)-M25</f>
        <v>17</v>
      </c>
      <c r="O25" s="88">
        <f>LOOKUP(2, 1/('Tourney History'!$B:$B=A25), 'Tourney History'!$AC:$AC)</f>
        <v>0.57499999999999996</v>
      </c>
      <c r="P25" s="2">
        <f>COUNTIFS('Tourney History'!$B:$B,$A$25,'Tourney History'!K:K, 1)</f>
        <v>0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1</v>
      </c>
      <c r="T25" s="2">
        <f>COUNTIFS('Tourney History'!$B:$B,$A$25,'Tourney History'!O:O, 1)</f>
        <v>2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0</v>
      </c>
      <c r="AD25" s="2">
        <f>COUNTIFS('Tourney History'!$B:$B,$A$25,'Tourney History'!Y:Y, 1)</f>
        <v>0</v>
      </c>
      <c r="AE25" s="2">
        <f>COUNTIFS('Tourney History'!$B:$B,$A$25,'Tourney History'!Z:Z, 1)</f>
        <v>0</v>
      </c>
    </row>
    <row r="26" spans="1:31" x14ac:dyDescent="0.25">
      <c r="A26" s="2" t="s">
        <v>5</v>
      </c>
      <c r="B26" s="6" t="s">
        <v>161</v>
      </c>
      <c r="C26" s="6" t="s">
        <v>79</v>
      </c>
      <c r="D26" s="34">
        <f>SUMIFS('Tourney History'!C:C,'Tourney History'!B:B,A26)</f>
        <v>101</v>
      </c>
      <c r="E26" s="4">
        <f>AVERAGEIFS('Tourney History'!C:C,'Tourney History'!B:B,A26)</f>
        <v>25.25</v>
      </c>
      <c r="F26" s="35">
        <f t="array" ref="F26">MAX(IF('Tourney History'!B:B=A26, 'Tourney History'!C:C))</f>
        <v>33</v>
      </c>
      <c r="G26" s="34">
        <f>COUNTIFS('Tourney History'!B:B,A26,'Tourney History'!D:D, 1)</f>
        <v>3</v>
      </c>
      <c r="H26" s="2">
        <f>COUNTIFS('Tourney History'!B:B,A26,'Tourney History'!D:D, 0)</f>
        <v>1</v>
      </c>
      <c r="I26" s="88">
        <f>LOOKUP(2, 1/('Tourney History'!$B:$B=A26), 'Tourney History'!$AD:$AD)</f>
        <v>0.75</v>
      </c>
      <c r="J26" s="34">
        <f>SUMIFS('Tourney History'!F:F,'Tourney History'!B:B,A26)</f>
        <v>10</v>
      </c>
      <c r="K26" s="2">
        <f>SUMIFS('Tourney History'!E:E,'Tourney History'!B:B,A26)-J26</f>
        <v>7</v>
      </c>
      <c r="L26" s="88">
        <f>LOOKUP(2, 1/('Tourney History'!$B:$B=A26), 'Tourney History'!$AB:$AB)</f>
        <v>0.58750000000000002</v>
      </c>
      <c r="M26" s="34">
        <f>SUMIFS('Tourney History'!H:H,'Tourney History'!B:B,A26)</f>
        <v>40</v>
      </c>
      <c r="N26" s="2">
        <f>SUMIFS('Tourney History'!G:G,'Tourney History'!B:B,A26)-M26</f>
        <v>36</v>
      </c>
      <c r="O26" s="88">
        <f>LOOKUP(2, 1/('Tourney History'!$B:$B=A26), 'Tourney History'!$AC:$AC)</f>
        <v>0.52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2</v>
      </c>
      <c r="S26" s="2">
        <f>COUNTIFS('Tourney History'!$B:$B,$A$26,'Tourney History'!N:N, 1)</f>
        <v>0</v>
      </c>
      <c r="T26" s="2">
        <f>COUNTIFS('Tourney History'!$B:$B,$A$26,'Tourney History'!O:O, 1)</f>
        <v>1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1</v>
      </c>
      <c r="AC26" s="2">
        <f>COUNTIFS('Tourney History'!$B:$B,$A$26,'Tourney History'!X:X, 1)</f>
        <v>2</v>
      </c>
      <c r="AD26" s="2">
        <f>COUNTIFS('Tourney History'!$B:$B,$A$26,'Tourney History'!Y:Y, 1)</f>
        <v>1</v>
      </c>
      <c r="AE26" s="2">
        <f>COUNTIFS('Tourney History'!$B:$B,$A$26,'Tourney History'!Z:Z, 1)</f>
        <v>1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SUMIFS('Tourney History'!C:C,'Tourney History'!B:B,A27)</f>
        <v>10</v>
      </c>
      <c r="E27" s="4">
        <f>AVERAGEIFS('Tourney History'!C:C,'Tourney History'!B:B,A27)</f>
        <v>5</v>
      </c>
      <c r="F27" s="35">
        <f t="array" ref="F27">MAX(IF('Tourney History'!B:B=A27, 'Tourney History'!C:C))</f>
        <v>6</v>
      </c>
      <c r="G27" s="34">
        <f>COUNTIFS('Tourney History'!B:B,A27,'Tourney History'!D:D, 1)</f>
        <v>1</v>
      </c>
      <c r="H27" s="2">
        <f>COUNTIFS('Tourney History'!B:B,A27,'Tourney History'!D:D, 0)</f>
        <v>1</v>
      </c>
      <c r="I27" s="88">
        <f>LOOKUP(2, 1/('Tourney History'!$B:$B=A27), 'Tourney History'!$AD:$AD)</f>
        <v>0.5</v>
      </c>
      <c r="J27" s="34">
        <f>SUMIFS('Tourney History'!F:F,'Tourney History'!B:B,A27)</f>
        <v>4</v>
      </c>
      <c r="K27" s="2">
        <f>SUMIFS('Tourney History'!E:E,'Tourney History'!B:B,A27)-J27</f>
        <v>4</v>
      </c>
      <c r="L27" s="88">
        <f>LOOKUP(2, 1/('Tourney History'!$B:$B=A27), 'Tourney History'!$AB:$AB)</f>
        <v>0.5</v>
      </c>
      <c r="M27" s="34">
        <f>SUMIFS('Tourney History'!H:H,'Tourney History'!B:B,A27)</f>
        <v>15</v>
      </c>
      <c r="N27" s="2">
        <f>SUMIFS('Tourney History'!G:G,'Tourney History'!B:B,A27)-M27</f>
        <v>19</v>
      </c>
      <c r="O27" s="88">
        <f>LOOKUP(2, 1/('Tourney History'!$B:$B=A27), 'Tourney History'!$AC:$AC)</f>
        <v>0.43500000000000005</v>
      </c>
      <c r="P27" s="2">
        <f>COUNTIFS('Tourney History'!$B:$B,$A$27,'Tourney History'!K:K, 1)</f>
        <v>0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1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0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40</v>
      </c>
      <c r="B28" s="2" t="s">
        <v>79</v>
      </c>
      <c r="C28" s="2" t="s">
        <v>79</v>
      </c>
      <c r="D28" s="34">
        <f>SUMIFS('Tourney History'!C:C,'Tourney History'!B:B,A28)</f>
        <v>44</v>
      </c>
      <c r="E28" s="4">
        <f>AVERAGEIFS('Tourney History'!C:C,'Tourney History'!B:B,A28)</f>
        <v>22</v>
      </c>
      <c r="F28" s="35">
        <f t="array" ref="F28">MAX(IF('Tourney History'!B:B=A28, 'Tourney History'!C:C))</f>
        <v>28</v>
      </c>
      <c r="G28" s="34">
        <f>COUNTIFS('Tourney History'!B:B,A28,'Tourney History'!D:D, 1)</f>
        <v>0</v>
      </c>
      <c r="H28" s="2">
        <f>COUNTIFS('Tourney History'!B:B,A28,'Tourney History'!D:D, 0)</f>
        <v>2</v>
      </c>
      <c r="I28" s="88">
        <f>LOOKUP(2, 1/('Tourney History'!$B:$B=A28), 'Tourney History'!$AD:$AD)</f>
        <v>0</v>
      </c>
      <c r="J28" s="34">
        <f>SUMIFS('Tourney History'!F:F,'Tourney History'!B:B,A28)</f>
        <v>3</v>
      </c>
      <c r="K28" s="2">
        <f>SUMIFS('Tourney History'!E:E,'Tourney History'!B:B,A28)-J28</f>
        <v>6</v>
      </c>
      <c r="L28" s="88">
        <f>LOOKUP(2, 1/('Tourney History'!$B:$B=A28), 'Tourney History'!$AB:$AB)</f>
        <v>0.32500000000000001</v>
      </c>
      <c r="M28" s="34">
        <f>SUMIFS('Tourney History'!H:H,'Tourney History'!B:B,A28)</f>
        <v>16</v>
      </c>
      <c r="N28" s="2">
        <f>SUMIFS('Tourney History'!G:G,'Tourney History'!B:B,A28)-M28</f>
        <v>22</v>
      </c>
      <c r="O28" s="88">
        <f>LOOKUP(2, 1/('Tourney History'!$B:$B=A28), 'Tourney History'!$AC:$AC)</f>
        <v>0.42000000000000004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0</v>
      </c>
      <c r="T28" s="2">
        <f>COUNTIFS('Tourney History'!$B:$B,$A$28,'Tourney History'!O:O, 1)</f>
        <v>0</v>
      </c>
      <c r="U28" s="2">
        <f>COUNTIFS('Tourney History'!$B:$B,$A$28,'Tourney History'!P:P, 1)</f>
        <v>0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1</v>
      </c>
    </row>
    <row r="29" spans="1:31" x14ac:dyDescent="0.25">
      <c r="A29" s="2" t="s">
        <v>148</v>
      </c>
      <c r="B29" s="2" t="s">
        <v>79</v>
      </c>
      <c r="C29" s="2" t="s">
        <v>79</v>
      </c>
      <c r="D29" s="34">
        <f>SUMIFS('Tourney History'!C:C,'Tourney History'!B:B,A29)</f>
        <v>22</v>
      </c>
      <c r="E29" s="4">
        <f>AVERAGEIFS('Tourney History'!C:C,'Tourney History'!B:B,A29)</f>
        <v>22</v>
      </c>
      <c r="F29" s="35">
        <f t="array" ref="F29">MAX(IF('Tourney History'!B:B=A29, 'Tourney History'!C:C))</f>
        <v>22</v>
      </c>
      <c r="G29" s="34">
        <f>COUNTIFS('Tourney History'!B:B,A29,'Tourney History'!D:D, 1)</f>
        <v>0</v>
      </c>
      <c r="H29" s="2">
        <f>COUNTIFS('Tourney History'!B:B,A29,'Tourney History'!D:D, 0)</f>
        <v>1</v>
      </c>
      <c r="I29" s="88">
        <f>LOOKUP(2, 1/('Tourney History'!$B:$B=A29), 'Tourney History'!$AD:$AD)</f>
        <v>0</v>
      </c>
      <c r="J29" s="34">
        <f>SUMIFS('Tourney History'!F:F,'Tourney History'!B:B,A29)</f>
        <v>2</v>
      </c>
      <c r="K29" s="2">
        <f>SUMIFS('Tourney History'!E:E,'Tourney History'!B:B,A29)-J29</f>
        <v>3</v>
      </c>
      <c r="L29" s="88">
        <f>LOOKUP(2, 1/('Tourney History'!$B:$B=A29), 'Tourney History'!$AB:$AB)</f>
        <v>0.4</v>
      </c>
      <c r="M29" s="34">
        <f>SUMIFS('Tourney History'!H:H,'Tourney History'!B:B,A29)</f>
        <v>8</v>
      </c>
      <c r="N29" s="2">
        <f>SUMIFS('Tourney History'!G:G,'Tourney History'!B:B,A29)-M29</f>
        <v>12</v>
      </c>
      <c r="O29" s="88">
        <f>LOOKUP(2, 1/('Tourney History'!$B:$B=A29), 'Tourney History'!$AC:$AC)</f>
        <v>0.4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1</v>
      </c>
      <c r="AD29" s="2">
        <f>COUNTIFS('Tourney History'!$B:$B,$A$29,'Tourney History'!Y:Y, 1)</f>
        <v>1</v>
      </c>
      <c r="AE29" s="2">
        <f>COUNTIFS('Tourney History'!$B:$B,$A$29,'Tourney History'!Z:Z, 1)</f>
        <v>0</v>
      </c>
    </row>
    <row r="30" spans="1:31" x14ac:dyDescent="0.25">
      <c r="A30" s="2" t="s">
        <v>17</v>
      </c>
      <c r="B30" s="2" t="s">
        <v>79</v>
      </c>
      <c r="C30" s="2" t="s">
        <v>79</v>
      </c>
      <c r="D30" s="34">
        <f>SUMIFS('Tourney History'!C:C,'Tourney History'!B:B,A30)</f>
        <v>191</v>
      </c>
      <c r="E30" s="4">
        <f>AVERAGEIFS('Tourney History'!C:C,'Tourney History'!B:B,A30)</f>
        <v>31.833333333333332</v>
      </c>
      <c r="F30" s="35">
        <f t="array" ref="F30">MAX(IF('Tourney History'!B:B=A30, 'Tourney History'!C:C))</f>
        <v>42</v>
      </c>
      <c r="G30" s="34">
        <f>COUNTIFS('Tourney History'!B:B,A30,'Tourney History'!D:D, 1)</f>
        <v>1</v>
      </c>
      <c r="H30" s="2">
        <f>COUNTIFS('Tourney History'!B:B,A30,'Tourney History'!D:D, 0)</f>
        <v>5</v>
      </c>
      <c r="I30" s="88">
        <f>LOOKUP(2, 1/('Tourney History'!$B:$B=A30), 'Tourney History'!$AD:$AD)</f>
        <v>0.16666666666666666</v>
      </c>
      <c r="J30" s="34">
        <f>SUMIFS('Tourney History'!F:F,'Tourney History'!B:B,A30)</f>
        <v>11</v>
      </c>
      <c r="K30" s="2">
        <f>SUMIFS('Tourney History'!E:E,'Tourney History'!B:B,A30)-J30</f>
        <v>15</v>
      </c>
      <c r="L30" s="88">
        <f>LOOKUP(2, 1/('Tourney History'!$B:$B=A30), 'Tourney History'!$AB:$AB)</f>
        <v>0.44999999999999996</v>
      </c>
      <c r="M30" s="34">
        <f>SUMIFS('Tourney History'!H:H,'Tourney History'!B:B,A30)</f>
        <v>53</v>
      </c>
      <c r="N30" s="2">
        <f>SUMIFS('Tourney History'!G:G,'Tourney History'!B:B,A30)-M30</f>
        <v>61</v>
      </c>
      <c r="O30" s="88">
        <f>LOOKUP(2, 1/('Tourney History'!$B:$B=A30), 'Tourney History'!$AC:$AC)</f>
        <v>0.47666666666666663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0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3</v>
      </c>
      <c r="AC30" s="2">
        <f>COUNTIFS('Tourney History'!$B:$B,$A$30,'Tourney History'!X:X, 1)</f>
        <v>2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6</v>
      </c>
      <c r="B31" s="2" t="s">
        <v>161</v>
      </c>
      <c r="C31" s="2" t="s">
        <v>79</v>
      </c>
      <c r="D31" s="34">
        <f>SUMIFS('Tourney History'!C:C,'Tourney History'!B:B,A31)</f>
        <v>176</v>
      </c>
      <c r="E31" s="4">
        <f>AVERAGEIFS('Tourney History'!C:C,'Tourney History'!B:B,A31)</f>
        <v>25.142857142857142</v>
      </c>
      <c r="F31" s="35">
        <f t="array" ref="F31">MAX(IF('Tourney History'!B:B=A31, 'Tourney History'!C:C))</f>
        <v>33</v>
      </c>
      <c r="G31" s="34">
        <f>COUNTIFS('Tourney History'!B:B,A31,'Tourney History'!D:D, 1)</f>
        <v>5</v>
      </c>
      <c r="H31" s="2">
        <f>COUNTIFS('Tourney History'!B:B,A31,'Tourney History'!D:D, 0)</f>
        <v>2</v>
      </c>
      <c r="I31" s="88">
        <f>LOOKUP(2, 1/('Tourney History'!$B:$B=A31), 'Tourney History'!$AD:$AD)</f>
        <v>0.7142857142857143</v>
      </c>
      <c r="J31" s="34">
        <f>SUMIFS('Tourney History'!F:F,'Tourney History'!B:B,A31)</f>
        <v>18</v>
      </c>
      <c r="K31" s="2">
        <f>SUMIFS('Tourney History'!E:E,'Tourney History'!B:B,A31)-J31</f>
        <v>10</v>
      </c>
      <c r="L31" s="88">
        <f>LOOKUP(2, 1/('Tourney History'!$B:$B=A31), 'Tourney History'!$AB:$AB)</f>
        <v>0.6785714285714286</v>
      </c>
      <c r="M31" s="34">
        <f>SUMIFS('Tourney History'!H:H,'Tourney History'!B:B,A31)</f>
        <v>65</v>
      </c>
      <c r="N31" s="2">
        <f>SUMIFS('Tourney History'!G:G,'Tourney History'!B:B,A31)-M31</f>
        <v>56</v>
      </c>
      <c r="O31" s="88">
        <f>LOOKUP(2, 1/('Tourney History'!$B:$B=A31), 'Tourney History'!$AC:$AC)</f>
        <v>0.55999999999999994</v>
      </c>
      <c r="P31" s="2">
        <f>COUNTIFS('Tourney History'!$B:$B,$A$31,'Tourney History'!K:K, 1)</f>
        <v>0</v>
      </c>
      <c r="Q31" s="2">
        <f>COUNTIFS('Tourney History'!$B:$B,$A$31,'Tourney History'!L:L, 1)</f>
        <v>3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1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1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4</v>
      </c>
      <c r="AC31" s="2">
        <f>COUNTIFS('Tourney History'!$B:$B,$A$31,'Tourney History'!X:X, 1)</f>
        <v>1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SUMIFS('Tourney History'!C:C,'Tourney History'!B:B,A32)</f>
        <v>212</v>
      </c>
      <c r="E32" s="4">
        <f>AVERAGEIFS('Tourney History'!C:C,'Tourney History'!B:B,A32)</f>
        <v>30.285714285714285</v>
      </c>
      <c r="F32" s="35">
        <f t="array" ref="F32">MAX(IF('Tourney History'!B:B=A32, 'Tourney History'!C:C))</f>
        <v>41</v>
      </c>
      <c r="G32" s="34">
        <f>COUNTIFS('Tourney History'!B:B,A32,'Tourney History'!D:D, 1)</f>
        <v>2</v>
      </c>
      <c r="H32" s="2">
        <f>COUNTIFS('Tourney History'!B:B,A32,'Tourney History'!D:D, 0)</f>
        <v>5</v>
      </c>
      <c r="I32" s="88">
        <f>LOOKUP(2, 1/('Tourney History'!$B:$B=A32), 'Tourney History'!$AD:$AD)</f>
        <v>0.2857142857142857</v>
      </c>
      <c r="J32" s="34">
        <f>SUMIFS('Tourney History'!F:F,'Tourney History'!B:B,A32)</f>
        <v>13</v>
      </c>
      <c r="K32" s="2">
        <f>SUMIFS('Tourney History'!E:E,'Tourney History'!B:B,A32)-J32</f>
        <v>17</v>
      </c>
      <c r="L32" s="88">
        <f>LOOKUP(2, 1/('Tourney History'!$B:$B=A32), 'Tourney History'!$AB:$AB)</f>
        <v>0.43571428571428567</v>
      </c>
      <c r="M32" s="34">
        <f>SUMIFS('Tourney History'!H:H,'Tourney History'!B:B,A32)</f>
        <v>58</v>
      </c>
      <c r="N32" s="2">
        <f>SUMIFS('Tourney History'!G:G,'Tourney History'!B:B,A32)-M32</f>
        <v>68</v>
      </c>
      <c r="O32" s="88">
        <f>LOOKUP(2, 1/('Tourney History'!$B:$B=A32), 'Tourney History'!$AC:$AC)</f>
        <v>0.46142857142857141</v>
      </c>
      <c r="P32" s="2">
        <f>COUNTIFS('Tourney History'!$B:$B,$A$32,'Tourney History'!K:K, 1)</f>
        <v>1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3</v>
      </c>
      <c r="T32" s="2">
        <f>COUNTIFS('Tourney History'!$B:$B,$A$32,'Tourney History'!O:O, 1)</f>
        <v>0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2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2</v>
      </c>
      <c r="AD32" s="2">
        <f>COUNTIFS('Tourney History'!$B:$B,$A$32,'Tourney History'!Y:Y, 1)</f>
        <v>0</v>
      </c>
      <c r="AE32" s="2">
        <f>COUNTIFS('Tourney History'!$B:$B,$A$32,'Tourney History'!Z:Z, 1)</f>
        <v>1</v>
      </c>
    </row>
    <row r="33" spans="1:31" x14ac:dyDescent="0.25">
      <c r="A33" s="2" t="s">
        <v>14</v>
      </c>
      <c r="B33" s="6" t="s">
        <v>124</v>
      </c>
      <c r="C33" s="6" t="s">
        <v>164</v>
      </c>
      <c r="D33" s="34">
        <f>SUMIFS('Tourney History'!C:C,'Tourney History'!B:B,A33)</f>
        <v>261</v>
      </c>
      <c r="E33" s="4">
        <f>AVERAGEIFS('Tourney History'!C:C,'Tourney History'!B:B,A33)</f>
        <v>37.285714285714285</v>
      </c>
      <c r="F33" s="35">
        <f t="array" ref="F33">MAX(IF('Tourney History'!B:B=A33, 'Tourney History'!C:C))</f>
        <v>56</v>
      </c>
      <c r="G33" s="34">
        <f>COUNTIFS('Tourney History'!B:B,A33,'Tourney History'!D:D, 1)</f>
        <v>4</v>
      </c>
      <c r="H33" s="2">
        <f>COUNTIFS('Tourney History'!B:B,A33,'Tourney History'!D:D, 0)</f>
        <v>3</v>
      </c>
      <c r="I33" s="88">
        <f>LOOKUP(2, 1/('Tourney History'!$B:$B=A33), 'Tourney History'!$AD:$AD)</f>
        <v>0.5714285714285714</v>
      </c>
      <c r="J33" s="34">
        <f>SUMIFS('Tourney History'!F:F,'Tourney History'!B:B,A33)</f>
        <v>15</v>
      </c>
      <c r="K33" s="2">
        <f>SUMIFS('Tourney History'!E:E,'Tourney History'!B:B,A33)-J33</f>
        <v>14</v>
      </c>
      <c r="L33" s="88">
        <f>LOOKUP(2, 1/('Tourney History'!$B:$B=A33), 'Tourney History'!$AB:$AB)</f>
        <v>0.52857142857142858</v>
      </c>
      <c r="M33" s="34">
        <f>SUMIFS('Tourney History'!H:H,'Tourney History'!B:B,A33)</f>
        <v>64</v>
      </c>
      <c r="N33" s="2">
        <f>SUMIFS('Tourney History'!G:G,'Tourney History'!B:B,A33)-M33</f>
        <v>60</v>
      </c>
      <c r="O33" s="88">
        <f>LOOKUP(2, 1/('Tourney History'!$B:$B=A33), 'Tourney History'!$AC:$AC)</f>
        <v>0.52571428571428569</v>
      </c>
      <c r="P33" s="2">
        <f>COUNTIFS('Tourney History'!$B:$B,$A$33,'Tourney History'!K:K, 1)</f>
        <v>0</v>
      </c>
      <c r="Q33" s="2">
        <f>COUNTIFS('Tourney History'!$B:$B,$A$33,'Tourney History'!L:L, 1)</f>
        <v>2</v>
      </c>
      <c r="R33" s="2">
        <f>COUNTIFS('Tourney History'!$B:$B,$A$33,'Tourney History'!M:M, 1)</f>
        <v>2</v>
      </c>
      <c r="S33" s="2">
        <f>COUNTIFS('Tourney History'!$B:$B,$A$33,'Tourney History'!N:N, 1)</f>
        <v>0</v>
      </c>
      <c r="T33" s="2">
        <f>COUNTIFS('Tourney History'!$B:$B,$A$33,'Tourney History'!O:O, 1)</f>
        <v>2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0</v>
      </c>
      <c r="AE33" s="2">
        <f>COUNTIFS('Tourney History'!$B:$B,$A$33,'Tourney History'!Z:Z, 1)</f>
        <v>2</v>
      </c>
    </row>
    <row r="34" spans="1:31" x14ac:dyDescent="0.25">
      <c r="A34" s="2" t="s">
        <v>70</v>
      </c>
      <c r="B34" s="6" t="s">
        <v>79</v>
      </c>
      <c r="C34" s="6" t="s">
        <v>79</v>
      </c>
      <c r="D34" s="34">
        <f>SUMIFS('Tourney History'!C:C,'Tourney History'!B:B,A34)</f>
        <v>25</v>
      </c>
      <c r="E34" s="4">
        <f>AVERAGEIFS('Tourney History'!C:C,'Tourney History'!B:B,A34)</f>
        <v>25</v>
      </c>
      <c r="F34" s="35">
        <f t="array" ref="F34">MAX(IF('Tourney History'!B:B=A34, 'Tourney History'!C:C))</f>
        <v>25</v>
      </c>
      <c r="G34" s="34">
        <f>COUNTIFS('Tourney History'!B:B,A34,'Tourney History'!D:D, 1)</f>
        <v>0</v>
      </c>
      <c r="H34" s="2">
        <f>COUNTIFS('Tourney History'!B:B,A34,'Tourney History'!D:D, 0)</f>
        <v>1</v>
      </c>
      <c r="I34" s="88">
        <f>LOOKUP(2, 1/('Tourney History'!$B:$B=A34), 'Tourney History'!$AD:$AD)</f>
        <v>0</v>
      </c>
      <c r="J34" s="34">
        <f>SUMIFS('Tourney History'!F:F,'Tourney History'!B:B,A34)</f>
        <v>2</v>
      </c>
      <c r="K34" s="2">
        <f>SUMIFS('Tourney History'!E:E,'Tourney History'!B:B,A34)-J34</f>
        <v>3</v>
      </c>
      <c r="L34" s="88">
        <f>LOOKUP(2, 1/('Tourney History'!$B:$B=A34), 'Tourney History'!$AB:$AB)</f>
        <v>0.4</v>
      </c>
      <c r="M34" s="34">
        <f>SUMIFS('Tourney History'!H:H,'Tourney History'!B:B,A34)</f>
        <v>10</v>
      </c>
      <c r="N34" s="2">
        <f>SUMIFS('Tourney History'!G:G,'Tourney History'!B:B,A34)-M34</f>
        <v>11</v>
      </c>
      <c r="O34" s="88">
        <f>LOOKUP(2, 1/('Tourney History'!$B:$B=A34), 'Tourney History'!$AC:$AC)</f>
        <v>0.48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0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4</v>
      </c>
      <c r="B35" s="6" t="s">
        <v>162</v>
      </c>
      <c r="C35" s="2" t="s">
        <v>79</v>
      </c>
      <c r="D35" s="34">
        <f>SUMIFS('Tourney History'!C:C,'Tourney History'!B:B,A35)</f>
        <v>61</v>
      </c>
      <c r="E35" s="4">
        <f>AVERAGEIFS('Tourney History'!C:C,'Tourney History'!B:B,A35)</f>
        <v>20.333333333333332</v>
      </c>
      <c r="F35" s="35">
        <f t="array" ref="F35">MAX(IF('Tourney History'!B:B=A35, 'Tourney History'!C:C))</f>
        <v>24</v>
      </c>
      <c r="G35" s="34">
        <f>COUNTIFS('Tourney History'!B:B,A35,'Tourney History'!D:D, 1)</f>
        <v>2</v>
      </c>
      <c r="H35" s="2">
        <f>COUNTIFS('Tourney History'!B:B,A35,'Tourney History'!D:D, 0)</f>
        <v>1</v>
      </c>
      <c r="I35" s="88">
        <f>LOOKUP(2, 1/('Tourney History'!$B:$B=A35), 'Tourney History'!$AD:$AD)</f>
        <v>0.66666666666666663</v>
      </c>
      <c r="J35" s="34">
        <f>SUMIFS('Tourney History'!F:F,'Tourney History'!B:B,A35)</f>
        <v>6</v>
      </c>
      <c r="K35" s="2">
        <f>SUMIFS('Tourney History'!E:E,'Tourney History'!B:B,A35)-J35</f>
        <v>6</v>
      </c>
      <c r="L35" s="88">
        <f>LOOKUP(2, 1/('Tourney History'!$B:$B=A35), 'Tourney History'!$AB:$AB)</f>
        <v>0.45</v>
      </c>
      <c r="M35" s="34">
        <f>SUMIFS('Tourney History'!H:H,'Tourney History'!B:B,A35)</f>
        <v>24</v>
      </c>
      <c r="N35" s="2">
        <f>SUMIFS('Tourney History'!G:G,'Tourney History'!B:B,A35)-M35</f>
        <v>25</v>
      </c>
      <c r="O35" s="88">
        <f>LOOKUP(2, 1/('Tourney History'!$B:$B=A35), 'Tourney History'!$AC:$AC)</f>
        <v>0.44666666666666671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0</v>
      </c>
      <c r="T35" s="2">
        <f>COUNTIFS('Tourney History'!$B:$B,$A$35,'Tourney History'!O:O, 1)</f>
        <v>1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1</v>
      </c>
      <c r="AE35" s="2">
        <f>COUNTIFS('Tourney History'!$B:$B,$A$35,'Tourney History'!Z:Z, 1)</f>
        <v>1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SUMIFS('Tourney History'!C:C,'Tourney History'!B:B,A36)</f>
        <v>18</v>
      </c>
      <c r="E36" s="4">
        <f>AVERAGEIFS('Tourney History'!C:C,'Tourney History'!B:B,A36)</f>
        <v>9</v>
      </c>
      <c r="F36" s="35">
        <f t="array" ref="F36">MAX(IF('Tourney History'!B:B=A36, 'Tourney History'!C:C))</f>
        <v>12</v>
      </c>
      <c r="G36" s="34">
        <f>COUNTIFS('Tourney History'!B:B,A36,'Tourney History'!D:D, 1)</f>
        <v>1</v>
      </c>
      <c r="H36" s="2">
        <f>COUNTIFS('Tourney History'!B:B,A36,'Tourney History'!D:D, 0)</f>
        <v>1</v>
      </c>
      <c r="I36" s="88">
        <f>LOOKUP(2, 1/('Tourney History'!$B:$B=A36), 'Tourney History'!$AD:$AD)</f>
        <v>0.5</v>
      </c>
      <c r="J36" s="34">
        <f>SUMIFS('Tourney History'!F:F,'Tourney History'!B:B,A36)</f>
        <v>4</v>
      </c>
      <c r="K36" s="2">
        <f>SUMIFS('Tourney History'!E:E,'Tourney History'!B:B,A36)-J36</f>
        <v>5</v>
      </c>
      <c r="L36" s="88">
        <f>LOOKUP(2, 1/('Tourney History'!$B:$B=A36), 'Tourney History'!$AB:$AB)</f>
        <v>0.42499999999999999</v>
      </c>
      <c r="M36" s="34">
        <f>SUMIFS('Tourney History'!H:H,'Tourney History'!B:B,A36)</f>
        <v>18</v>
      </c>
      <c r="N36" s="2">
        <f>SUMIFS('Tourney History'!G:G,'Tourney History'!B:B,A36)-M36</f>
        <v>19</v>
      </c>
      <c r="O36" s="88">
        <f>LOOKUP(2, 1/('Tourney History'!$B:$B=A36), 'Tourney History'!$AC:$AC)</f>
        <v>0.47499999999999998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1</v>
      </c>
      <c r="U36" s="2">
        <f>COUNTIFS('Tourney History'!$B:$B,$A$36,'Tourney History'!P:P, 1)</f>
        <v>0</v>
      </c>
      <c r="V36" s="2">
        <f>COUNTIFS('Tourney History'!$B:$B,$A$36,'Tourney History'!Q:Q, 1)</f>
        <v>1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</sheetData>
  <autoFilter ref="A1:AE36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2026-04-11T13:30:52Z</dcterms:modified>
</cp:coreProperties>
</file>