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FDD13DA6-F8DB-413A-B453-7AFA2B1DA8E5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S2'!$A$1:$AM$36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S2'!$A$1:$AD$476</definedName>
    <definedName name="_xlnm._FilterDatabase" localSheetId="2" hidden="1">'OB Season 2'!$A$1:$AI$46</definedName>
    <definedName name="_xlnm._FilterDatabase" localSheetId="4" hidden="1">'Old Bow'!$A$1:$AD$37</definedName>
    <definedName name="_xlnm._FilterDatabase" localSheetId="0" hidden="1">'Old Bow v2'!$A$1:$AI$55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300" i="17" l="1"/>
  <c r="AH300" i="17"/>
  <c r="AI300" i="17"/>
  <c r="AJ300" i="17"/>
  <c r="AG301" i="17"/>
  <c r="AH301" i="17"/>
  <c r="AI301" i="17"/>
  <c r="AJ301" i="17"/>
  <c r="AG302" i="17"/>
  <c r="AH302" i="17"/>
  <c r="AI302" i="17"/>
  <c r="AJ302" i="17"/>
  <c r="AG303" i="17"/>
  <c r="AH303" i="17"/>
  <c r="AI303" i="17"/>
  <c r="AJ303" i="17"/>
  <c r="AG304" i="17"/>
  <c r="AH304" i="17"/>
  <c r="AI304" i="17"/>
  <c r="AJ304" i="17"/>
  <c r="AG305" i="17"/>
  <c r="AH305" i="17"/>
  <c r="AI305" i="17"/>
  <c r="AJ305" i="17"/>
  <c r="AG306" i="17"/>
  <c r="AH306" i="17"/>
  <c r="AI306" i="17"/>
  <c r="AJ306" i="17"/>
  <c r="AG307" i="17"/>
  <c r="AH307" i="17"/>
  <c r="AI307" i="17"/>
  <c r="AJ307" i="17"/>
  <c r="AG308" i="17"/>
  <c r="AH308" i="17"/>
  <c r="AI308" i="17"/>
  <c r="AJ308" i="17"/>
  <c r="AG309" i="17"/>
  <c r="AH309" i="17"/>
  <c r="AI309" i="17"/>
  <c r="AJ309" i="17"/>
  <c r="AG310" i="17"/>
  <c r="AH310" i="17"/>
  <c r="AI310" i="17"/>
  <c r="AJ310" i="17"/>
  <c r="AG311" i="17"/>
  <c r="AH311" i="17"/>
  <c r="AI311" i="17"/>
  <c r="AJ311" i="17"/>
  <c r="AG1004" i="9"/>
  <c r="AH1004" i="9"/>
  <c r="AI1004" i="9"/>
  <c r="AJ1004" i="9"/>
  <c r="AG1005" i="9"/>
  <c r="AH1005" i="9"/>
  <c r="AI1005" i="9"/>
  <c r="AJ1005" i="9"/>
  <c r="AG1006" i="9"/>
  <c r="AH1006" i="9"/>
  <c r="AI1006" i="9"/>
  <c r="AJ1006" i="9"/>
  <c r="AG1007" i="9"/>
  <c r="AH1007" i="9"/>
  <c r="AI1007" i="9"/>
  <c r="AJ1007" i="9"/>
  <c r="AG1008" i="9"/>
  <c r="AH1008" i="9"/>
  <c r="AI1008" i="9"/>
  <c r="AJ1008" i="9"/>
  <c r="AG1009" i="9"/>
  <c r="AH1009" i="9"/>
  <c r="AI1009" i="9"/>
  <c r="AJ1009" i="9"/>
  <c r="AG1010" i="9"/>
  <c r="AH1010" i="9"/>
  <c r="AI1010" i="9"/>
  <c r="AJ1010" i="9"/>
  <c r="AG1011" i="9"/>
  <c r="AH1011" i="9"/>
  <c r="AI1011" i="9"/>
  <c r="AJ1011" i="9"/>
  <c r="AG1012" i="9"/>
  <c r="AH1012" i="9"/>
  <c r="AI1012" i="9"/>
  <c r="AJ1012" i="9"/>
  <c r="AG1013" i="9"/>
  <c r="AH1013" i="9"/>
  <c r="AI1013" i="9"/>
  <c r="AJ1013" i="9"/>
  <c r="AG1014" i="9"/>
  <c r="AH1014" i="9"/>
  <c r="AI1014" i="9"/>
  <c r="AJ1014" i="9"/>
  <c r="AG1015" i="9"/>
  <c r="AH1015" i="9"/>
  <c r="AI1015" i="9"/>
  <c r="AJ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AC378" i="15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G990" i="9"/>
  <c r="AH990" i="9"/>
  <c r="AI990" i="9"/>
  <c r="AJ990" i="9"/>
  <c r="AG991" i="9"/>
  <c r="AH991" i="9"/>
  <c r="AI991" i="9"/>
  <c r="AJ991" i="9"/>
  <c r="AG992" i="9"/>
  <c r="AH992" i="9"/>
  <c r="AI992" i="9"/>
  <c r="AJ992" i="9"/>
  <c r="AG993" i="9"/>
  <c r="AH993" i="9"/>
  <c r="AI993" i="9"/>
  <c r="AJ993" i="9"/>
  <c r="AG994" i="9"/>
  <c r="AH994" i="9"/>
  <c r="AI994" i="9"/>
  <c r="AJ994" i="9"/>
  <c r="AG995" i="9"/>
  <c r="AH995" i="9"/>
  <c r="AI995" i="9"/>
  <c r="AJ995" i="9"/>
  <c r="AG996" i="9"/>
  <c r="AH996" i="9"/>
  <c r="AI996" i="9"/>
  <c r="AJ996" i="9"/>
  <c r="AG997" i="9"/>
  <c r="AH997" i="9"/>
  <c r="AI997" i="9"/>
  <c r="AJ997" i="9"/>
  <c r="AG998" i="9"/>
  <c r="AH998" i="9"/>
  <c r="AI998" i="9"/>
  <c r="AJ998" i="9"/>
  <c r="AG999" i="9"/>
  <c r="AH999" i="9"/>
  <c r="AI999" i="9"/>
  <c r="AJ999" i="9"/>
  <c r="AG1000" i="9"/>
  <c r="AH1000" i="9"/>
  <c r="AI1000" i="9"/>
  <c r="AJ1000" i="9"/>
  <c r="AG1001" i="9"/>
  <c r="AH1001" i="9"/>
  <c r="AI1001" i="9"/>
  <c r="AJ1001" i="9"/>
  <c r="AG1002" i="9"/>
  <c r="AH1002" i="9"/>
  <c r="AI1002" i="9"/>
  <c r="AJ1002" i="9"/>
  <c r="AG1003" i="9"/>
  <c r="AH1003" i="9"/>
  <c r="AI1003" i="9"/>
  <c r="AJ1003" i="9"/>
  <c r="AG286" i="17"/>
  <c r="AH286" i="17"/>
  <c r="AI286" i="17"/>
  <c r="AJ286" i="17"/>
  <c r="AG287" i="17"/>
  <c r="AH287" i="17"/>
  <c r="AI287" i="17"/>
  <c r="AJ287" i="17"/>
  <c r="AG288" i="17"/>
  <c r="AH288" i="17"/>
  <c r="AI288" i="17"/>
  <c r="AJ288" i="17"/>
  <c r="AG289" i="17"/>
  <c r="AH289" i="17"/>
  <c r="AI289" i="17"/>
  <c r="AJ289" i="17"/>
  <c r="AG290" i="17"/>
  <c r="AH290" i="17"/>
  <c r="AI290" i="17"/>
  <c r="AJ290" i="17"/>
  <c r="AG291" i="17"/>
  <c r="AH291" i="17"/>
  <c r="AI291" i="17"/>
  <c r="AJ291" i="17"/>
  <c r="AG292" i="17"/>
  <c r="AH292" i="17"/>
  <c r="AI292" i="17"/>
  <c r="AJ292" i="17"/>
  <c r="AG293" i="17"/>
  <c r="AH293" i="17"/>
  <c r="AI293" i="17"/>
  <c r="AJ293" i="17"/>
  <c r="AG294" i="17"/>
  <c r="AH294" i="17"/>
  <c r="AI294" i="17"/>
  <c r="AJ294" i="17"/>
  <c r="AG295" i="17"/>
  <c r="AH295" i="17"/>
  <c r="AI295" i="17"/>
  <c r="AJ295" i="17"/>
  <c r="AG296" i="17"/>
  <c r="AH296" i="17"/>
  <c r="AI296" i="17"/>
  <c r="AJ296" i="17"/>
  <c r="AG297" i="17"/>
  <c r="AH297" i="17"/>
  <c r="AI297" i="17"/>
  <c r="AJ297" i="17"/>
  <c r="AG298" i="17"/>
  <c r="AH298" i="17"/>
  <c r="AI298" i="17"/>
  <c r="AJ298" i="17"/>
  <c r="AG299" i="17"/>
  <c r="AH299" i="17"/>
  <c r="AI299" i="17"/>
  <c r="AJ299" i="17"/>
  <c r="AG274" i="17"/>
  <c r="AH274" i="17"/>
  <c r="AI274" i="17"/>
  <c r="AJ274" i="17"/>
  <c r="AG275" i="17"/>
  <c r="AH275" i="17"/>
  <c r="AI275" i="17"/>
  <c r="AJ275" i="17"/>
  <c r="AG276" i="17"/>
  <c r="AH276" i="17"/>
  <c r="AI276" i="17"/>
  <c r="AJ276" i="17"/>
  <c r="AG277" i="17"/>
  <c r="AH277" i="17"/>
  <c r="AI277" i="17"/>
  <c r="AJ277" i="17"/>
  <c r="AG278" i="17"/>
  <c r="AH278" i="17"/>
  <c r="AI278" i="17"/>
  <c r="AJ278" i="17"/>
  <c r="AG279" i="17"/>
  <c r="AH279" i="17"/>
  <c r="AI279" i="17"/>
  <c r="AJ279" i="17"/>
  <c r="AG280" i="17"/>
  <c r="AH280" i="17"/>
  <c r="AI280" i="17"/>
  <c r="AJ280" i="17"/>
  <c r="AG281" i="17"/>
  <c r="AH281" i="17"/>
  <c r="AI281" i="17"/>
  <c r="AJ281" i="17"/>
  <c r="AG282" i="17"/>
  <c r="AH282" i="17"/>
  <c r="AI282" i="17"/>
  <c r="AJ282" i="17"/>
  <c r="AG283" i="17"/>
  <c r="AH283" i="17"/>
  <c r="AI283" i="17"/>
  <c r="AJ283" i="17"/>
  <c r="AG284" i="17"/>
  <c r="AH284" i="17"/>
  <c r="AI284" i="17"/>
  <c r="AJ284" i="17"/>
  <c r="AG285" i="17"/>
  <c r="AH285" i="17"/>
  <c r="AI285" i="17"/>
  <c r="AJ285" i="17"/>
  <c r="AG978" i="9"/>
  <c r="AH978" i="9"/>
  <c r="AI978" i="9"/>
  <c r="AJ978" i="9"/>
  <c r="AG979" i="9"/>
  <c r="AH979" i="9"/>
  <c r="AI979" i="9"/>
  <c r="AJ979" i="9"/>
  <c r="AG980" i="9"/>
  <c r="AH980" i="9"/>
  <c r="AI980" i="9"/>
  <c r="AJ980" i="9"/>
  <c r="AG981" i="9"/>
  <c r="AH981" i="9"/>
  <c r="AI981" i="9"/>
  <c r="AJ981" i="9"/>
  <c r="AG982" i="9"/>
  <c r="AH982" i="9"/>
  <c r="AI982" i="9"/>
  <c r="AJ982" i="9"/>
  <c r="AG983" i="9"/>
  <c r="AH983" i="9"/>
  <c r="AI983" i="9"/>
  <c r="AJ983" i="9"/>
  <c r="AG984" i="9"/>
  <c r="AH984" i="9"/>
  <c r="AI984" i="9"/>
  <c r="AJ984" i="9"/>
  <c r="AG985" i="9"/>
  <c r="AH985" i="9"/>
  <c r="AI985" i="9"/>
  <c r="AJ985" i="9"/>
  <c r="AG986" i="9"/>
  <c r="AH986" i="9"/>
  <c r="AI986" i="9"/>
  <c r="AJ986" i="9"/>
  <c r="AG987" i="9"/>
  <c r="AH987" i="9"/>
  <c r="AI987" i="9"/>
  <c r="AJ987" i="9"/>
  <c r="AG988" i="9"/>
  <c r="AH988" i="9"/>
  <c r="AI988" i="9"/>
  <c r="AJ988" i="9"/>
  <c r="AG989" i="9"/>
  <c r="AH989" i="9"/>
  <c r="AI989" i="9"/>
  <c r="AJ989" i="9"/>
  <c r="AG966" i="9"/>
  <c r="AH966" i="9"/>
  <c r="AI966" i="9"/>
  <c r="AJ966" i="9"/>
  <c r="AG967" i="9"/>
  <c r="AH967" i="9"/>
  <c r="AI967" i="9"/>
  <c r="AJ967" i="9"/>
  <c r="AG968" i="9"/>
  <c r="AH968" i="9"/>
  <c r="AI968" i="9"/>
  <c r="AJ968" i="9"/>
  <c r="AG969" i="9"/>
  <c r="AH969" i="9"/>
  <c r="AI969" i="9"/>
  <c r="AJ969" i="9"/>
  <c r="AG970" i="9"/>
  <c r="AH970" i="9"/>
  <c r="AI970" i="9"/>
  <c r="AJ970" i="9"/>
  <c r="AG971" i="9"/>
  <c r="AH971" i="9"/>
  <c r="AI971" i="9"/>
  <c r="AJ971" i="9"/>
  <c r="AG972" i="9"/>
  <c r="AH972" i="9"/>
  <c r="AI972" i="9"/>
  <c r="AJ972" i="9"/>
  <c r="AG973" i="9"/>
  <c r="AH973" i="9"/>
  <c r="AI973" i="9"/>
  <c r="AJ973" i="9"/>
  <c r="AG974" i="9"/>
  <c r="AH974" i="9"/>
  <c r="AI974" i="9"/>
  <c r="AJ974" i="9"/>
  <c r="AG975" i="9"/>
  <c r="AH975" i="9"/>
  <c r="AI975" i="9"/>
  <c r="AJ975" i="9"/>
  <c r="AG976" i="9"/>
  <c r="AH976" i="9"/>
  <c r="AI976" i="9"/>
  <c r="AJ976" i="9"/>
  <c r="AG977" i="9"/>
  <c r="AH977" i="9"/>
  <c r="AI977" i="9"/>
  <c r="AJ977" i="9"/>
  <c r="AG262" i="17"/>
  <c r="AH262" i="17"/>
  <c r="AI262" i="17"/>
  <c r="AJ262" i="17"/>
  <c r="AG263" i="17"/>
  <c r="AH263" i="17"/>
  <c r="AI263" i="17"/>
  <c r="AJ263" i="17"/>
  <c r="AG264" i="17"/>
  <c r="AH264" i="17"/>
  <c r="AI264" i="17"/>
  <c r="AJ264" i="17"/>
  <c r="AG265" i="17"/>
  <c r="AH265" i="17"/>
  <c r="AI265" i="17"/>
  <c r="AJ265" i="17"/>
  <c r="AG266" i="17"/>
  <c r="AH266" i="17"/>
  <c r="AI266" i="17"/>
  <c r="AJ266" i="17"/>
  <c r="AG267" i="17"/>
  <c r="AH267" i="17"/>
  <c r="AI267" i="17"/>
  <c r="AJ267" i="17"/>
  <c r="AG268" i="17"/>
  <c r="AH268" i="17"/>
  <c r="AI268" i="17"/>
  <c r="AJ268" i="17"/>
  <c r="AG269" i="17"/>
  <c r="AH269" i="17"/>
  <c r="AI269" i="17"/>
  <c r="AJ269" i="17"/>
  <c r="AG270" i="17"/>
  <c r="AH270" i="17"/>
  <c r="AI270" i="17"/>
  <c r="AJ270" i="17"/>
  <c r="AG271" i="17"/>
  <c r="AH271" i="17"/>
  <c r="AI271" i="17"/>
  <c r="AJ271" i="17"/>
  <c r="AG272" i="17"/>
  <c r="AH272" i="17"/>
  <c r="AI272" i="17"/>
  <c r="AJ272" i="17"/>
  <c r="AG273" i="17"/>
  <c r="AH273" i="17"/>
  <c r="AI273" i="17"/>
  <c r="AJ273" i="17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N27" i="16" s="1"/>
  <c r="AI241" i="17"/>
  <c r="AJ241" i="17"/>
  <c r="K27" i="16" s="1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M34" i="11"/>
  <c r="N34" i="11"/>
  <c r="O34" i="11" s="1"/>
  <c r="P34" i="11"/>
  <c r="Q34" i="11"/>
  <c r="R34" i="11" s="1"/>
  <c r="S34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N43" i="13"/>
  <c r="O43" i="13" s="1"/>
  <c r="Q43" i="13"/>
  <c r="R43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N15" i="13"/>
  <c r="O15" i="13" s="1"/>
  <c r="Q15" i="13"/>
  <c r="R15" i="13" s="1"/>
  <c r="S15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M51" i="11"/>
  <c r="N51" i="11"/>
  <c r="O51" i="11" s="1"/>
  <c r="P51" i="11"/>
  <c r="Q51" i="11"/>
  <c r="R51" i="11" s="1"/>
  <c r="S51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M15" i="11"/>
  <c r="N15" i="11"/>
  <c r="O15" i="11" s="1"/>
  <c r="P15" i="11"/>
  <c r="Q15" i="11"/>
  <c r="R15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5" i="13" s="1"/>
  <c r="AC306" i="15"/>
  <c r="AD306" i="15"/>
  <c r="M15" i="13" s="1"/>
  <c r="AA307" i="15"/>
  <c r="AB307" i="15"/>
  <c r="AC307" i="15"/>
  <c r="AD307" i="15"/>
  <c r="AA308" i="15"/>
  <c r="AB308" i="15"/>
  <c r="AC308" i="15"/>
  <c r="AD308" i="15"/>
  <c r="AA309" i="15"/>
  <c r="AB309" i="15"/>
  <c r="P43" i="13" s="1"/>
  <c r="AC309" i="15"/>
  <c r="S43" i="13" s="1"/>
  <c r="AD309" i="15"/>
  <c r="M43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5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T33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M46" i="11"/>
  <c r="N46" i="11"/>
  <c r="O46" i="11" s="1"/>
  <c r="P46" i="11"/>
  <c r="Q46" i="11"/>
  <c r="R46" i="11" s="1"/>
  <c r="S46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R27" i="16"/>
  <c r="F27" i="16"/>
  <c r="G27" i="16"/>
  <c r="H27" i="16" a="1"/>
  <c r="H27" i="16" s="1"/>
  <c r="I27" i="16"/>
  <c r="J27" i="16"/>
  <c r="L27" i="16"/>
  <c r="M27" i="16" s="1"/>
  <c r="O27" i="16"/>
  <c r="P27" i="16" s="1"/>
  <c r="Q27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4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1" i="16" s="1"/>
  <c r="AI128" i="17"/>
  <c r="Q11" i="16" s="1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L33" i="16"/>
  <c r="R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AJ2" i="17"/>
  <c r="AH2" i="17"/>
  <c r="AG2" i="17"/>
  <c r="F34" i="16"/>
  <c r="G34" i="16"/>
  <c r="H34" i="16" a="1"/>
  <c r="H34" i="16" s="1"/>
  <c r="I34" i="16"/>
  <c r="J34" i="16"/>
  <c r="L34" i="16"/>
  <c r="M34" i="16" s="1"/>
  <c r="O34" i="16"/>
  <c r="P34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N34" i="16"/>
  <c r="K34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R11" i="16"/>
  <c r="F11" i="16"/>
  <c r="G11" i="16"/>
  <c r="H11" i="16" a="1"/>
  <c r="H11" i="16" s="1"/>
  <c r="I11" i="16"/>
  <c r="J11" i="16"/>
  <c r="K11" i="16"/>
  <c r="L11" i="16"/>
  <c r="M11" i="16" s="1"/>
  <c r="O11" i="16"/>
  <c r="P11" i="16" s="1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Q18" i="16"/>
  <c r="F19" i="16"/>
  <c r="G19" i="16"/>
  <c r="H19" i="16" a="1"/>
  <c r="H19" i="16" s="1"/>
  <c r="I19" i="16"/>
  <c r="J19" i="16"/>
  <c r="L19" i="16"/>
  <c r="M19" i="16" s="1"/>
  <c r="N19" i="16"/>
  <c r="O19" i="16"/>
  <c r="P19" i="16" s="1"/>
  <c r="Q19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F20" i="16"/>
  <c r="G20" i="16"/>
  <c r="H20" i="16" a="1"/>
  <c r="H20" i="16" s="1"/>
  <c r="I20" i="16"/>
  <c r="J20" i="16"/>
  <c r="K20" i="16"/>
  <c r="L20" i="16"/>
  <c r="M20" i="16" s="1"/>
  <c r="N20" i="16"/>
  <c r="O20" i="16"/>
  <c r="P20" i="16" s="1"/>
  <c r="Q20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T21" i="13"/>
  <c r="T20" i="13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R24" i="16"/>
  <c r="F24" i="16"/>
  <c r="G24" i="16"/>
  <c r="H24" i="16" a="1"/>
  <c r="H24" i="16" s="1"/>
  <c r="I24" i="16"/>
  <c r="J24" i="16"/>
  <c r="K24" i="16"/>
  <c r="L24" i="16"/>
  <c r="M24" i="16" s="1"/>
  <c r="N24" i="16"/>
  <c r="O24" i="16"/>
  <c r="P24" i="16" s="1"/>
  <c r="Q24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R17" i="16"/>
  <c r="F17" i="16"/>
  <c r="G17" i="16"/>
  <c r="H17" i="16" a="1"/>
  <c r="H17" i="16" s="1"/>
  <c r="I17" i="16"/>
  <c r="J17" i="16"/>
  <c r="L17" i="16"/>
  <c r="M17" i="16" s="1"/>
  <c r="O17" i="16"/>
  <c r="P17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7" i="16"/>
  <c r="Q17" i="16"/>
  <c r="K17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T22" i="11"/>
  <c r="H22" i="11"/>
  <c r="I22" i="11"/>
  <c r="J22" i="11" a="1"/>
  <c r="J22" i="11" s="1"/>
  <c r="K22" i="11"/>
  <c r="L22" i="11"/>
  <c r="M22" i="11"/>
  <c r="N22" i="11"/>
  <c r="O22" i="11" s="1"/>
  <c r="P22" i="11"/>
  <c r="Q22" i="11"/>
  <c r="R22" i="11" s="1"/>
  <c r="S22" i="11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H16" i="13"/>
  <c r="I16" i="13"/>
  <c r="J16" i="13" a="1"/>
  <c r="J16" i="13" s="1"/>
  <c r="K16" i="13"/>
  <c r="L16" i="13"/>
  <c r="N16" i="13"/>
  <c r="O16" i="13" s="1"/>
  <c r="Q16" i="13"/>
  <c r="R16" i="13" s="1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M17" i="13"/>
  <c r="N17" i="13"/>
  <c r="O17" i="13" s="1"/>
  <c r="P17" i="13"/>
  <c r="Q17" i="13"/>
  <c r="R17" i="13" s="1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19" i="13"/>
  <c r="I19" i="13"/>
  <c r="J19" i="13" a="1"/>
  <c r="J19" i="13" s="1"/>
  <c r="K19" i="13"/>
  <c r="L19" i="13"/>
  <c r="N19" i="13"/>
  <c r="O19" i="13" s="1"/>
  <c r="Q19" i="13"/>
  <c r="R19" i="13" s="1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H20" i="13"/>
  <c r="I20" i="13"/>
  <c r="J20" i="13" a="1"/>
  <c r="J20" i="13" s="1"/>
  <c r="K20" i="13"/>
  <c r="L20" i="13"/>
  <c r="N20" i="13"/>
  <c r="O20" i="13" s="1"/>
  <c r="Q20" i="13"/>
  <c r="R20" i="13" s="1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N26" i="13"/>
  <c r="O26" i="13" s="1"/>
  <c r="Q26" i="13"/>
  <c r="R26" i="13" s="1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N36" i="13"/>
  <c r="O36" i="13" s="1"/>
  <c r="Q36" i="13"/>
  <c r="R36" i="13" s="1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7" i="13"/>
  <c r="I47" i="13"/>
  <c r="J47" i="13" a="1"/>
  <c r="J47" i="13" s="1"/>
  <c r="K47" i="13"/>
  <c r="L47" i="13"/>
  <c r="M47" i="13"/>
  <c r="N47" i="13"/>
  <c r="O47" i="13" s="1"/>
  <c r="P47" i="13"/>
  <c r="Q47" i="13"/>
  <c r="R47" i="13" s="1"/>
  <c r="S47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0" i="13" s="1"/>
  <c r="AC52" i="15"/>
  <c r="S20" i="13" s="1"/>
  <c r="AD52" i="15"/>
  <c r="M20" i="13" s="1"/>
  <c r="AA53" i="15"/>
  <c r="AB53" i="15"/>
  <c r="P35" i="13" s="1"/>
  <c r="AC53" i="15"/>
  <c r="S35" i="13" s="1"/>
  <c r="AD53" i="15"/>
  <c r="M35" i="13" s="1"/>
  <c r="AA54" i="15"/>
  <c r="AB54" i="15"/>
  <c r="P36" i="13" s="1"/>
  <c r="AC54" i="15"/>
  <c r="S36" i="13" s="1"/>
  <c r="AD54" i="15"/>
  <c r="M36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Q16" i="11"/>
  <c r="R16" i="11" s="1"/>
  <c r="S16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H41" i="11"/>
  <c r="I41" i="11"/>
  <c r="J41" i="11" a="1"/>
  <c r="J41" i="11" s="1"/>
  <c r="K41" i="11"/>
  <c r="L41" i="11"/>
  <c r="M41" i="11"/>
  <c r="N41" i="11"/>
  <c r="O41" i="11" s="1"/>
  <c r="P41" i="11"/>
  <c r="Q41" i="11"/>
  <c r="R41" i="11" s="1"/>
  <c r="AF16" i="13"/>
  <c r="AG16" i="13"/>
  <c r="AH16" i="13"/>
  <c r="AI16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N12" i="13"/>
  <c r="O12" i="13" s="1"/>
  <c r="Q12" i="13"/>
  <c r="R12" i="13" s="1"/>
  <c r="AF34" i="13"/>
  <c r="AG34" i="13"/>
  <c r="AH34" i="13"/>
  <c r="AI34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4" i="13" s="1"/>
  <c r="AC31" i="15"/>
  <c r="S34" i="13" s="1"/>
  <c r="AD31" i="15"/>
  <c r="M34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5" i="13" s="1"/>
  <c r="AC37" i="15"/>
  <c r="S25" i="13" s="1"/>
  <c r="AD37" i="15"/>
  <c r="M25" i="13" s="1"/>
  <c r="AA38" i="15"/>
  <c r="AB38" i="15"/>
  <c r="AC38" i="15"/>
  <c r="AD38" i="15"/>
  <c r="AA39" i="15"/>
  <c r="AB39" i="15"/>
  <c r="AC39" i="15"/>
  <c r="AD39" i="15"/>
  <c r="AA40" i="15"/>
  <c r="AB40" i="15"/>
  <c r="P12" i="13" s="1"/>
  <c r="AC40" i="15"/>
  <c r="S12" i="13" s="1"/>
  <c r="AD40" i="15"/>
  <c r="M12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1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9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8" i="13" s="1"/>
  <c r="AC23" i="15"/>
  <c r="S18" i="13" s="1"/>
  <c r="AD23" i="15"/>
  <c r="M18" i="13" s="1"/>
  <c r="AA24" i="15"/>
  <c r="AB24" i="15"/>
  <c r="AC24" i="15"/>
  <c r="AD24" i="15"/>
  <c r="AA25" i="15"/>
  <c r="AB25" i="15"/>
  <c r="P16" i="13" s="1"/>
  <c r="AC25" i="15"/>
  <c r="S16" i="13" s="1"/>
  <c r="AD25" i="15"/>
  <c r="M16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6" i="11" s="1"/>
  <c r="AC510" i="10"/>
  <c r="AD510" i="10"/>
  <c r="M16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9" i="13" s="1"/>
  <c r="AC6" i="15"/>
  <c r="S19" i="13" s="1"/>
  <c r="AD6" i="15"/>
  <c r="M19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6" i="13" s="1"/>
  <c r="AC11" i="15"/>
  <c r="S26" i="13" s="1"/>
  <c r="AD11" i="15"/>
  <c r="M26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R35" i="16"/>
  <c r="R32" i="16"/>
  <c r="R30" i="16"/>
  <c r="R29" i="16"/>
  <c r="R28" i="16"/>
  <c r="R26" i="16"/>
  <c r="R25" i="16"/>
  <c r="R23" i="16"/>
  <c r="R22" i="16"/>
  <c r="R21" i="16"/>
  <c r="R18" i="16"/>
  <c r="R16" i="16"/>
  <c r="R15" i="16"/>
  <c r="R14" i="16"/>
  <c r="R12" i="16"/>
  <c r="R10" i="16"/>
  <c r="R6" i="16"/>
  <c r="R5" i="16"/>
  <c r="R4" i="16"/>
  <c r="R3" i="16"/>
  <c r="R2" i="16"/>
  <c r="Q3" i="16"/>
  <c r="Q4" i="16"/>
  <c r="Q5" i="16"/>
  <c r="Q6" i="16"/>
  <c r="Q12" i="16"/>
  <c r="Q14" i="16"/>
  <c r="Q15" i="16"/>
  <c r="Q16" i="16"/>
  <c r="Q21" i="16"/>
  <c r="Q22" i="16"/>
  <c r="Q23" i="16"/>
  <c r="Q25" i="16"/>
  <c r="Q26" i="16"/>
  <c r="Q28" i="16"/>
  <c r="Q29" i="16"/>
  <c r="Q30" i="16"/>
  <c r="Q32" i="16"/>
  <c r="Q33" i="16"/>
  <c r="Q35" i="16"/>
  <c r="Q36" i="16"/>
  <c r="Q2" i="16"/>
  <c r="O3" i="16"/>
  <c r="P3" i="16" s="1"/>
  <c r="O4" i="16"/>
  <c r="P4" i="16" s="1"/>
  <c r="O5" i="16"/>
  <c r="P5" i="16" s="1"/>
  <c r="O6" i="16"/>
  <c r="P6" i="16" s="1"/>
  <c r="O10" i="16"/>
  <c r="P10" i="16" s="1"/>
  <c r="O12" i="16"/>
  <c r="P12" i="16" s="1"/>
  <c r="O14" i="16"/>
  <c r="P14" i="16" s="1"/>
  <c r="O15" i="16"/>
  <c r="P15" i="16" s="1"/>
  <c r="O16" i="16"/>
  <c r="P16" i="16" s="1"/>
  <c r="O18" i="16"/>
  <c r="P18" i="16" s="1"/>
  <c r="O21" i="16"/>
  <c r="P21" i="16" s="1"/>
  <c r="O22" i="16"/>
  <c r="P22" i="16" s="1"/>
  <c r="O23" i="16"/>
  <c r="P23" i="16" s="1"/>
  <c r="O25" i="16"/>
  <c r="P25" i="16" s="1"/>
  <c r="O26" i="16"/>
  <c r="P26" i="16" s="1"/>
  <c r="O28" i="16"/>
  <c r="P28" i="16" s="1"/>
  <c r="O29" i="16"/>
  <c r="P29" i="16" s="1"/>
  <c r="O30" i="16"/>
  <c r="P30" i="16" s="1"/>
  <c r="O32" i="16"/>
  <c r="P32" i="16" s="1"/>
  <c r="O33" i="16"/>
  <c r="P33" i="16" s="1"/>
  <c r="O35" i="16"/>
  <c r="P35" i="16" s="1"/>
  <c r="O36" i="16"/>
  <c r="P36" i="16" s="1"/>
  <c r="O2" i="16"/>
  <c r="P2" i="16" s="1"/>
  <c r="N3" i="16"/>
  <c r="N4" i="16"/>
  <c r="N5" i="16"/>
  <c r="N6" i="16"/>
  <c r="N12" i="16"/>
  <c r="N14" i="16"/>
  <c r="N15" i="16"/>
  <c r="N16" i="16"/>
  <c r="N18" i="16"/>
  <c r="N21" i="16"/>
  <c r="N22" i="16"/>
  <c r="N23" i="16"/>
  <c r="N25" i="16"/>
  <c r="N26" i="16"/>
  <c r="N28" i="16"/>
  <c r="N29" i="16"/>
  <c r="N30" i="16"/>
  <c r="N32" i="16"/>
  <c r="N33" i="16"/>
  <c r="N35" i="16"/>
  <c r="N36" i="16"/>
  <c r="N2" i="16"/>
  <c r="L3" i="16"/>
  <c r="M3" i="16" s="1"/>
  <c r="L4" i="16"/>
  <c r="M4" i="16" s="1"/>
  <c r="L5" i="16"/>
  <c r="M5" i="16" s="1"/>
  <c r="L6" i="16"/>
  <c r="M6" i="16" s="1"/>
  <c r="L10" i="16"/>
  <c r="M10" i="16" s="1"/>
  <c r="L12" i="16"/>
  <c r="M12" i="16" s="1"/>
  <c r="L14" i="16"/>
  <c r="M14" i="16" s="1"/>
  <c r="L15" i="16"/>
  <c r="M15" i="16" s="1"/>
  <c r="L16" i="16"/>
  <c r="M16" i="16" s="1"/>
  <c r="L18" i="16"/>
  <c r="M18" i="16" s="1"/>
  <c r="L21" i="16"/>
  <c r="M21" i="16" s="1"/>
  <c r="L22" i="16"/>
  <c r="M22" i="16" s="1"/>
  <c r="L23" i="16"/>
  <c r="M23" i="16" s="1"/>
  <c r="L25" i="16"/>
  <c r="M25" i="16" s="1"/>
  <c r="L26" i="16"/>
  <c r="M26" i="16" s="1"/>
  <c r="L28" i="16"/>
  <c r="M28" i="16" s="1"/>
  <c r="L29" i="16"/>
  <c r="M29" i="16" s="1"/>
  <c r="L30" i="16"/>
  <c r="M30" i="16" s="1"/>
  <c r="L32" i="16"/>
  <c r="M32" i="16" s="1"/>
  <c r="M33" i="16"/>
  <c r="L35" i="16"/>
  <c r="M35" i="16" s="1"/>
  <c r="L36" i="16"/>
  <c r="M36" i="16" s="1"/>
  <c r="L2" i="16"/>
  <c r="M2" i="16" s="1"/>
  <c r="K3" i="16"/>
  <c r="K4" i="16"/>
  <c r="K5" i="16"/>
  <c r="K6" i="16"/>
  <c r="K12" i="16"/>
  <c r="K14" i="16"/>
  <c r="K15" i="16"/>
  <c r="K16" i="16"/>
  <c r="K18" i="16"/>
  <c r="K21" i="16"/>
  <c r="K22" i="16"/>
  <c r="K23" i="16"/>
  <c r="K25" i="16"/>
  <c r="K26" i="16"/>
  <c r="K28" i="16"/>
  <c r="K29" i="16"/>
  <c r="K30" i="16"/>
  <c r="K32" i="16"/>
  <c r="K33" i="16"/>
  <c r="K35" i="16"/>
  <c r="K36" i="16"/>
  <c r="J3" i="16"/>
  <c r="J4" i="16"/>
  <c r="J5" i="16"/>
  <c r="J6" i="16"/>
  <c r="J10" i="16"/>
  <c r="J12" i="16"/>
  <c r="J14" i="16"/>
  <c r="J15" i="16"/>
  <c r="J16" i="16"/>
  <c r="J18" i="16"/>
  <c r="J21" i="16"/>
  <c r="J22" i="16"/>
  <c r="J23" i="16"/>
  <c r="J25" i="16"/>
  <c r="J26" i="16"/>
  <c r="J28" i="16"/>
  <c r="J29" i="16"/>
  <c r="J30" i="16"/>
  <c r="J32" i="16"/>
  <c r="J33" i="16"/>
  <c r="J35" i="16"/>
  <c r="J36" i="16"/>
  <c r="J2" i="16"/>
  <c r="I3" i="16"/>
  <c r="I4" i="16"/>
  <c r="I5" i="16"/>
  <c r="I6" i="16"/>
  <c r="I10" i="16"/>
  <c r="I12" i="16"/>
  <c r="I14" i="16"/>
  <c r="I15" i="16"/>
  <c r="I16" i="16"/>
  <c r="I18" i="16"/>
  <c r="I21" i="16"/>
  <c r="I22" i="16"/>
  <c r="I23" i="16"/>
  <c r="I25" i="16"/>
  <c r="I26" i="16"/>
  <c r="I28" i="16"/>
  <c r="I29" i="16"/>
  <c r="I30" i="16"/>
  <c r="I32" i="16"/>
  <c r="I33" i="16"/>
  <c r="I35" i="16"/>
  <c r="I36" i="16"/>
  <c r="I2" i="16"/>
  <c r="H3" i="16" a="1"/>
  <c r="H3" i="16" s="1"/>
  <c r="H4" i="16" a="1"/>
  <c r="H4" i="16" s="1"/>
  <c r="H5" i="16" a="1"/>
  <c r="H5" i="16" s="1"/>
  <c r="H6" i="16" a="1"/>
  <c r="H6" i="16" s="1"/>
  <c r="H10" i="16" a="1"/>
  <c r="H10" i="16" s="1"/>
  <c r="H12" i="16" a="1"/>
  <c r="H12" i="16" s="1"/>
  <c r="H14" i="16" a="1"/>
  <c r="H14" i="16" s="1"/>
  <c r="H15" i="16" a="1"/>
  <c r="H15" i="16" s="1"/>
  <c r="H16" i="16" a="1"/>
  <c r="H16" i="16" s="1"/>
  <c r="H18" i="16" a="1"/>
  <c r="H18" i="16" s="1"/>
  <c r="H21" i="16" a="1"/>
  <c r="H21" i="16" s="1"/>
  <c r="H22" i="16" a="1"/>
  <c r="H22" i="16" s="1"/>
  <c r="H23" i="16" a="1"/>
  <c r="H23" i="16" s="1"/>
  <c r="H25" i="16" a="1"/>
  <c r="H25" i="16" s="1"/>
  <c r="H26" i="16" a="1"/>
  <c r="H26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35" i="16" a="1"/>
  <c r="H35" i="16" s="1"/>
  <c r="H36" i="16" a="1"/>
  <c r="H36" i="16" s="1"/>
  <c r="H2" i="16" a="1"/>
  <c r="H2" i="16" s="1"/>
  <c r="G3" i="16"/>
  <c r="G4" i="16"/>
  <c r="G5" i="16"/>
  <c r="G6" i="16"/>
  <c r="G10" i="16"/>
  <c r="G12" i="16"/>
  <c r="G14" i="16"/>
  <c r="G15" i="16"/>
  <c r="G16" i="16"/>
  <c r="G18" i="16"/>
  <c r="G21" i="16"/>
  <c r="G22" i="16"/>
  <c r="G23" i="16"/>
  <c r="G25" i="16"/>
  <c r="G26" i="16"/>
  <c r="G28" i="16"/>
  <c r="G29" i="16"/>
  <c r="G30" i="16"/>
  <c r="G32" i="16"/>
  <c r="G33" i="16"/>
  <c r="G35" i="16"/>
  <c r="G36" i="16"/>
  <c r="G2" i="16"/>
  <c r="F3" i="16"/>
  <c r="F4" i="16"/>
  <c r="F5" i="16"/>
  <c r="F6" i="16"/>
  <c r="F10" i="16"/>
  <c r="F12" i="16"/>
  <c r="F14" i="16"/>
  <c r="F15" i="16"/>
  <c r="F16" i="16"/>
  <c r="F18" i="16"/>
  <c r="F21" i="16"/>
  <c r="F22" i="16"/>
  <c r="F23" i="16"/>
  <c r="F25" i="16"/>
  <c r="F26" i="16"/>
  <c r="F28" i="16"/>
  <c r="F29" i="16"/>
  <c r="F30" i="16"/>
  <c r="F32" i="16"/>
  <c r="F33" i="16"/>
  <c r="F35" i="16"/>
  <c r="F36" i="16"/>
  <c r="F2" i="16"/>
  <c r="K10" i="16"/>
  <c r="Q10" i="16"/>
  <c r="N10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7" i="13"/>
  <c r="AG17" i="13"/>
  <c r="AH17" i="13"/>
  <c r="AI17" i="13"/>
  <c r="AF18" i="13"/>
  <c r="AG18" i="13"/>
  <c r="AH18" i="13"/>
  <c r="AI18" i="13"/>
  <c r="AF19" i="13"/>
  <c r="AG19" i="13"/>
  <c r="AH19" i="13"/>
  <c r="AI19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0" i="13"/>
  <c r="AG30" i="13"/>
  <c r="AH30" i="13"/>
  <c r="AI30" i="13"/>
  <c r="AF35" i="13"/>
  <c r="AG35" i="13"/>
  <c r="AH35" i="13"/>
  <c r="AI35" i="13"/>
  <c r="AF36" i="13"/>
  <c r="AG36" i="13"/>
  <c r="AH36" i="13"/>
  <c r="AI36" i="13"/>
  <c r="AF37" i="13"/>
  <c r="AG37" i="13"/>
  <c r="AH37" i="13"/>
  <c r="AI37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T42" i="13"/>
  <c r="T41" i="13"/>
  <c r="T40" i="13"/>
  <c r="T39" i="13"/>
  <c r="T9" i="13"/>
  <c r="T7" i="13"/>
  <c r="T6" i="13"/>
  <c r="T5" i="13"/>
  <c r="S9" i="13"/>
  <c r="S39" i="13"/>
  <c r="S41" i="13"/>
  <c r="S42" i="13"/>
  <c r="Q5" i="13"/>
  <c r="R5" i="13" s="1"/>
  <c r="Q6" i="13"/>
  <c r="R6" i="13" s="1"/>
  <c r="Q7" i="13"/>
  <c r="R7" i="13" s="1"/>
  <c r="Q9" i="13"/>
  <c r="R9" i="13" s="1"/>
  <c r="Q39" i="13"/>
  <c r="R39" i="13" s="1"/>
  <c r="Q40" i="13"/>
  <c r="R40" i="13" s="1"/>
  <c r="Q41" i="13"/>
  <c r="R41" i="13" s="1"/>
  <c r="Q42" i="13"/>
  <c r="R42" i="13" s="1"/>
  <c r="Q44" i="13"/>
  <c r="R44" i="13" s="1"/>
  <c r="Q46" i="13"/>
  <c r="R46" i="13" s="1"/>
  <c r="N5" i="13"/>
  <c r="O5" i="13" s="1"/>
  <c r="N6" i="13"/>
  <c r="O6" i="13" s="1"/>
  <c r="N7" i="13"/>
  <c r="O7" i="13" s="1"/>
  <c r="N9" i="13"/>
  <c r="O9" i="13" s="1"/>
  <c r="N39" i="13"/>
  <c r="O39" i="13" s="1"/>
  <c r="N40" i="13"/>
  <c r="O40" i="13" s="1"/>
  <c r="N41" i="13"/>
  <c r="O41" i="13" s="1"/>
  <c r="N42" i="13"/>
  <c r="O42" i="13" s="1"/>
  <c r="N44" i="13"/>
  <c r="O44" i="13" s="1"/>
  <c r="N46" i="13"/>
  <c r="O46" i="13" s="1"/>
  <c r="M46" i="13"/>
  <c r="L5" i="13"/>
  <c r="L6" i="13"/>
  <c r="L7" i="13"/>
  <c r="L9" i="13"/>
  <c r="L39" i="13"/>
  <c r="L40" i="13"/>
  <c r="L41" i="13"/>
  <c r="L42" i="13"/>
  <c r="L44" i="13"/>
  <c r="L46" i="13"/>
  <c r="K5" i="13"/>
  <c r="K6" i="13"/>
  <c r="K7" i="13"/>
  <c r="K9" i="13"/>
  <c r="K39" i="13"/>
  <c r="K40" i="13"/>
  <c r="K41" i="13"/>
  <c r="K42" i="13"/>
  <c r="K44" i="13"/>
  <c r="K46" i="13"/>
  <c r="J5" i="13" a="1"/>
  <c r="J5" i="13" s="1"/>
  <c r="J6" i="13" a="1"/>
  <c r="J6" i="13" s="1"/>
  <c r="J7" i="13" a="1"/>
  <c r="J7" i="13" s="1"/>
  <c r="J9" i="13" a="1"/>
  <c r="J9" i="13" s="1"/>
  <c r="J39" i="13" a="1"/>
  <c r="J39" i="13" s="1"/>
  <c r="J40" i="13" a="1"/>
  <c r="J40" i="13" s="1"/>
  <c r="J41" i="13" a="1"/>
  <c r="J41" i="13" s="1"/>
  <c r="J42" i="13" a="1"/>
  <c r="J42" i="13" s="1"/>
  <c r="J44" i="13" a="1"/>
  <c r="J44" i="13" s="1"/>
  <c r="J46" i="13" a="1"/>
  <c r="J46" i="13" s="1"/>
  <c r="I5" i="13"/>
  <c r="I6" i="13"/>
  <c r="I7" i="13"/>
  <c r="I9" i="13"/>
  <c r="I39" i="13"/>
  <c r="I40" i="13"/>
  <c r="I41" i="13"/>
  <c r="I42" i="13"/>
  <c r="I44" i="13"/>
  <c r="I46" i="13"/>
  <c r="H5" i="13"/>
  <c r="H6" i="13"/>
  <c r="H7" i="13"/>
  <c r="H9" i="13"/>
  <c r="H39" i="13"/>
  <c r="H40" i="13"/>
  <c r="H41" i="13"/>
  <c r="H42" i="13"/>
  <c r="H44" i="13"/>
  <c r="H46" i="13"/>
  <c r="S6" i="13"/>
  <c r="P42" i="13"/>
  <c r="M42" i="13"/>
  <c r="P41" i="13"/>
  <c r="M41" i="13"/>
  <c r="P7" i="13"/>
  <c r="S7" i="13"/>
  <c r="M7" i="13"/>
  <c r="P44" i="13"/>
  <c r="S44" i="13"/>
  <c r="M44" i="13"/>
  <c r="P40" i="13"/>
  <c r="S40" i="13"/>
  <c r="M40" i="13"/>
  <c r="P9" i="13"/>
  <c r="P46" i="13"/>
  <c r="S46" i="13"/>
  <c r="P5" i="13"/>
  <c r="S5" i="13"/>
  <c r="M5" i="13"/>
  <c r="P39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6" i="11" s="1"/>
  <c r="AC475" i="10"/>
  <c r="S36" i="11" s="1"/>
  <c r="AD475" i="10"/>
  <c r="M36" i="11" s="1"/>
  <c r="AA476" i="10"/>
  <c r="AB476" i="10"/>
  <c r="P4" i="11" s="1"/>
  <c r="AC476" i="10"/>
  <c r="S4" i="11" s="1"/>
  <c r="AD476" i="10"/>
  <c r="M4" i="11" s="1"/>
  <c r="AA477" i="10"/>
  <c r="AB477" i="10"/>
  <c r="P29" i="11" s="1"/>
  <c r="AC477" i="10"/>
  <c r="AD477" i="10"/>
  <c r="M29" i="11" s="1"/>
  <c r="AA478" i="10"/>
  <c r="AB478" i="10"/>
  <c r="P14" i="11" s="1"/>
  <c r="AC478" i="10"/>
  <c r="S14" i="11" s="1"/>
  <c r="AD478" i="10"/>
  <c r="M14" i="11" s="1"/>
  <c r="AA479" i="10"/>
  <c r="AB479" i="10"/>
  <c r="P23" i="11" s="1"/>
  <c r="AC479" i="10"/>
  <c r="S23" i="11" s="1"/>
  <c r="AD479" i="10"/>
  <c r="M23" i="11" s="1"/>
  <c r="AA480" i="10"/>
  <c r="AB480" i="10"/>
  <c r="P47" i="11" s="1"/>
  <c r="AC480" i="10"/>
  <c r="S47" i="11" s="1"/>
  <c r="AD480" i="10"/>
  <c r="M47" i="11" s="1"/>
  <c r="AA481" i="10"/>
  <c r="AB481" i="10"/>
  <c r="P33" i="11" s="1"/>
  <c r="AC481" i="10"/>
  <c r="AD481" i="10"/>
  <c r="M33" i="11" s="1"/>
  <c r="AA482" i="10"/>
  <c r="AB482" i="10"/>
  <c r="P45" i="11" s="1"/>
  <c r="AC482" i="10"/>
  <c r="S45" i="11" s="1"/>
  <c r="AD482" i="10"/>
  <c r="M45" i="11" s="1"/>
  <c r="AA483" i="10"/>
  <c r="AB483" i="10"/>
  <c r="P11" i="11" s="1"/>
  <c r="AC483" i="10"/>
  <c r="S11" i="11" s="1"/>
  <c r="AD483" i="10"/>
  <c r="M11" i="11" s="1"/>
  <c r="AA484" i="10"/>
  <c r="AB484" i="10"/>
  <c r="P12" i="11" s="1"/>
  <c r="AC484" i="10"/>
  <c r="S12" i="11" s="1"/>
  <c r="AD484" i="10"/>
  <c r="M12" i="11" s="1"/>
  <c r="AA485" i="10"/>
  <c r="AB485" i="10"/>
  <c r="P32" i="11" s="1"/>
  <c r="AC485" i="10"/>
  <c r="AD485" i="10"/>
  <c r="M32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8" i="11" s="1"/>
  <c r="AC471" i="10"/>
  <c r="S18" i="11" s="1"/>
  <c r="AD471" i="10"/>
  <c r="M18" i="11" s="1"/>
  <c r="AA472" i="10"/>
  <c r="AB472" i="10"/>
  <c r="AC472" i="10"/>
  <c r="AD472" i="10"/>
  <c r="AA473" i="10"/>
  <c r="AB473" i="10"/>
  <c r="AC473" i="10"/>
  <c r="AD473" i="10"/>
  <c r="AA474" i="10"/>
  <c r="AB474" i="10"/>
  <c r="P55" i="11" s="1"/>
  <c r="AC474" i="10"/>
  <c r="S55" i="11" s="1"/>
  <c r="AD474" i="10"/>
  <c r="M55" i="11" s="1"/>
  <c r="AA451" i="10"/>
  <c r="AB451" i="10"/>
  <c r="P52" i="11" s="1"/>
  <c r="AC451" i="10"/>
  <c r="S52" i="11" s="1"/>
  <c r="AD451" i="10"/>
  <c r="M52" i="11" s="1"/>
  <c r="AA452" i="10"/>
  <c r="AB452" i="10"/>
  <c r="P21" i="11" s="1"/>
  <c r="AC452" i="10"/>
  <c r="S21" i="11" s="1"/>
  <c r="AD452" i="10"/>
  <c r="M21" i="11" s="1"/>
  <c r="AA453" i="10"/>
  <c r="AB453" i="10"/>
  <c r="P48" i="11" s="1"/>
  <c r="AC453" i="10"/>
  <c r="S48" i="11" s="1"/>
  <c r="AD453" i="10"/>
  <c r="M48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4" i="11" s="1"/>
  <c r="AC457" i="10"/>
  <c r="S54" i="11" s="1"/>
  <c r="AD457" i="10"/>
  <c r="M54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3" i="11" s="1"/>
  <c r="AC461" i="10"/>
  <c r="S13" i="11" s="1"/>
  <c r="AD461" i="10"/>
  <c r="M13" i="11" s="1"/>
  <c r="AA462" i="10"/>
  <c r="AB462" i="10"/>
  <c r="P30" i="11" s="1"/>
  <c r="AC462" i="10"/>
  <c r="S30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6" i="11" s="1"/>
  <c r="AC445" i="10"/>
  <c r="S26" i="11" s="1"/>
  <c r="AD445" i="10"/>
  <c r="M26" i="11" s="1"/>
  <c r="AA446" i="10"/>
  <c r="AB446" i="10"/>
  <c r="AC446" i="10"/>
  <c r="AD446" i="10"/>
  <c r="AA447" i="10"/>
  <c r="AB447" i="10"/>
  <c r="P17" i="11" s="1"/>
  <c r="AC447" i="10"/>
  <c r="S17" i="11" s="1"/>
  <c r="AD447" i="10"/>
  <c r="M17" i="11" s="1"/>
  <c r="AA448" i="10"/>
  <c r="AB448" i="10"/>
  <c r="AC448" i="10"/>
  <c r="AD448" i="10"/>
  <c r="AA449" i="10"/>
  <c r="AB449" i="10"/>
  <c r="AC449" i="10"/>
  <c r="AD449" i="10"/>
  <c r="AA450" i="10"/>
  <c r="AB450" i="10"/>
  <c r="P25" i="11" s="1"/>
  <c r="AC450" i="10"/>
  <c r="S25" i="11" s="1"/>
  <c r="AD450" i="10"/>
  <c r="M25" i="11" s="1"/>
  <c r="H53" i="11"/>
  <c r="I53" i="11"/>
  <c r="J53" i="11" a="1"/>
  <c r="J53" i="11" s="1"/>
  <c r="K53" i="11"/>
  <c r="L53" i="11"/>
  <c r="N53" i="11"/>
  <c r="O53" i="11" s="1"/>
  <c r="Q53" i="11"/>
  <c r="R53" i="11" s="1"/>
  <c r="H42" i="11"/>
  <c r="I42" i="11"/>
  <c r="J42" i="11" a="1"/>
  <c r="J42" i="11" s="1"/>
  <c r="K42" i="11"/>
  <c r="L42" i="11"/>
  <c r="N42" i="11"/>
  <c r="O42" i="11" s="1"/>
  <c r="Q42" i="11"/>
  <c r="R42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3" i="11" s="1"/>
  <c r="AC415" i="10"/>
  <c r="S43" i="11" s="1"/>
  <c r="AD415" i="10"/>
  <c r="M43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7" i="11" s="1"/>
  <c r="AC435" i="10"/>
  <c r="S37" i="11" s="1"/>
  <c r="AD435" i="10"/>
  <c r="M37" i="11" s="1"/>
  <c r="AA436" i="10"/>
  <c r="AB436" i="10"/>
  <c r="P49" i="11" s="1"/>
  <c r="AC436" i="10"/>
  <c r="S49" i="11" s="1"/>
  <c r="AD436" i="10"/>
  <c r="M49" i="11" s="1"/>
  <c r="AA437" i="10"/>
  <c r="AB437" i="10"/>
  <c r="AC437" i="10"/>
  <c r="AD437" i="10"/>
  <c r="AA438" i="10"/>
  <c r="AB438" i="10"/>
  <c r="P53" i="11" s="1"/>
  <c r="AC438" i="10"/>
  <c r="S53" i="11" s="1"/>
  <c r="AD438" i="10"/>
  <c r="M53" i="11" s="1"/>
  <c r="AA439" i="10"/>
  <c r="AB439" i="10"/>
  <c r="AC439" i="10"/>
  <c r="AD439" i="10"/>
  <c r="AA440" i="10"/>
  <c r="AB440" i="10"/>
  <c r="AC440" i="10"/>
  <c r="AD440" i="10"/>
  <c r="T40" i="11"/>
  <c r="F24" i="12"/>
  <c r="G24" i="12"/>
  <c r="H24" i="12" a="1"/>
  <c r="H24" i="12" s="1"/>
  <c r="I24" i="12"/>
  <c r="J24" i="12"/>
  <c r="L24" i="12"/>
  <c r="M24" i="12" s="1"/>
  <c r="O24" i="12"/>
  <c r="P24" i="12" s="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N44" i="11"/>
  <c r="O44" i="11" s="1"/>
  <c r="Q44" i="11"/>
  <c r="R44" i="11" s="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T32" i="11"/>
  <c r="H32" i="11"/>
  <c r="I32" i="11"/>
  <c r="J32" i="11" a="1"/>
  <c r="J32" i="11" s="1"/>
  <c r="K32" i="11"/>
  <c r="L32" i="11"/>
  <c r="N32" i="11"/>
  <c r="O32" i="11" s="1"/>
  <c r="Q32" i="11"/>
  <c r="R32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2" i="11" s="1"/>
  <c r="AC414" i="10"/>
  <c r="S42" i="11" s="1"/>
  <c r="AD414" i="10"/>
  <c r="M42" i="11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N50" i="11"/>
  <c r="O50" i="11" s="1"/>
  <c r="Q50" i="11"/>
  <c r="R50" i="11" s="1"/>
  <c r="AA390" i="10"/>
  <c r="AB390" i="10"/>
  <c r="AC390" i="10"/>
  <c r="AD390" i="10"/>
  <c r="AA391" i="10"/>
  <c r="AB391" i="10"/>
  <c r="AC391" i="10"/>
  <c r="AD391" i="10"/>
  <c r="AA392" i="10"/>
  <c r="AB392" i="10"/>
  <c r="P39" i="11" s="1"/>
  <c r="AC392" i="10"/>
  <c r="S39" i="11" s="1"/>
  <c r="AD392" i="10"/>
  <c r="M39" i="11" s="1"/>
  <c r="AA393" i="10"/>
  <c r="AB393" i="10"/>
  <c r="P20" i="11" s="1"/>
  <c r="AC393" i="10"/>
  <c r="S20" i="11" s="1"/>
  <c r="AD393" i="10"/>
  <c r="M20" i="11" s="1"/>
  <c r="AA394" i="10"/>
  <c r="AB394" i="10"/>
  <c r="AC394" i="10"/>
  <c r="AD394" i="10"/>
  <c r="AA395" i="10"/>
  <c r="AB395" i="10"/>
  <c r="AC395" i="10"/>
  <c r="AD395" i="10"/>
  <c r="AA396" i="10"/>
  <c r="AB396" i="10"/>
  <c r="P50" i="11" s="1"/>
  <c r="AC396" i="10"/>
  <c r="S50" i="11" s="1"/>
  <c r="AD396" i="10"/>
  <c r="M50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Q12" i="11"/>
  <c r="R12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1" i="11"/>
  <c r="AC13" i="11"/>
  <c r="AC14" i="11"/>
  <c r="AC17" i="11"/>
  <c r="AC18" i="11"/>
  <c r="AC19" i="11"/>
  <c r="AC20" i="11"/>
  <c r="AC21" i="11"/>
  <c r="AC23" i="11"/>
  <c r="AC24" i="11"/>
  <c r="AC25" i="11"/>
  <c r="AC26" i="11"/>
  <c r="AC27" i="11"/>
  <c r="AC28" i="11"/>
  <c r="AC29" i="11"/>
  <c r="AC30" i="11"/>
  <c r="AC31" i="11"/>
  <c r="AC33" i="11"/>
  <c r="AC35" i="11"/>
  <c r="AC36" i="11"/>
  <c r="AC37" i="11"/>
  <c r="AC38" i="11"/>
  <c r="AC39" i="11"/>
  <c r="AC40" i="11"/>
  <c r="AC43" i="11"/>
  <c r="AC45" i="11"/>
  <c r="AC48" i="11"/>
  <c r="AC49" i="11"/>
  <c r="AC52" i="11"/>
  <c r="AC53" i="11"/>
  <c r="AC54" i="11"/>
  <c r="AC55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40" i="11" s="1"/>
  <c r="AC361" i="10"/>
  <c r="S40" i="11" s="1"/>
  <c r="AD361" i="10"/>
  <c r="M40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30" i="11" l="1"/>
  <c r="M44" i="11"/>
  <c r="P44" i="11"/>
  <c r="S44" i="11"/>
  <c r="S32" i="11"/>
  <c r="S33" i="11"/>
  <c r="S29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Q25" i="11"/>
  <c r="R25" i="11" s="1"/>
  <c r="N25" i="11"/>
  <c r="L25" i="11"/>
  <c r="K25" i="11"/>
  <c r="I25" i="11"/>
  <c r="H25" i="11"/>
  <c r="J25" i="11" a="1"/>
  <c r="J25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1" i="11"/>
  <c r="V11" i="11"/>
  <c r="W11" i="11"/>
  <c r="X11" i="11"/>
  <c r="Y11" i="11"/>
  <c r="Z11" i="11"/>
  <c r="AA11" i="11"/>
  <c r="AB11" i="11"/>
  <c r="AD11" i="11"/>
  <c r="AE11" i="11"/>
  <c r="AF11" i="11"/>
  <c r="AG11" i="11"/>
  <c r="AH11" i="11"/>
  <c r="AI11" i="11"/>
  <c r="T11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Q5" i="11"/>
  <c r="R5" i="11" s="1"/>
  <c r="N6" i="11"/>
  <c r="O6" i="11" s="1"/>
  <c r="N7" i="11"/>
  <c r="O7" i="11" s="1"/>
  <c r="N8" i="11"/>
  <c r="O8" i="11" s="1"/>
  <c r="N9" i="11"/>
  <c r="O9" i="11" s="1"/>
  <c r="N11" i="11"/>
  <c r="O11" i="11" s="1"/>
  <c r="N13" i="11"/>
  <c r="O13" i="11" s="1"/>
  <c r="N14" i="11"/>
  <c r="O14" i="11" s="1"/>
  <c r="N17" i="11"/>
  <c r="O17" i="11" s="1"/>
  <c r="N18" i="11"/>
  <c r="O18" i="11" s="1"/>
  <c r="N19" i="11"/>
  <c r="O19" i="11" s="1"/>
  <c r="N20" i="11"/>
  <c r="O20" i="11" s="1"/>
  <c r="N21" i="11"/>
  <c r="O21" i="11" s="1"/>
  <c r="N23" i="11"/>
  <c r="O23" i="11" s="1"/>
  <c r="N24" i="11"/>
  <c r="O24" i="11" s="1"/>
  <c r="N26" i="11"/>
  <c r="O26" i="11" s="1"/>
  <c r="N27" i="11"/>
  <c r="O27" i="11" s="1"/>
  <c r="N28" i="11"/>
  <c r="O28" i="11" s="1"/>
  <c r="N29" i="11"/>
  <c r="O29" i="11" s="1"/>
  <c r="N30" i="11"/>
  <c r="O30" i="11" s="1"/>
  <c r="N31" i="11"/>
  <c r="O31" i="11" s="1"/>
  <c r="N33" i="11"/>
  <c r="O33" i="11" s="1"/>
  <c r="N35" i="11"/>
  <c r="O35" i="11" s="1"/>
  <c r="N36" i="11"/>
  <c r="O36" i="11" s="1"/>
  <c r="N37" i="11"/>
  <c r="O37" i="11" s="1"/>
  <c r="N38" i="11"/>
  <c r="O38" i="11" s="1"/>
  <c r="N39" i="11"/>
  <c r="O39" i="11" s="1"/>
  <c r="N40" i="11"/>
  <c r="O40" i="11" s="1"/>
  <c r="N43" i="11"/>
  <c r="O43" i="11" s="1"/>
  <c r="N45" i="11"/>
  <c r="O45" i="11" s="1"/>
  <c r="N48" i="11"/>
  <c r="O48" i="11" s="1"/>
  <c r="N49" i="11"/>
  <c r="O49" i="11" s="1"/>
  <c r="N52" i="11"/>
  <c r="O52" i="11" s="1"/>
  <c r="N54" i="11"/>
  <c r="O54" i="11" s="1"/>
  <c r="N55" i="11"/>
  <c r="O55" i="11" s="1"/>
  <c r="N5" i="11"/>
  <c r="O5" i="11" s="1"/>
  <c r="L6" i="11"/>
  <c r="L7" i="11"/>
  <c r="L8" i="11"/>
  <c r="L9" i="11"/>
  <c r="L11" i="11"/>
  <c r="L13" i="11"/>
  <c r="L14" i="11"/>
  <c r="L17" i="11"/>
  <c r="L18" i="11"/>
  <c r="L19" i="11"/>
  <c r="L20" i="11"/>
  <c r="L21" i="11"/>
  <c r="L23" i="11"/>
  <c r="L24" i="11"/>
  <c r="L26" i="11"/>
  <c r="L27" i="11"/>
  <c r="L28" i="11"/>
  <c r="L29" i="11"/>
  <c r="L30" i="11"/>
  <c r="L31" i="11"/>
  <c r="L33" i="11"/>
  <c r="L35" i="11"/>
  <c r="L36" i="11"/>
  <c r="L37" i="11"/>
  <c r="L38" i="11"/>
  <c r="L39" i="11"/>
  <c r="L40" i="11"/>
  <c r="L43" i="11"/>
  <c r="L45" i="11"/>
  <c r="L48" i="11"/>
  <c r="L49" i="11"/>
  <c r="L52" i="11"/>
  <c r="L54" i="11"/>
  <c r="L55" i="11"/>
  <c r="L5" i="11"/>
  <c r="K6" i="11"/>
  <c r="K7" i="11"/>
  <c r="K8" i="11"/>
  <c r="K9" i="11"/>
  <c r="K11" i="11"/>
  <c r="K13" i="11"/>
  <c r="K14" i="11"/>
  <c r="K17" i="11"/>
  <c r="K18" i="11"/>
  <c r="K19" i="11"/>
  <c r="K20" i="11"/>
  <c r="K21" i="11"/>
  <c r="K23" i="11"/>
  <c r="K24" i="11"/>
  <c r="K26" i="11"/>
  <c r="K27" i="11"/>
  <c r="K28" i="11"/>
  <c r="K29" i="11"/>
  <c r="K30" i="11"/>
  <c r="K31" i="11"/>
  <c r="K33" i="11"/>
  <c r="K35" i="11"/>
  <c r="K36" i="11"/>
  <c r="K37" i="11"/>
  <c r="K38" i="11"/>
  <c r="K39" i="11"/>
  <c r="K40" i="11"/>
  <c r="K43" i="11"/>
  <c r="K45" i="11"/>
  <c r="K48" i="11"/>
  <c r="K49" i="11"/>
  <c r="K52" i="11"/>
  <c r="K54" i="11"/>
  <c r="K55" i="11"/>
  <c r="K5" i="11"/>
  <c r="Q6" i="11"/>
  <c r="R6" i="11" s="1"/>
  <c r="Q7" i="11"/>
  <c r="R7" i="11" s="1"/>
  <c r="Q8" i="11"/>
  <c r="R8" i="11" s="1"/>
  <c r="Q9" i="11"/>
  <c r="R9" i="11" s="1"/>
  <c r="Q11" i="11"/>
  <c r="R11" i="11" s="1"/>
  <c r="Q14" i="11"/>
  <c r="R14" i="11" s="1"/>
  <c r="Q17" i="11"/>
  <c r="R17" i="11" s="1"/>
  <c r="Q18" i="11"/>
  <c r="R18" i="11" s="1"/>
  <c r="Q19" i="11"/>
  <c r="R19" i="11" s="1"/>
  <c r="Q20" i="11"/>
  <c r="R20" i="11" s="1"/>
  <c r="Q21" i="11"/>
  <c r="R21" i="11" s="1"/>
  <c r="Q23" i="11"/>
  <c r="R23" i="11" s="1"/>
  <c r="Q24" i="11"/>
  <c r="R24" i="11" s="1"/>
  <c r="Q26" i="11"/>
  <c r="R26" i="11" s="1"/>
  <c r="Q27" i="11"/>
  <c r="R27" i="11" s="1"/>
  <c r="Q28" i="11"/>
  <c r="R28" i="11" s="1"/>
  <c r="Q29" i="11"/>
  <c r="R29" i="11" s="1"/>
  <c r="Q30" i="11"/>
  <c r="Q31" i="11"/>
  <c r="R31" i="11" s="1"/>
  <c r="Q33" i="11"/>
  <c r="R33" i="11" s="1"/>
  <c r="Q35" i="11"/>
  <c r="R35" i="11" s="1"/>
  <c r="Q36" i="11"/>
  <c r="R36" i="11" s="1"/>
  <c r="Q37" i="11"/>
  <c r="R37" i="11" s="1"/>
  <c r="Q38" i="11"/>
  <c r="R38" i="11" s="1"/>
  <c r="Q39" i="11"/>
  <c r="R39" i="11" s="1"/>
  <c r="Q40" i="11"/>
  <c r="R40" i="11" s="1"/>
  <c r="Q43" i="11"/>
  <c r="R43" i="11" s="1"/>
  <c r="Q45" i="11"/>
  <c r="R45" i="11" s="1"/>
  <c r="Q48" i="11"/>
  <c r="R48" i="11" s="1"/>
  <c r="Q49" i="11"/>
  <c r="R49" i="11" s="1"/>
  <c r="Q52" i="11"/>
  <c r="R52" i="11" s="1"/>
  <c r="Q54" i="11"/>
  <c r="R54" i="11" s="1"/>
  <c r="Q55" i="11"/>
  <c r="R55" i="11" s="1"/>
  <c r="J14" i="11" a="1"/>
  <c r="J14" i="11" s="1"/>
  <c r="J17" i="11" a="1"/>
  <c r="J17" i="11" s="1"/>
  <c r="J18" i="11" a="1"/>
  <c r="J18" i="11" s="1"/>
  <c r="J19" i="11" a="1"/>
  <c r="J19" i="11" s="1"/>
  <c r="J20" i="11" a="1"/>
  <c r="J20" i="11" s="1"/>
  <c r="J21" i="11" a="1"/>
  <c r="J21" i="11" s="1"/>
  <c r="J23" i="11" a="1"/>
  <c r="J23" i="11" s="1"/>
  <c r="J24" i="11" a="1"/>
  <c r="J24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1" i="11" a="1"/>
  <c r="J31" i="11" s="1"/>
  <c r="J33" i="11" a="1"/>
  <c r="J33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0" i="11" a="1"/>
  <c r="J40" i="11" s="1"/>
  <c r="J43" i="11" a="1"/>
  <c r="J43" i="11" s="1"/>
  <c r="J45" i="11" a="1"/>
  <c r="J45" i="11" s="1"/>
  <c r="J48" i="11" a="1"/>
  <c r="J48" i="11" s="1"/>
  <c r="J49" i="11" a="1"/>
  <c r="J49" i="11" s="1"/>
  <c r="J52" i="11" a="1"/>
  <c r="J52" i="11" s="1"/>
  <c r="J54" i="11" a="1"/>
  <c r="J54" i="11" s="1"/>
  <c r="J55" i="11" a="1"/>
  <c r="J55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1" i="11" a="1"/>
  <c r="J11" i="11" s="1"/>
  <c r="J13" i="11" a="1"/>
  <c r="J13" i="11" s="1"/>
  <c r="I5" i="11"/>
  <c r="I6" i="11"/>
  <c r="I7" i="11"/>
  <c r="I8" i="11"/>
  <c r="I9" i="11"/>
  <c r="I11" i="11"/>
  <c r="I14" i="11"/>
  <c r="I17" i="11"/>
  <c r="I18" i="11"/>
  <c r="I19" i="11"/>
  <c r="I20" i="11"/>
  <c r="I21" i="11"/>
  <c r="I23" i="11"/>
  <c r="I24" i="11"/>
  <c r="I26" i="11"/>
  <c r="I27" i="11"/>
  <c r="I28" i="11"/>
  <c r="I29" i="11"/>
  <c r="I30" i="11"/>
  <c r="I31" i="11"/>
  <c r="I33" i="11"/>
  <c r="I35" i="11"/>
  <c r="I36" i="11"/>
  <c r="I37" i="11"/>
  <c r="I38" i="11"/>
  <c r="I39" i="11"/>
  <c r="I40" i="11"/>
  <c r="I43" i="11"/>
  <c r="I45" i="11"/>
  <c r="I48" i="11"/>
  <c r="I49" i="11"/>
  <c r="I52" i="11"/>
  <c r="I54" i="11"/>
  <c r="I55" i="11"/>
  <c r="H13" i="11"/>
  <c r="H14" i="11"/>
  <c r="H17" i="11"/>
  <c r="H18" i="11"/>
  <c r="H19" i="11"/>
  <c r="H20" i="11"/>
  <c r="H21" i="11"/>
  <c r="H23" i="11"/>
  <c r="H24" i="11"/>
  <c r="H26" i="11"/>
  <c r="H27" i="11"/>
  <c r="H28" i="11"/>
  <c r="H29" i="11"/>
  <c r="H30" i="11"/>
  <c r="H31" i="11"/>
  <c r="H33" i="11"/>
  <c r="H35" i="11"/>
  <c r="H36" i="11"/>
  <c r="H37" i="11"/>
  <c r="H38" i="11"/>
  <c r="H39" i="11"/>
  <c r="H40" i="11"/>
  <c r="H43" i="11"/>
  <c r="H45" i="11"/>
  <c r="H48" i="11"/>
  <c r="H49" i="11"/>
  <c r="H52" i="11"/>
  <c r="H54" i="11"/>
  <c r="H55" i="11"/>
  <c r="H5" i="11"/>
  <c r="H6" i="11"/>
  <c r="H7" i="11"/>
  <c r="H8" i="11"/>
  <c r="H9" i="11"/>
  <c r="H11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3" i="11"/>
  <c r="R13" i="11" s="1"/>
  <c r="I13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8" i="11" l="1"/>
  <c r="S38" i="11"/>
  <c r="P38" i="11"/>
  <c r="M19" i="11"/>
  <c r="S19" i="11"/>
  <c r="P19" i="11"/>
  <c r="M27" i="11"/>
  <c r="S27" i="11"/>
  <c r="P27" i="11"/>
  <c r="M35" i="11"/>
  <c r="S35" i="11"/>
  <c r="P35" i="11"/>
  <c r="M31" i="11"/>
  <c r="S31" i="11"/>
  <c r="P31" i="11"/>
  <c r="M24" i="11"/>
  <c r="S24" i="11"/>
  <c r="P24" i="11"/>
  <c r="M6" i="11"/>
  <c r="S6" i="11"/>
  <c r="P6" i="11"/>
  <c r="M28" i="11"/>
  <c r="S28" i="11"/>
  <c r="P28" i="11"/>
  <c r="O25" i="11"/>
  <c r="M45" i="12"/>
  <c r="R3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<sst xmlns="http://schemas.openxmlformats.org/spreadsheetml/2006/main" count="4234" uniqueCount="212">
  <si>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</si>
  <si>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</si>
  <si>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</si>
  <si>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</si>
  <si>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</si>
  <si>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</si>
  <si>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</si>
  <si>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</si>
  <si>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</si>
  <si>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</si>
  <si>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</si>
  <si>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</si>
  <si>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</si>
  <si>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</si>
  <si>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</si>
  <si>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</si>
  <si>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</si>
  <si>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</si>
  <si>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</si>
  <si>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</si>
  <si>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</si>
  <si>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</si>
  <si>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</si>
  <si>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</si>
  <si>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</si>
  <si>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</si>
  <si>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</si>
  <si>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</si>
  <si>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</si>
  <si>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</si>
  <si>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</si>
  <si>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</si>
  <si>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</si>
  <si>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</si>
  <si>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</si>
  <si>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</si>
  <si>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</si>
  <si>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</si>
  <si>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</si>
  <si>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</si>
  <si>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</si>
  <si>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</si>
  <si>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</si>
  <si>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</si>
  <si>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</si>
  <si>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</si>
  <si>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</si>
  <si>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</si>
  <si>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</si>
  <si>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</si>
  <si>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</si>
  <si>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</si>
  <si>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</si>
  <si>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</si>
  <si>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</si>
  <si>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</si>
  <si>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</si>
  <si>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</si>
  <si>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</si>
  <si>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</si>
  <si>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</si>
  <si>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</si>
  <si>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</si>
  <si>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</si>
  <si>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</si>
  <si>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</si>
  <si>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</si>
  <si>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</si>
  <si>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</si>
  <si>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</si>
  <si>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</si>
  <si>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</si>
  <si>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</si>
  <si>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</si>
  <si>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</si>
  <si>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</si>
  <si>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</si>
  <si>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</si>
  <si>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</si>
  <si>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</si>
  <si>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</si>
  <si>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</si>
  <si>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</si>
  <si>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</si>
  <si>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</si>
  <si>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</si>
  <si>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</si>
  <si>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</si>
  <si>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</si>
  <si>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</si>
  <si>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</si>
  <si>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</si>
  <si>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</si>
  <si>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</si>
  <si>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</si>
  <si>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</si>
  <si>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</si>
  <si>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</si>
  <si>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</si>
  <si>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</si>
  <si>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</si>
  <si>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</si>
  <si>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</si>
  <si>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</si>
  <si>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</si>
  <si>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</si>
  <si>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</si>
  <si>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</si>
  <si>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</si>
  <si>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</si>
  <si>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</si>
  <si>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</si>
  <si>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</si>
  <si>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</si>
  <si>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</si>
  <si>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</si>
  <si>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</si>
  <si>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</si>
  <si>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</si>
  <si>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</si>
  <si>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</si>
  <si>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</si>
  <si>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</si>
  <si>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</si>
  <si>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</si>
  <si>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</si>
  <si>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</si>
  <si>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</si>
  <si>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</si>
  <si>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</si>
  <si>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</si>
  <si>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</si>
  <si>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</si>
  <si>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</si>
  <si>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</si>
  <si>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</si>
  <si>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</si>
  <si>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</si>
  <si>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</si>
  <si>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</si>
  <si>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</si>
  <si>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</si>
  <si>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</si>
  <si>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</si>
  <si>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</si>
  <si>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</si>
  <si>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</si>
  <si>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</si>
  <si>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</si>
  <si>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</si>
  <si>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</si>
  <si>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</si>
  <si>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</si>
  <si>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</si>
  <si>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</si>
  <si>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</si>
  <si>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</si>
  <si>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</si>
  <si>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</si>
  <si>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</si>
  <si>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</si>
  <si>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</si>
  <si>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</si>
  <si>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</si>
  <si>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</si>
  <si>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</si>
  <si>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</si>
  <si>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</si>
  <si>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</si>
  <si>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</si>
  <si>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</si>
  <si>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</si>
  <si>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</si>
  <si>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</si>
  <si>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</si>
  <si>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</si>
  <si>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</si>
  <si>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</si>
  <si>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</si>
  <si>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</si>
  <si>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</si>
  <si>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</si>
  <si>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</si>
  <si>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</si>
  <si>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</si>
  <si>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</si>
  <si>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</si>
  <si>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2026-05-23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</si>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</sst>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5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F46" sqref="F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121</v>
      </c>
      <c r="I4" s="4">
        <f>AVERAGEIFS('OB History'!C:C,'OB History'!B:B,A4)</f>
        <v>9.3076923076923084</v>
      </c>
      <c r="J4" s="35">
        <f t="array" ref="J4">MAX(IF('OB History'!B:B=A4, 'OB History'!C:C))</f>
        <v>19</v>
      </c>
      <c r="K4" s="34">
        <f>COUNTIFS('OB History'!B:B,A4,'OB History'!D:D, 1)</f>
        <v>7</v>
      </c>
      <c r="L4" s="2">
        <f>COUNTIFS('OB History'!B:B,A4,'OB History'!D:D, 0)</f>
        <v>6</v>
      </c>
      <c r="M4" s="88">
        <f>LOOKUP(2, 1/('OB History'!$B:$B=A4), 'OB History'!$AD:$AD)</f>
        <v>0.53846153846153844</v>
      </c>
      <c r="N4" s="34">
        <f>SUMIFS('OB History'!F:F,'OB History'!B:B,A4)</f>
        <v>24</v>
      </c>
      <c r="O4" s="2">
        <f>SUMIFS('OB History'!E:E,'OB History'!B:B,A4)-N4</f>
        <v>26</v>
      </c>
      <c r="P4" s="88">
        <f>LOOKUP(2, 1/('OB History'!$B:$B=A4), 'OB History'!$AB:$AB)</f>
        <v>0.45769230769230773</v>
      </c>
      <c r="Q4" s="34">
        <f>SUMIFS('OB History'!H:H,'OB History'!B:B,A4)</f>
        <v>106</v>
      </c>
      <c r="R4" s="2">
        <f>SUMIFS('OB History'!G:G,'OB History'!B:B,A4)-Q4</f>
        <v>106</v>
      </c>
      <c r="S4" s="88">
        <f>LOOKUP(2, 1/('OB History'!$B:$B=A4), 'OB History'!$AC:$AC)</f>
        <v>0.49384615384615377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1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4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4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576</v>
      </c>
      <c r="I5" s="4">
        <f>AVERAGEIFS('OB History'!C:C,'OB History'!B:B,A5)</f>
        <v>19.862068965517242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17</v>
      </c>
      <c r="M5" s="88">
        <f>LOOKUP(2, 1/('OB History'!$B:$B=A5), 'OB History'!$AD:$AD)</f>
        <v>0.41379310344827586</v>
      </c>
      <c r="N5" s="34">
        <f>SUMIFS('OB History'!F:F,'OB History'!B:B,A5)</f>
        <v>50</v>
      </c>
      <c r="O5" s="2">
        <f>SUMIFS('OB History'!E:E,'OB History'!B:B,A5)-N5</f>
        <v>67</v>
      </c>
      <c r="P5" s="88">
        <f>LOOKUP(2, 1/('OB History'!$B:$B=A5), 'OB History'!$AB:$AB)</f>
        <v>0.40689655172413791</v>
      </c>
      <c r="Q5" s="34">
        <f>SUMIFS('OB History'!H:H,'OB History'!B:B,A5)</f>
        <v>219</v>
      </c>
      <c r="R5" s="2">
        <f>SUMIFS('OB History'!G:G,'OB History'!B:B,A5)-Q5</f>
        <v>260</v>
      </c>
      <c r="S5" s="88">
        <f>LOOKUP(2, 1/('OB History'!$B:$B=A5), 'OB History'!$AC:$AC)</f>
        <v>0.44724137931034486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5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364</v>
      </c>
      <c r="I7" s="4">
        <f>AVERAGEIFS('OB History'!C:C,'OB History'!B:B,A7)</f>
        <v>12.551724137931034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13</v>
      </c>
      <c r="M7" s="88">
        <f>LOOKUP(2, 1/('OB History'!$B:$B=A7), 'OB History'!$AD:$AD)</f>
        <v>0.55172413793103448</v>
      </c>
      <c r="N7" s="34">
        <f>SUMIFS('OB History'!F:F,'OB History'!B:B,A7)</f>
        <v>56</v>
      </c>
      <c r="O7" s="2">
        <f>SUMIFS('OB History'!E:E,'OB History'!B:B,A7)-N7</f>
        <v>61</v>
      </c>
      <c r="P7" s="88">
        <f>LOOKUP(2, 1/('OB History'!$B:$B=A7), 'OB History'!$AB:$AB)</f>
        <v>0.45517241379310341</v>
      </c>
      <c r="Q7" s="34">
        <f>SUMIFS('OB History'!H:H,'OB History'!B:B,'Old Bow v2'!A7)</f>
        <v>232</v>
      </c>
      <c r="R7" s="2">
        <f>SUMIFS('OB History'!G:G,'OB History'!B:B,'Old Bow v2'!A7)-Q7</f>
        <v>248</v>
      </c>
      <c r="S7" s="88">
        <f>LOOKUP(2, 1/('OB History'!$B:$B=A7), 'OB History'!$AC:$AC)</f>
        <v>0.47241379310344839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180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42</v>
      </c>
      <c r="I10" s="4">
        <f>AVERAGEIFS('OB History'!C:C,'OB History'!B:B,A10)</f>
        <v>14</v>
      </c>
      <c r="J10" s="35">
        <f t="array" ref="J10">MAX(IF('OB History'!B:B=A10, 'OB History'!C:C))</f>
        <v>19</v>
      </c>
      <c r="K10" s="34">
        <f>COUNTIFS('OB History'!B:B,A10,'OB History'!D:D, 1)</f>
        <v>2</v>
      </c>
      <c r="L10" s="2">
        <f>COUNTIFS('OB History'!B:B,A10,'OB History'!D:D, 0)</f>
        <v>1</v>
      </c>
      <c r="M10" s="88">
        <f>LOOKUP(2, 1/('OB History'!$B:$B=A10), 'OB History'!$AD:$AD)</f>
        <v>0.66666666666666663</v>
      </c>
      <c r="N10" s="34">
        <f>SUMIFS('OB History'!F:F,'OB History'!B:B,A10)</f>
        <v>7</v>
      </c>
      <c r="O10" s="2">
        <f>SUMIFS('OB History'!E:E,'OB History'!B:B,A10)-N10</f>
        <v>3</v>
      </c>
      <c r="P10" s="88">
        <f>LOOKUP(2, 1/('OB History'!$B:$B=A10), 'OB History'!$AB:$AB)</f>
        <v>0.75</v>
      </c>
      <c r="Q10" s="34">
        <f>SUMIFS('OB History'!H:H,'OB History'!B:B,'Old Bow v2'!A10)</f>
        <v>23</v>
      </c>
      <c r="R10" s="2">
        <f>SUMIFS('OB History'!G:G,'OB History'!B:B,'Old Bow v2'!A10)-Q10</f>
        <v>20</v>
      </c>
      <c r="S10" s="88">
        <f>LOOKUP(2, 1/('OB History'!$B:$B=A10), 'OB History'!$AC:$AC)</f>
        <v>0.54666666666666663</v>
      </c>
      <c r="T10" s="2">
        <f>COUNTIFS('OB History'!$B:$B,$A$10,'OB History'!K:K, 1)</f>
        <v>0</v>
      </c>
      <c r="U10" s="2">
        <f>COUNTIFS('OB History'!$B:$B,$A$10,'OB History'!L:L, 1)</f>
        <v>1</v>
      </c>
      <c r="V10" s="2">
        <f>COUNTIFS('OB History'!$B:$B,$A$10,'OB History'!M:M, 1)</f>
        <v>0</v>
      </c>
      <c r="W10" s="2">
        <f>COUNTIFS('OB History'!$B:$B,$A$10,'OB History'!N:N, 1)</f>
        <v>1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0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0</v>
      </c>
      <c r="AG10" s="2">
        <f>COUNTIFS('OB History'!$B:$B,$A$10,'OB History'!X:X, 1)</f>
        <v>1</v>
      </c>
      <c r="AH10" s="2">
        <f>COUNTIFS('OB History'!$B:$B,$A$10,'OB History'!Y:Y, 1)</f>
        <v>0</v>
      </c>
      <c r="AI10" s="2">
        <f>COUNTIFS('OB History'!$B:$B,$A$10,'OB History'!Z:Z, 1)</f>
        <v>2</v>
      </c>
    </row>
    <row r="11" spans="1:35" x14ac:dyDescent="0.25">
      <c r="A11" s="2" t="s">
        <v>25</v>
      </c>
      <c r="B11" s="2" t="s">
        <v>79</v>
      </c>
      <c r="C11" s="2" t="s">
        <v>79</v>
      </c>
      <c r="D11" s="3">
        <v>1</v>
      </c>
      <c r="E11" s="3"/>
      <c r="F11" s="3"/>
      <c r="G11" s="3"/>
      <c r="H11" s="34">
        <f>SUMIFS('OB History'!C:C,'OB History'!B:B,A11)</f>
        <v>507</v>
      </c>
      <c r="I11" s="4">
        <f>AVERAGEIFS('OB History'!C:C,'OB History'!B:B,A11)</f>
        <v>17.482758620689655</v>
      </c>
      <c r="J11" s="35">
        <f t="array" ref="J11">MAX(IF('OB History'!B:B=A11, 'OB History'!C:C))</f>
        <v>35</v>
      </c>
      <c r="K11" s="34">
        <f>COUNTIFS('OB History'!B:B,A11,'OB History'!D:D, 1)</f>
        <v>17</v>
      </c>
      <c r="L11" s="2">
        <f>COUNTIFS('OB History'!B:B,A11,'OB History'!D:D, 0)</f>
        <v>12</v>
      </c>
      <c r="M11" s="88">
        <f>LOOKUP(2, 1/('OB History'!$B:$B=A11), 'OB History'!$AD:$AD)</f>
        <v>0.58620689655172409</v>
      </c>
      <c r="N11" s="34">
        <f>SUMIFS('OB History'!F:F,'OB History'!B:B,A11)</f>
        <v>67</v>
      </c>
      <c r="O11" s="2">
        <f>SUMIFS('OB History'!E:E,'OB History'!B:B,A11)-N11</f>
        <v>54</v>
      </c>
      <c r="P11" s="88">
        <f>LOOKUP(2, 1/('OB History'!$B:$B=A11), 'OB History'!$AB:$AB)</f>
        <v>0.56896551724137934</v>
      </c>
      <c r="Q11" s="34">
        <f>SUMIFS('OB History'!H:H,'OB History'!B:B,'Old Bow v2'!A11)</f>
        <v>259</v>
      </c>
      <c r="R11" s="2">
        <f>SUMIFS('OB History'!G:G,'OB History'!B:B,'Old Bow v2'!A11)-Q11</f>
        <v>245</v>
      </c>
      <c r="S11" s="88">
        <f>LOOKUP(2, 1/('OB History'!$B:$B=A11), 'OB History'!$AC:$AC)</f>
        <v>0.52482758620689662</v>
      </c>
      <c r="T11" s="2">
        <f>COUNTIFS('OB History'!$B:$B,$A$11,'OB History'!K:K, 1)</f>
        <v>4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7</v>
      </c>
      <c r="X11" s="2">
        <f>COUNTIFS('OB History'!$B:$B,$A$11,'OB History'!O:O, 1)</f>
        <v>1</v>
      </c>
      <c r="Y11" s="2">
        <f>COUNTIFS('OB History'!$B:$B,$A$11,'OB History'!P:P, 1)</f>
        <v>5</v>
      </c>
      <c r="Z11" s="2">
        <f>COUNTIFS('OB History'!$B:$B,$A$11,'OB History'!Q:Q, 1)</f>
        <v>6</v>
      </c>
      <c r="AA11" s="2">
        <f>COUNTIFS('OB History'!$B:$B,$A$11,'OB History'!R:R, 1)</f>
        <v>4</v>
      </c>
      <c r="AB11" s="2">
        <f>COUNTIFS('OB History'!$B:$B,$A$11,'OB History'!S:S, 1)</f>
        <v>2</v>
      </c>
      <c r="AC11" s="2">
        <f>COUNTIFS('OB History'!$B:$B,$A$11,'OB History'!T:T, 1)</f>
        <v>1</v>
      </c>
      <c r="AD11" s="2">
        <f>COUNTIFS('OB History'!$B:$B,$A$11,'OB History'!U:U, 1)</f>
        <v>0</v>
      </c>
      <c r="AE11" s="2">
        <f>COUNTIFS('OB History'!$B:$B,$A$11,'OB History'!V:V, 1)</f>
        <v>2</v>
      </c>
      <c r="AF11" s="2">
        <f>COUNTIFS('OB History'!$B:$B,$A$11,'OB History'!W:W, 1)</f>
        <v>5</v>
      </c>
      <c r="AG11" s="2">
        <f>COUNTIFS('OB History'!$B:$B,$A$11,'OB History'!X:X, 1)</f>
        <v>10</v>
      </c>
      <c r="AH11" s="2">
        <f>COUNTIFS('OB History'!$B:$B,$A$11,'OB History'!Y:Y, 1)</f>
        <v>6</v>
      </c>
      <c r="AI11" s="2">
        <f>COUNTIFS('OB History'!$B:$B,$A$11,'OB History'!Z:Z, 1)</f>
        <v>11</v>
      </c>
    </row>
    <row r="12" spans="1:35" x14ac:dyDescent="0.25">
      <c r="A12" s="2" t="s">
        <v>146</v>
      </c>
      <c r="B12" s="2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174</v>
      </c>
      <c r="I12" s="4">
        <f>AVERAGEIFS('OB History'!C:C,'OB History'!B:B,A12)</f>
        <v>13.384615384615385</v>
      </c>
      <c r="J12" s="35">
        <f t="array" ref="J12">MAX(IF('OB History'!B:B=A12, 'OB History'!C:C))</f>
        <v>27</v>
      </c>
      <c r="K12" s="34">
        <f>COUNTIFS('OB History'!B:B,A12,'OB History'!D:D, 1)</f>
        <v>3</v>
      </c>
      <c r="L12" s="2">
        <f>COUNTIFS('OB History'!B:B,A12,'OB History'!D:D, 0)</f>
        <v>10</v>
      </c>
      <c r="M12" s="88">
        <f>LOOKUP(2, 1/('OB History'!$B:$B=A12), 'OB History'!$AD:$AD)</f>
        <v>0.23076923076923078</v>
      </c>
      <c r="N12" s="34">
        <f>SUMIFS('OB History'!F:F,'OB History'!B:B,A12)</f>
        <v>20</v>
      </c>
      <c r="O12" s="2">
        <f>SUMIFS('OB History'!E:E,'OB History'!B:B,A12)-N12</f>
        <v>34</v>
      </c>
      <c r="P12" s="88">
        <f>LOOKUP(2, 1/('OB History'!$B:$B=A12), 'OB History'!$AB:$AB)</f>
        <v>0.35</v>
      </c>
      <c r="Q12" s="34">
        <f>SUMIFS('OB History'!H:H,'OB History'!B:B,'Old Bow v2'!A12)</f>
        <v>103</v>
      </c>
      <c r="R12" s="2">
        <f>SUMIFS('OB History'!G:G,'OB History'!B:B,'Old Bow v2'!A12)-Q12</f>
        <v>127</v>
      </c>
      <c r="S12" s="88">
        <f>LOOKUP(2, 1/('OB History'!$B:$B=A12), 'OB History'!$AC:$AC)</f>
        <v>0.44153846153846149</v>
      </c>
      <c r="T12" s="2">
        <f>COUNTIFS('OB History'!$B:$B,$A$12,'OB History'!K:K, 1)</f>
        <v>1</v>
      </c>
      <c r="U12" s="2">
        <f>COUNTIFS('OB History'!$B:$B,$A$12,'OB History'!L:L, 1)</f>
        <v>1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0</v>
      </c>
      <c r="Y12" s="2">
        <f>COUNTIFS('OB History'!$B:$B,$A$12,'OB History'!P:P, 1)</f>
        <v>1</v>
      </c>
      <c r="Z12" s="2">
        <f>COUNTIFS('OB History'!$B:$B,$A$12,'OB History'!Q:Q, 1)</f>
        <v>1</v>
      </c>
      <c r="AA12" s="2">
        <f>COUNTIFS('OB History'!$B:$B,$A$12,'OB History'!R:R, 1)</f>
        <v>1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1</v>
      </c>
      <c r="AF12" s="2">
        <f>COUNTIFS('OB History'!$B:$B,$A$12,'OB History'!W:W, 1)</f>
        <v>2</v>
      </c>
      <c r="AG12" s="2">
        <f>COUNTIFS('OB History'!$B:$B,$A$12,'OB History'!X:X, 1)</f>
        <v>5</v>
      </c>
      <c r="AH12" s="2">
        <f>COUNTIFS('OB History'!$B:$B,$A$12,'OB History'!Y:Y, 1)</f>
        <v>2</v>
      </c>
      <c r="AI12" s="2">
        <f>COUNTIFS('OB History'!$B:$B,$A$12,'OB History'!Z:Z, 1)</f>
        <v>0</v>
      </c>
    </row>
    <row r="13" spans="1:35" x14ac:dyDescent="0.25">
      <c r="A13" s="2" t="s">
        <v>27</v>
      </c>
      <c r="B13" s="6" t="s">
        <v>76</v>
      </c>
      <c r="C13" s="6" t="s">
        <v>79</v>
      </c>
      <c r="D13" s="3">
        <v>2</v>
      </c>
      <c r="E13" s="3"/>
      <c r="F13" s="3"/>
      <c r="G13" s="3"/>
      <c r="H13" s="34">
        <f>SUMIFS('OB History'!C:C,'OB History'!B:B,A13)</f>
        <v>394</v>
      </c>
      <c r="I13" s="4">
        <f>AVERAGEIFS('OB History'!C:C,'OB History'!B:B,A13)</f>
        <v>15.153846153846153</v>
      </c>
      <c r="J13" s="35">
        <f t="array" ref="J13">MAX(IF('OB History'!B:B=A13, 'OB History'!C:C))</f>
        <v>44</v>
      </c>
      <c r="K13" s="34">
        <f>COUNTIFS('OB History'!B:B,A13,'OB History'!D:D, 1)</f>
        <v>15</v>
      </c>
      <c r="L13" s="2">
        <f>COUNTIFS('OB History'!B:B,A13,'OB History'!D:D, 0)</f>
        <v>11</v>
      </c>
      <c r="M13" s="88">
        <f>LOOKUP(2, 1/('OB History'!$B:$B=A13), 'OB History'!$AD:$AD)</f>
        <v>0.57692307692307687</v>
      </c>
      <c r="N13" s="34">
        <f>SUMIFS('OB History'!F:F,'OB History'!B:B,A13)</f>
        <v>56</v>
      </c>
      <c r="O13" s="2">
        <f>SUMIFS('OB History'!E:E,'OB History'!B:B,A13)-N13</f>
        <v>50</v>
      </c>
      <c r="P13" s="88">
        <f>LOOKUP(2, 1/('OB History'!$B:$B=A13), 'OB History'!$AB:$AB)</f>
        <v>0.52692307692307694</v>
      </c>
      <c r="Q13" s="34">
        <f>SUMIFS('OB History'!H:H,'OB History'!B:B,'Old Bow v2'!A13)</f>
        <v>222</v>
      </c>
      <c r="R13" s="2">
        <f>SUMIFS('OB History'!G:G,'OB History'!B:B,'Old Bow v2'!A13)-Q13</f>
        <v>211</v>
      </c>
      <c r="S13" s="88">
        <f>LOOKUP(2, 1/('OB History'!$B:$B=A13), 'OB History'!$AC:$AC)</f>
        <v>0.5146153846153847</v>
      </c>
      <c r="T13" s="2">
        <f>COUNTIFS('OB History'!$B:$B,$A$13,'OB History'!K:K, 1)</f>
        <v>0</v>
      </c>
      <c r="U13" s="2">
        <f>COUNTIFS('OB History'!$B:$B,$A$13,'OB History'!L:L, 1)</f>
        <v>3</v>
      </c>
      <c r="V13" s="2">
        <f>COUNTIFS('OB History'!$B:$B,$A$13,'OB History'!M:M, 1)</f>
        <v>2</v>
      </c>
      <c r="W13" s="2">
        <f>COUNTIFS('OB History'!$B:$B,$A$13,'OB History'!N:N, 1)</f>
        <v>4</v>
      </c>
      <c r="X13" s="2">
        <f>COUNTIFS('OB History'!$B:$B,$A$13,'OB History'!O:O, 1)</f>
        <v>3</v>
      </c>
      <c r="Y13" s="2">
        <f>COUNTIFS('OB History'!$B:$B,$A$13,'OB History'!P:P, 1)</f>
        <v>7</v>
      </c>
      <c r="Z13" s="2">
        <f>COUNTIFS('OB History'!$B:$B,$A$13,'OB History'!Q:Q, 1)</f>
        <v>4</v>
      </c>
      <c r="AA13" s="2">
        <f>COUNTIFS('OB History'!$B:$B,$A$13,'OB History'!R:R, 1)</f>
        <v>3</v>
      </c>
      <c r="AB13" s="2">
        <f>COUNTIFS('OB History'!$B:$B,$A$13,'OB History'!S:S, 1)</f>
        <v>0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1</v>
      </c>
      <c r="AF13" s="2">
        <f>COUNTIFS('OB History'!$B:$B,$A$13,'OB History'!W:W, 1)</f>
        <v>6</v>
      </c>
      <c r="AG13" s="2">
        <f>COUNTIFS('OB History'!$B:$B,$A$13,'OB History'!X:X, 1)</f>
        <v>9</v>
      </c>
      <c r="AH13" s="2">
        <f>COUNTIFS('OB History'!$B:$B,$A$13,'OB History'!Y:Y, 1)</f>
        <v>5</v>
      </c>
      <c r="AI13" s="2">
        <f>COUNTIFS('OB History'!$B:$B,$A$13,'OB History'!Z:Z, 1)</f>
        <v>7</v>
      </c>
    </row>
    <row r="14" spans="1:35" x14ac:dyDescent="0.25">
      <c r="A14" s="2" t="s">
        <v>26</v>
      </c>
      <c r="B14" s="6" t="s">
        <v>124</v>
      </c>
      <c r="C14" s="6" t="s">
        <v>79</v>
      </c>
      <c r="D14" s="3"/>
      <c r="E14" s="3"/>
      <c r="F14" s="3"/>
      <c r="G14" s="3"/>
      <c r="H14" s="34">
        <f>SUMIFS('OB History'!C:C,'OB History'!B:B,A14)</f>
        <v>463</v>
      </c>
      <c r="I14" s="4">
        <f>AVERAGEIFS('OB History'!C:C,'OB History'!B:B,A14)</f>
        <v>13.617647058823529</v>
      </c>
      <c r="J14" s="35">
        <f t="array" ref="J14">MAX(IF('OB History'!B:B=A14, 'OB History'!C:C))</f>
        <v>41</v>
      </c>
      <c r="K14" s="34">
        <f>COUNTIFS('OB History'!B:B,A14,'OB History'!D:D, 1)</f>
        <v>23</v>
      </c>
      <c r="L14" s="2">
        <f>COUNTIFS('OB History'!B:B,A14,'OB History'!D:D, 0)</f>
        <v>11</v>
      </c>
      <c r="M14" s="88">
        <f>LOOKUP(2, 1/('OB History'!$B:$B=A14), 'OB History'!$AD:$AD)</f>
        <v>0.67647058823529416</v>
      </c>
      <c r="N14" s="34">
        <f>SUMIFS('OB History'!F:F,'OB History'!B:B,A14)</f>
        <v>84</v>
      </c>
      <c r="O14" s="2">
        <f>SUMIFS('OB History'!E:E,'OB History'!B:B,A14)-N14</f>
        <v>55</v>
      </c>
      <c r="P14" s="88">
        <f>LOOKUP(2, 1/('OB History'!$B:$B=A14), 'OB History'!$AB:$AB)</f>
        <v>0.62794117647058822</v>
      </c>
      <c r="Q14" s="34">
        <f>SUMIFS('OB History'!H:H,'OB History'!B:B,'Old Bow v2'!A14)</f>
        <v>316</v>
      </c>
      <c r="R14" s="2">
        <f>SUMIFS('OB History'!G:G,'OB History'!B:B,'Old Bow v2'!A14)-Q14</f>
        <v>260</v>
      </c>
      <c r="S14" s="88">
        <f>LOOKUP(2, 1/('OB History'!$B:$B=A14), 'OB History'!$AC:$AC)</f>
        <v>0.55823529411764705</v>
      </c>
      <c r="T14" s="2">
        <f>COUNTIFS('OB History'!$B:$B,$A$14,'OB History'!K:K, 1)</f>
        <v>2</v>
      </c>
      <c r="U14" s="2">
        <f>COUNTIFS('OB History'!$B:$B,$A$14,'OB History'!L:L, 1)</f>
        <v>6</v>
      </c>
      <c r="V14" s="2">
        <f>COUNTIFS('OB History'!$B:$B,$A$14,'OB History'!M:M, 1)</f>
        <v>3</v>
      </c>
      <c r="W14" s="2">
        <f>COUNTIFS('OB History'!$B:$B,$A$14,'OB History'!N:N, 1)</f>
        <v>10</v>
      </c>
      <c r="X14" s="2">
        <f>COUNTIFS('OB History'!$B:$B,$A$14,'OB History'!O:O, 1)</f>
        <v>4</v>
      </c>
      <c r="Y14" s="2">
        <f>COUNTIFS('OB History'!$B:$B,$A$14,'OB History'!P:P, 1)</f>
        <v>13</v>
      </c>
      <c r="Z14" s="2">
        <f>COUNTIFS('OB History'!$B:$B,$A$14,'OB History'!Q:Q, 1)</f>
        <v>5</v>
      </c>
      <c r="AA14" s="2">
        <f>COUNTIFS('OB History'!$B:$B,$A$14,'OB History'!R:R, 1)</f>
        <v>4</v>
      </c>
      <c r="AB14" s="2">
        <f>COUNTIFS('OB History'!$B:$B,$A$14,'OB History'!S:S, 1)</f>
        <v>2</v>
      </c>
      <c r="AC14" s="2">
        <f>COUNTIFS('OB History'!$B:$B,$A$14,'OB History'!T:T, 1)</f>
        <v>2</v>
      </c>
      <c r="AD14" s="2">
        <f>COUNTIFS('OB History'!$B:$B,$A$14,'OB History'!U:U, 1)</f>
        <v>1</v>
      </c>
      <c r="AE14" s="2">
        <f>COUNTIFS('OB History'!$B:$B,$A$14,'OB History'!V:V, 1)</f>
        <v>3</v>
      </c>
      <c r="AF14" s="2">
        <f>COUNTIFS('OB History'!$B:$B,$A$14,'OB History'!W:W, 1)</f>
        <v>6</v>
      </c>
      <c r="AG14" s="2">
        <f>COUNTIFS('OB History'!$B:$B,$A$14,'OB History'!X:X, 1)</f>
        <v>8</v>
      </c>
      <c r="AH14" s="2">
        <f>COUNTIFS('OB History'!$B:$B,$A$14,'OB History'!Y:Y, 1)</f>
        <v>6</v>
      </c>
      <c r="AI14" s="2">
        <f>COUNTIFS('OB History'!$B:$B,$A$14,'OB History'!Z:Z, 1)</f>
        <v>9</v>
      </c>
    </row>
    <row r="15" spans="1:35" x14ac:dyDescent="0.25">
      <c r="A15" s="2" t="s">
        <v>74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10</v>
      </c>
      <c r="I15" s="4">
        <f>AVERAGEIFS('OB History'!C:C,'OB History'!B:B,A15)</f>
        <v>10</v>
      </c>
      <c r="J15" s="35">
        <f t="array" ref="J15">MAX(IF('OB History'!B:B=A15, 'OB History'!C:C))</f>
        <v>10</v>
      </c>
      <c r="K15" s="34">
        <f>COUNTIFS('OB History'!B:B,A15,'OB History'!D:D, 1)</f>
        <v>0</v>
      </c>
      <c r="L15" s="2">
        <f>COUNTIFS('OB History'!B:B,A15,'OB History'!D:D, 0)</f>
        <v>1</v>
      </c>
      <c r="M15" s="88">
        <f>LOOKUP(2, 1/('OB History'!$B:$B=A15), 'OB History'!$AD:$AD)</f>
        <v>0</v>
      </c>
      <c r="N15" s="34">
        <f>SUMIFS('OB History'!F:F,'OB History'!B:B,A15)</f>
        <v>2</v>
      </c>
      <c r="O15" s="2">
        <f>SUMIFS('OB History'!E:E,'OB History'!B:B,A15)-N15</f>
        <v>3</v>
      </c>
      <c r="P15" s="88">
        <f>LOOKUP(2, 1/('OB History'!$B:$B=A15), 'OB History'!$AB:$AB)</f>
        <v>0.4</v>
      </c>
      <c r="Q15" s="34">
        <f>SUMIFS('OB History'!H:H,'OB History'!B:B,'Old Bow v2'!A15)</f>
        <v>6</v>
      </c>
      <c r="R15" s="2">
        <f>SUMIFS('OB History'!G:G,'OB History'!B:B,'Old Bow v2'!A15)-Q15</f>
        <v>14</v>
      </c>
      <c r="S15" s="88">
        <f>LOOKUP(2, 1/('OB History'!$B:$B=A15), 'OB History'!$AC:$AC)</f>
        <v>0.3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0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0</v>
      </c>
      <c r="Z15" s="2">
        <f>COUNTIFS('OB History'!$B:$B,$A$15,'OB History'!Q:Q, 1)</f>
        <v>0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1</v>
      </c>
      <c r="AG15" s="2">
        <f>COUNTIFS('OB History'!$B:$B,$A$15,'OB History'!X:X, 1)</f>
        <v>0</v>
      </c>
      <c r="AH15" s="2">
        <f>COUNTIFS('OB History'!$B:$B,$A$15,'OB History'!Y:Y, 1)</f>
        <v>1</v>
      </c>
      <c r="AI15" s="2">
        <f>COUNTIFS('OB History'!$B:$B,$A$15,'OB History'!Z:Z, 1)</f>
        <v>0</v>
      </c>
    </row>
    <row r="16" spans="1:35" x14ac:dyDescent="0.25">
      <c r="A16" s="2" t="s">
        <v>152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63</v>
      </c>
      <c r="I16" s="4">
        <f>AVERAGEIFS('OB History'!C:C,'OB History'!B:B,A16)</f>
        <v>15.75</v>
      </c>
      <c r="J16" s="35">
        <f t="array" ref="J16">MAX(IF('OB History'!B:B=A16, 'OB History'!C:C))</f>
        <v>19</v>
      </c>
      <c r="K16" s="34">
        <f>COUNTIFS('OB History'!B:B,A16,'OB History'!D:D, 1)</f>
        <v>1</v>
      </c>
      <c r="L16" s="2">
        <f>COUNTIFS('OB History'!B:B,A16,'OB History'!D:D, 0)</f>
        <v>3</v>
      </c>
      <c r="M16" s="88">
        <f>LOOKUP(2, 1/('OB History'!$B:$B=A16), 'OB History'!$AD:$AD)</f>
        <v>0.25</v>
      </c>
      <c r="N16" s="34">
        <f>SUMIFS('OB History'!F:F,'OB History'!B:B,A16)</f>
        <v>7</v>
      </c>
      <c r="O16" s="2">
        <f>SUMIFS('OB History'!E:E,'OB History'!B:B,A16)-N16</f>
        <v>10</v>
      </c>
      <c r="P16" s="88">
        <f>LOOKUP(2, 1/('OB History'!$B:$B=A16), 'OB History'!$AB:$AB)</f>
        <v>0.38750000000000001</v>
      </c>
      <c r="Q16" s="34">
        <f>SUMIFS('OB History'!H:H,'OB History'!B:B,'Old Bow v2'!A16)</f>
        <v>33</v>
      </c>
      <c r="R16" s="2">
        <f>SUMIFS('OB History'!G:G,'OB History'!B:B,'Old Bow v2'!A16)-Q16</f>
        <v>41</v>
      </c>
      <c r="S16" s="88">
        <f>LOOKUP(2, 1/('OB History'!$B:$B=A16), 'OB History'!$AC:$AC)</f>
        <v>0.42749999999999999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1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1</v>
      </c>
      <c r="Z16" s="2">
        <f>COUNTIFS('OB History'!$B:$B,$A$16,'OB History'!Q:Q, 1)</f>
        <v>2</v>
      </c>
      <c r="AA16" s="2">
        <f>COUNTIFS('OB History'!$B:$B,$A$16,'OB History'!R:R, 1)</f>
        <v>1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0</v>
      </c>
      <c r="AG16" s="2">
        <f>COUNTIFS('OB History'!$B:$B,$A$16,'OB History'!X:X, 1)</f>
        <v>1</v>
      </c>
      <c r="AH16" s="2">
        <f>COUNTIFS('OB History'!$B:$B,$A$16,'OB History'!Y:Y, 1)</f>
        <v>0</v>
      </c>
      <c r="AI16" s="2">
        <f>COUNTIFS('OB History'!$B:$B,$A$16,'OB History'!Z:Z, 1)</f>
        <v>1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3"/>
      <c r="E17" s="3"/>
      <c r="F17" s="3"/>
      <c r="G17" s="3"/>
      <c r="H17" s="34">
        <f>SUMIFS('OB History'!C:C,'OB History'!B:B,A17)</f>
        <v>280</v>
      </c>
      <c r="I17" s="4">
        <f>AVERAGEIFS('OB History'!C:C,'OB History'!B:B,A17)</f>
        <v>12.727272727272727</v>
      </c>
      <c r="J17" s="35">
        <f t="array" ref="J17">MAX(IF('OB History'!B:B=A17, 'OB History'!C:C))</f>
        <v>26</v>
      </c>
      <c r="K17" s="34">
        <f>COUNTIFS('OB History'!B:B,A17,'OB History'!D:D, 1)</f>
        <v>9</v>
      </c>
      <c r="L17" s="2">
        <f>COUNTIFS('OB History'!B:B,A17,'OB History'!D:D, 0)</f>
        <v>13</v>
      </c>
      <c r="M17" s="88">
        <f>LOOKUP(2, 1/('OB History'!$B:$B=A17), 'OB History'!$AD:$AD)</f>
        <v>0.40909090909090912</v>
      </c>
      <c r="N17" s="34">
        <f>SUMIFS('OB History'!F:F,'OB History'!B:B,A17)</f>
        <v>44</v>
      </c>
      <c r="O17" s="2">
        <f>SUMIFS('OB History'!E:E,'OB History'!B:B,A17)-N17</f>
        <v>50</v>
      </c>
      <c r="P17" s="88">
        <f>LOOKUP(2, 1/('OB History'!$B:$B=A17), 'OB History'!$AB:$AB)</f>
        <v>0.46363636363636368</v>
      </c>
      <c r="Q17" s="34">
        <f>SUMIFS('OB History'!H:H,'OB History'!B:B,'Old Bow v2'!A17)</f>
        <v>182</v>
      </c>
      <c r="R17" s="2">
        <f>SUMIFS('OB History'!G:G,'OB History'!B:B,'Old Bow v2'!A17)-Q17</f>
        <v>196</v>
      </c>
      <c r="S17" s="88">
        <f>LOOKUP(2, 1/('OB History'!$B:$B=A17), 'OB History'!$AC:$AC)</f>
        <v>0.48136363636363644</v>
      </c>
      <c r="T17" s="2">
        <f>COUNTIFS('OB History'!$B:$B,$A$17,'OB History'!K:K, 1)</f>
        <v>1</v>
      </c>
      <c r="U17" s="2">
        <f>COUNTIFS('OB History'!$B:$B,$A$17,'OB History'!L:L, 1)</f>
        <v>3</v>
      </c>
      <c r="V17" s="2">
        <f>COUNTIFS('OB History'!$B:$B,$A$17,'OB History'!M:M, 1)</f>
        <v>2</v>
      </c>
      <c r="W17" s="2">
        <f>COUNTIFS('OB History'!$B:$B,$A$17,'OB History'!N:N, 1)</f>
        <v>7</v>
      </c>
      <c r="X17" s="2">
        <f>COUNTIFS('OB History'!$B:$B,$A$17,'OB History'!O:O, 1)</f>
        <v>0</v>
      </c>
      <c r="Y17" s="2">
        <f>COUNTIFS('OB History'!$B:$B,$A$17,'OB History'!P:P, 1)</f>
        <v>5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1</v>
      </c>
      <c r="AC17" s="2">
        <f>COUNTIFS('OB History'!$B:$B,$A$17,'OB History'!T:T, 1)</f>
        <v>1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3</v>
      </c>
      <c r="AG17" s="2">
        <f>COUNTIFS('OB History'!$B:$B,$A$17,'OB History'!X:X, 1)</f>
        <v>7</v>
      </c>
      <c r="AH17" s="2">
        <f>COUNTIFS('OB History'!$B:$B,$A$17,'OB History'!Y:Y, 1)</f>
        <v>6</v>
      </c>
      <c r="AI17" s="2">
        <f>COUNTIFS('OB History'!$B:$B,$A$17,'OB History'!Z:Z, 1)</f>
        <v>8</v>
      </c>
    </row>
    <row r="18" spans="1:35" x14ac:dyDescent="0.25">
      <c r="A18" s="2" t="s">
        <v>50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43</v>
      </c>
      <c r="I18" s="4">
        <f>AVERAGEIFS('OB History'!C:C,'OB History'!B:B,A18)</f>
        <v>14.333333333333334</v>
      </c>
      <c r="J18" s="35">
        <f t="array" ref="J18">MAX(IF('OB History'!B:B=A18, 'OB History'!C:C))</f>
        <v>17</v>
      </c>
      <c r="K18" s="34">
        <f>COUNTIFS('OB History'!B:B,A18,'OB History'!D:D, 1)</f>
        <v>0</v>
      </c>
      <c r="L18" s="2">
        <f>COUNTIFS('OB History'!B:B,A18,'OB History'!D:D, 0)</f>
        <v>3</v>
      </c>
      <c r="M18" s="88">
        <f>LOOKUP(2, 1/('OB History'!$B:$B=A18), 'OB History'!$AD:$AD)</f>
        <v>0</v>
      </c>
      <c r="N18" s="34">
        <f>SUMIFS('OB History'!F:F,'OB History'!B:B,A18)</f>
        <v>4</v>
      </c>
      <c r="O18" s="2">
        <f>SUMIFS('OB History'!E:E,'OB History'!B:B,A18)-N18</f>
        <v>9</v>
      </c>
      <c r="P18" s="88">
        <f>LOOKUP(2, 1/('OB History'!$B:$B=A18), 'OB History'!$AB:$AB)</f>
        <v>0.3</v>
      </c>
      <c r="Q18" s="34">
        <f>SUMIFS('OB History'!H:H,'OB History'!B:B,'Old Bow v2'!A18)</f>
        <v>24</v>
      </c>
      <c r="R18" s="2">
        <f>SUMIFS('OB History'!G:G,'OB History'!B:B,'Old Bow v2'!A18)-Q18</f>
        <v>32</v>
      </c>
      <c r="S18" s="88">
        <f>LOOKUP(2, 1/('OB History'!$B:$B=A18), 'OB History'!$AC:$AC)</f>
        <v>0.41666666666666669</v>
      </c>
      <c r="T18" s="2">
        <f>COUNTIFS('OB History'!$B:$B,$A$18,'OB History'!K:K, 1)</f>
        <v>1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2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1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2" t="s">
        <v>52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39</v>
      </c>
      <c r="I19" s="4">
        <f>AVERAGEIFS('OB History'!C:C,'OB History'!B:B,A19)</f>
        <v>19.5</v>
      </c>
      <c r="J19" s="35">
        <f t="array" ref="J19">MAX(IF('OB History'!B:B=A19, 'OB History'!C:C))</f>
        <v>34</v>
      </c>
      <c r="K19" s="34">
        <f>COUNTIFS('OB History'!B:B,A19,'OB History'!D:D, 1)</f>
        <v>0</v>
      </c>
      <c r="L19" s="2">
        <f>COUNTIFS('OB History'!B:B,A19,'OB History'!D:D, 0)</f>
        <v>2</v>
      </c>
      <c r="M19" s="88">
        <f>LOOKUP(2, 1/('OB History'!$B:$B=A19), 'OB History'!$AD:$AD)</f>
        <v>0</v>
      </c>
      <c r="N19" s="34">
        <f>SUMIFS('OB History'!F:F,'OB History'!B:B,A19)</f>
        <v>2</v>
      </c>
      <c r="O19" s="2">
        <f>SUMIFS('OB History'!E:E,'OB History'!B:B,A19)-N19</f>
        <v>6</v>
      </c>
      <c r="P19" s="88">
        <f>LOOKUP(2, 1/('OB History'!$B:$B=A19), 'OB History'!$AB:$AB)</f>
        <v>0.2</v>
      </c>
      <c r="Q19" s="34">
        <f>SUMIFS('OB History'!H:H,'OB History'!B:B,'Old Bow v2'!A19)</f>
        <v>12</v>
      </c>
      <c r="R19" s="2">
        <f>SUMIFS('OB History'!G:G,'OB History'!B:B,'Old Bow v2'!A19)-Q19</f>
        <v>22</v>
      </c>
      <c r="S19" s="88">
        <f>LOOKUP(2, 1/('OB History'!$B:$B=A19), 'OB History'!$AC:$AC)</f>
        <v>0.34499999999999997</v>
      </c>
      <c r="T19" s="2">
        <f>COUNTIFS('OB History'!$B:$B,$A$19,'OB History'!K:K, 1)</f>
        <v>0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0</v>
      </c>
      <c r="AG19" s="2">
        <f>COUNTIFS('OB History'!$B:$B,$A$19,'OB History'!X:X, 1)</f>
        <v>1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x14ac:dyDescent="0.25">
      <c r="A20" s="1" t="s">
        <v>44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96</v>
      </c>
      <c r="I20" s="4">
        <f>AVERAGEIFS('OB History'!C:C,'OB History'!B:B,A20)</f>
        <v>16</v>
      </c>
      <c r="J20" s="35">
        <f t="array" ref="J20">MAX(IF('OB History'!B:B=A20, 'OB History'!C:C))</f>
        <v>28</v>
      </c>
      <c r="K20" s="34">
        <f>COUNTIFS('OB History'!B:B,A20,'OB History'!D:D, 1)</f>
        <v>6</v>
      </c>
      <c r="L20" s="2">
        <f>COUNTIFS('OB History'!B:B,A20,'OB History'!D:D, 0)</f>
        <v>0</v>
      </c>
      <c r="M20" s="88">
        <f>LOOKUP(2, 1/('OB History'!$B:$B=A20), 'OB History'!$AD:$AD)</f>
        <v>1</v>
      </c>
      <c r="N20" s="34">
        <f>SUMIFS('OB History'!F:F,'OB History'!B:B,A20)</f>
        <v>18</v>
      </c>
      <c r="O20" s="2">
        <f>SUMIFS('OB History'!E:E,'OB History'!B:B,A20)-N20</f>
        <v>5</v>
      </c>
      <c r="P20" s="88">
        <f>LOOKUP(2, 1/('OB History'!$B:$B=A20), 'OB History'!$AB:$AB)</f>
        <v>0.82500000000000007</v>
      </c>
      <c r="Q20" s="34">
        <f>SUMIFS('OB History'!H:H,'OB History'!B:B,'Old Bow v2'!A20)</f>
        <v>61</v>
      </c>
      <c r="R20" s="2">
        <f>SUMIFS('OB History'!G:G,'OB History'!B:B,'Old Bow v2'!A20)-Q20</f>
        <v>36</v>
      </c>
      <c r="S20" s="88">
        <f>LOOKUP(2, 1/('OB History'!$B:$B=A20), 'OB History'!$AC:$AC)</f>
        <v>0.64333333333333331</v>
      </c>
      <c r="T20" s="2">
        <f>COUNTIFS('OB History'!$B:$B,$A$20,'OB History'!K:K, 1)</f>
        <v>0</v>
      </c>
      <c r="U20" s="2">
        <f>COUNTIFS('OB History'!$B:$B,$A$20,'OB History'!L:L, 1)</f>
        <v>2</v>
      </c>
      <c r="V20" s="2">
        <f>COUNTIFS('OB History'!$B:$B,$A$20,'OB History'!M:M, 1)</f>
        <v>2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1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4</v>
      </c>
      <c r="AH20" s="2">
        <f>COUNTIFS('OB History'!$B:$B,$A$20,'OB History'!Y:Y, 1)</f>
        <v>3</v>
      </c>
      <c r="AI20" s="2">
        <f>COUNTIFS('OB History'!$B:$B,$A$20,'OB History'!Z:Z, 1)</f>
        <v>2</v>
      </c>
    </row>
    <row r="21" spans="1:35" x14ac:dyDescent="0.25">
      <c r="A21" s="2" t="s">
        <v>1</v>
      </c>
      <c r="B21" s="6" t="s">
        <v>124</v>
      </c>
      <c r="C21" s="2" t="s">
        <v>79</v>
      </c>
      <c r="D21" s="3"/>
      <c r="E21" s="3"/>
      <c r="F21" s="3"/>
      <c r="G21" s="3"/>
      <c r="H21" s="34">
        <f>SUMIFS('OB History'!C:C,'OB History'!B:B,A21)</f>
        <v>309</v>
      </c>
      <c r="I21" s="4">
        <f>AVERAGEIFS('OB History'!C:C,'OB History'!B:B,A21)</f>
        <v>23.76923076923077</v>
      </c>
      <c r="J21" s="35">
        <f t="array" ref="J21">MAX(IF('OB History'!B:B=A21, 'OB History'!C:C))</f>
        <v>37</v>
      </c>
      <c r="K21" s="34">
        <f>COUNTIFS('OB History'!B:B,A21,'OB History'!D:D, 1)</f>
        <v>8</v>
      </c>
      <c r="L21" s="2">
        <f>COUNTIFS('OB History'!B:B,A21,'OB History'!D:D, 0)</f>
        <v>5</v>
      </c>
      <c r="M21" s="88">
        <f>LOOKUP(2, 1/('OB History'!$B:$B=A21), 'OB History'!$AD:$AD)</f>
        <v>0.61538461538461542</v>
      </c>
      <c r="N21" s="34">
        <f>SUMIFS('OB History'!F:F,'OB History'!B:B,A21)</f>
        <v>30</v>
      </c>
      <c r="O21" s="2">
        <f>SUMIFS('OB History'!E:E,'OB History'!B:B,A21)-N21</f>
        <v>26</v>
      </c>
      <c r="P21" s="88">
        <f>LOOKUP(2, 1/('OB History'!$B:$B=A21), 'OB History'!$AB:$AB)</f>
        <v>0.5346153846153846</v>
      </c>
      <c r="Q21" s="34">
        <f>SUMIFS('OB History'!H:H,'OB History'!B:B,'Old Bow v2'!A21)</f>
        <v>116</v>
      </c>
      <c r="R21" s="2">
        <f>SUMIFS('OB History'!G:G,'OB History'!B:B,'Old Bow v2'!A21)-Q21</f>
        <v>117</v>
      </c>
      <c r="S21" s="88">
        <f>LOOKUP(2, 1/('OB History'!$B:$B=A21), 'OB History'!$AC:$AC)</f>
        <v>0.49230769230769234</v>
      </c>
      <c r="T21" s="2">
        <f>COUNTIFS('OB History'!$B:$B,$A$21,'OB History'!K:K, 1)</f>
        <v>0</v>
      </c>
      <c r="U21" s="2">
        <f>COUNTIFS('OB History'!$B:$B,$A$21,'OB History'!L:L, 1)</f>
        <v>3</v>
      </c>
      <c r="V21" s="2">
        <f>COUNTIFS('OB History'!$B:$B,$A$21,'OB History'!M:M, 1)</f>
        <v>4</v>
      </c>
      <c r="W21" s="2">
        <f>COUNTIFS('OB History'!$B:$B,$A$21,'OB History'!N:N, 1)</f>
        <v>1</v>
      </c>
      <c r="X21" s="2">
        <f>COUNTIFS('OB History'!$B:$B,$A$21,'OB History'!O:O, 1)</f>
        <v>2</v>
      </c>
      <c r="Y21" s="2">
        <f>COUNTIFS('OB History'!$B:$B,$A$21,'OB History'!P:P, 1)</f>
        <v>2</v>
      </c>
      <c r="Z21" s="2">
        <f>COUNTIFS('OB History'!$B:$B,$A$21,'OB History'!Q:Q, 1)</f>
        <v>0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4</v>
      </c>
      <c r="AG21" s="2">
        <f>COUNTIFS('OB History'!$B:$B,$A$21,'OB History'!X:X, 1)</f>
        <v>4</v>
      </c>
      <c r="AH21" s="2">
        <f>COUNTIFS('OB History'!$B:$B,$A$21,'OB History'!Y:Y, 1)</f>
        <v>4</v>
      </c>
      <c r="AI21" s="2">
        <f>COUNTIFS('OB History'!$B:$B,$A$21,'OB History'!Z:Z, 1)</f>
        <v>5</v>
      </c>
    </row>
    <row r="22" spans="1:35" x14ac:dyDescent="0.25">
      <c r="A22" s="2" t="s">
        <v>150</v>
      </c>
      <c r="B22" s="6" t="s">
        <v>79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167</v>
      </c>
      <c r="I22" s="4">
        <f>AVERAGEIFS('OB History'!C:C,'OB History'!B:B,A22)</f>
        <v>18.555555555555557</v>
      </c>
      <c r="J22" s="35">
        <f t="array" ref="J22">MAX(IF('OB History'!B:B=A22, 'OB History'!C:C))</f>
        <v>26</v>
      </c>
      <c r="K22" s="34">
        <f>COUNTIFS('OB History'!B:B,A22,'OB History'!D:D, 1)</f>
        <v>8</v>
      </c>
      <c r="L22" s="2">
        <f>COUNTIFS('OB History'!B:B,A22,'OB History'!D:D, 0)</f>
        <v>1</v>
      </c>
      <c r="M22" s="88">
        <f>LOOKUP(2, 1/('OB History'!$B:$B=A22), 'OB History'!$AD:$AD)</f>
        <v>0.88888888888888884</v>
      </c>
      <c r="N22" s="34">
        <f>SUMIFS('OB History'!F:F,'OB History'!B:B,A22)</f>
        <v>26</v>
      </c>
      <c r="O22" s="2">
        <f>SUMIFS('OB History'!E:E,'OB History'!B:B,A22)-N22</f>
        <v>11</v>
      </c>
      <c r="P22" s="88">
        <f>LOOKUP(2, 1/('OB History'!$B:$B=A22), 'OB History'!$AB:$AB)</f>
        <v>0.73333333333333328</v>
      </c>
      <c r="Q22" s="34">
        <f>SUMIFS('OB History'!H:H,'OB History'!B:B,'Old Bow v2'!A22)</f>
        <v>96</v>
      </c>
      <c r="R22" s="2">
        <f>SUMIFS('OB History'!G:G,'OB History'!B:B,'Old Bow v2'!A22)-Q22</f>
        <v>53</v>
      </c>
      <c r="S22" s="88">
        <f>LOOKUP(2, 1/('OB History'!$B:$B=A22), 'OB History'!$AC:$AC)</f>
        <v>0.65444444444444427</v>
      </c>
      <c r="T22" s="2">
        <f>COUNTIFS('OB History'!$B:$B,$A$22,'OB History'!K:K, 1)</f>
        <v>0</v>
      </c>
      <c r="U22" s="2">
        <f>COUNTIFS('OB History'!$B:$B,$A$22,'OB History'!L:L, 1)</f>
        <v>1</v>
      </c>
      <c r="V22" s="2">
        <f>COUNTIFS('OB History'!$B:$B,$A$22,'OB History'!M:M, 1)</f>
        <v>2</v>
      </c>
      <c r="W22" s="2">
        <f>COUNTIFS('OB History'!$B:$B,$A$22,'OB History'!N:N, 1)</f>
        <v>3</v>
      </c>
      <c r="X22" s="2">
        <f>COUNTIFS('OB History'!$B:$B,$A$22,'OB History'!O:O, 1)</f>
        <v>0</v>
      </c>
      <c r="Y22" s="2">
        <f>COUNTIFS('OB History'!$B:$B,$A$22,'OB History'!P:P, 1)</f>
        <v>3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1</v>
      </c>
      <c r="AE22" s="2">
        <f>COUNTIFS('OB History'!$B:$B,$A$22,'OB History'!V:V, 1)</f>
        <v>0</v>
      </c>
      <c r="AF22" s="2">
        <f>COUNTIFS('OB History'!$B:$B,$A$22,'OB History'!W:W, 1)</f>
        <v>3</v>
      </c>
      <c r="AG22" s="2">
        <f>COUNTIFS('OB History'!$B:$B,$A$22,'OB History'!X:X, 1)</f>
        <v>4</v>
      </c>
      <c r="AH22" s="2">
        <f>COUNTIFS('OB History'!$B:$B,$A$22,'OB History'!Y:Y, 1)</f>
        <v>5</v>
      </c>
      <c r="AI22" s="2">
        <f>COUNTIFS('OB History'!$B:$B,$A$22,'OB History'!Z:Z, 1)</f>
        <v>2</v>
      </c>
    </row>
    <row r="23" spans="1:35" x14ac:dyDescent="0.25">
      <c r="A23" s="2" t="s">
        <v>29</v>
      </c>
      <c r="B23" s="6" t="s">
        <v>172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486</v>
      </c>
      <c r="I23" s="4">
        <f>AVERAGEIFS('OB History'!C:C,'OB History'!B:B,A23)</f>
        <v>10.8</v>
      </c>
      <c r="J23" s="35">
        <f t="array" ref="J23">MAX(IF('OB History'!B:B=A23, 'OB History'!C:C))</f>
        <v>21</v>
      </c>
      <c r="K23" s="34">
        <f>COUNTIFS('OB History'!B:B,A23,'OB History'!D:D, 1)</f>
        <v>19</v>
      </c>
      <c r="L23" s="2">
        <f>COUNTIFS('OB History'!B:B,A23,'OB History'!D:D, 0)</f>
        <v>26</v>
      </c>
      <c r="M23" s="88">
        <f>LOOKUP(2, 1/('OB History'!$B:$B=A23), 'OB History'!$AD:$AD)</f>
        <v>0.42222222222222222</v>
      </c>
      <c r="N23" s="34">
        <f>SUMIFS('OB History'!F:F,'OB History'!B:B,A23)</f>
        <v>84</v>
      </c>
      <c r="O23" s="2">
        <f>SUMIFS('OB History'!E:E,'OB History'!B:B,A23)-N23</f>
        <v>98</v>
      </c>
      <c r="P23" s="88">
        <f>LOOKUP(2, 1/('OB History'!$B:$B=A23), 'OB History'!$AB:$AB)</f>
        <v>0.45222222222222225</v>
      </c>
      <c r="Q23" s="34">
        <f>SUMIFS('OB History'!H:H,'OB History'!B:B,'Old Bow v2'!A23)</f>
        <v>370</v>
      </c>
      <c r="R23" s="2">
        <f>SUMIFS('OB History'!G:G,'OB History'!B:B,'Old Bow v2'!A23)-Q23</f>
        <v>388</v>
      </c>
      <c r="S23" s="88">
        <f>LOOKUP(2, 1/('OB History'!$B:$B=A23), 'OB History'!$AC:$AC)</f>
        <v>0.49088888888888887</v>
      </c>
      <c r="T23" s="2">
        <f>COUNTIFS('OB History'!$B:$B,$A$23,'OB History'!K:K, 1)</f>
        <v>5</v>
      </c>
      <c r="U23" s="2">
        <f>COUNTIFS('OB History'!$B:$B,$A$23,'OB History'!L:L, 1)</f>
        <v>7</v>
      </c>
      <c r="V23" s="2">
        <f>COUNTIFS('OB History'!$B:$B,$A$23,'OB History'!M:M, 1)</f>
        <v>2</v>
      </c>
      <c r="W23" s="2">
        <f>COUNTIFS('OB History'!$B:$B,$A$23,'OB History'!N:N, 1)</f>
        <v>10</v>
      </c>
      <c r="X23" s="2">
        <f>COUNTIFS('OB History'!$B:$B,$A$23,'OB History'!O:O, 1)</f>
        <v>4</v>
      </c>
      <c r="Y23" s="2">
        <f>COUNTIFS('OB History'!$B:$B,$A$23,'OB History'!P:P, 1)</f>
        <v>8</v>
      </c>
      <c r="Z23" s="2">
        <f>COUNTIFS('OB History'!$B:$B,$A$23,'OB History'!Q:Q, 1)</f>
        <v>1</v>
      </c>
      <c r="AA23" s="2">
        <f>COUNTIFS('OB History'!$B:$B,$A$23,'OB History'!R:R, 1)</f>
        <v>0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3</v>
      </c>
      <c r="AF23" s="2">
        <f>COUNTIFS('OB History'!$B:$B,$A$23,'OB History'!W:W, 1)</f>
        <v>12</v>
      </c>
      <c r="AG23" s="2">
        <f>COUNTIFS('OB History'!$B:$B,$A$23,'OB History'!X:X, 1)</f>
        <v>13</v>
      </c>
      <c r="AH23" s="2">
        <f>COUNTIFS('OB History'!$B:$B,$A$23,'OB History'!Y:Y, 1)</f>
        <v>9</v>
      </c>
      <c r="AI23" s="2">
        <f>COUNTIFS('OB History'!$B:$B,$A$23,'OB History'!Z:Z, 1)</f>
        <v>10</v>
      </c>
    </row>
    <row r="24" spans="1:35" x14ac:dyDescent="0.25">
      <c r="A24" s="2" t="s">
        <v>46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183</v>
      </c>
      <c r="I24" s="4">
        <f>AVERAGEIFS('OB History'!C:C,'OB History'!B:B,A24)</f>
        <v>20.333333333333332</v>
      </c>
      <c r="J24" s="35">
        <f t="array" ref="J24">MAX(IF('OB History'!B:B=A24, 'OB History'!C:C))</f>
        <v>36</v>
      </c>
      <c r="K24" s="34">
        <f>COUNTIFS('OB History'!B:B,A24,'OB History'!D:D, 1)</f>
        <v>4</v>
      </c>
      <c r="L24" s="2">
        <f>COUNTIFS('OB History'!B:B,A24,'OB History'!D:D, 0)</f>
        <v>5</v>
      </c>
      <c r="M24" s="88">
        <f>LOOKUP(2, 1/('OB History'!$B:$B=A24), 'OB History'!$AD:$AD)</f>
        <v>0.44444444444444442</v>
      </c>
      <c r="N24" s="34">
        <f>SUMIFS('OB History'!F:F,'OB History'!B:B,A24)</f>
        <v>16</v>
      </c>
      <c r="O24" s="2">
        <f>SUMIFS('OB History'!E:E,'OB History'!B:B,A24)-N24</f>
        <v>20</v>
      </c>
      <c r="P24" s="88">
        <f>LOOKUP(2, 1/('OB History'!$B:$B=A24), 'OB History'!$AB:$AB)</f>
        <v>0.41666666666666669</v>
      </c>
      <c r="Q24" s="34">
        <f>SUMIFS('OB History'!H:H,'OB History'!B:B,'Old Bow v2'!A24)</f>
        <v>70</v>
      </c>
      <c r="R24" s="2">
        <f>SUMIFS('OB History'!G:G,'OB History'!B:B,'Old Bow v2'!A24)-Q24</f>
        <v>83</v>
      </c>
      <c r="S24" s="88">
        <f>LOOKUP(2, 1/('OB History'!$B:$B=A24), 'OB History'!$AC:$AC)</f>
        <v>0.44999999999999996</v>
      </c>
      <c r="T24" s="2">
        <f>COUNTIFS('OB History'!$B:$B,$A$24,'OB History'!K:K, 1)</f>
        <v>0</v>
      </c>
      <c r="U24" s="2">
        <f>COUNTIFS('OB History'!$B:$B,$A$24,'OB History'!L:L, 1)</f>
        <v>1</v>
      </c>
      <c r="V24" s="2">
        <f>COUNTIFS('OB History'!$B:$B,$A$24,'OB History'!M:M, 1)</f>
        <v>1</v>
      </c>
      <c r="W24" s="2">
        <f>COUNTIFS('OB History'!$B:$B,$A$24,'OB History'!N:N, 1)</f>
        <v>1</v>
      </c>
      <c r="X24" s="2">
        <f>COUNTIFS('OB History'!$B:$B,$A$24,'OB History'!O:O, 1)</f>
        <v>0</v>
      </c>
      <c r="Y24" s="2">
        <f>COUNTIFS('OB History'!$B:$B,$A$24,'OB History'!P:P, 1)</f>
        <v>5</v>
      </c>
      <c r="Z24" s="2">
        <f>COUNTIFS('OB History'!$B:$B,$A$24,'OB History'!Q:Q, 1)</f>
        <v>0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0</v>
      </c>
      <c r="AF24" s="2">
        <f>COUNTIFS('OB History'!$B:$B,$A$24,'OB History'!W:W, 1)</f>
        <v>1</v>
      </c>
      <c r="AG24" s="2">
        <f>COUNTIFS('OB History'!$B:$B,$A$24,'OB History'!X:X, 1)</f>
        <v>3</v>
      </c>
      <c r="AH24" s="2">
        <f>COUNTIFS('OB History'!$B:$B,$A$24,'OB History'!Y:Y, 1)</f>
        <v>1</v>
      </c>
      <c r="AI24" s="2">
        <f>COUNTIFS('OB History'!$B:$B,$A$24,'OB History'!Z:Z, 1)</f>
        <v>2</v>
      </c>
    </row>
    <row r="25" spans="1:35" x14ac:dyDescent="0.25">
      <c r="A25" s="2" t="s">
        <v>139</v>
      </c>
      <c r="B25" s="2" t="s">
        <v>79</v>
      </c>
      <c r="C25" s="2" t="s">
        <v>79</v>
      </c>
      <c r="D25" s="3"/>
      <c r="E25" s="3"/>
      <c r="F25" s="3"/>
      <c r="G25" s="3"/>
      <c r="H25" s="34">
        <f>SUMIFS('OB History'!C:C,'OB History'!B:B,A25)</f>
        <v>181</v>
      </c>
      <c r="I25" s="4">
        <f>AVERAGEIFS('OB History'!C:C,'OB History'!B:B,A25)</f>
        <v>10.647058823529411</v>
      </c>
      <c r="J25" s="35">
        <f t="array" ref="J25">MAX(IF('OB History'!B:B=A25, 'OB History'!C:C))</f>
        <v>17</v>
      </c>
      <c r="K25" s="34">
        <f>COUNTIFS('OB History'!B:B,A25,'OB History'!D:D, 1)</f>
        <v>11</v>
      </c>
      <c r="L25" s="2">
        <f>COUNTIFS('OB History'!B:B,A25,'OB History'!D:D, 0)</f>
        <v>6</v>
      </c>
      <c r="M25" s="88">
        <f>LOOKUP(2, 1/('OB History'!$B:$B=A25), 'OB History'!$AD:$AD)</f>
        <v>0.6470588235294118</v>
      </c>
      <c r="N25" s="34">
        <f>SUMIFS('OB History'!F:F,'OB History'!B:B,A25)</f>
        <v>40</v>
      </c>
      <c r="O25" s="2">
        <f>SUMIFS('OB History'!E:E,'OB History'!B:B,A25)-N25</f>
        <v>33</v>
      </c>
      <c r="P25" s="88">
        <f>LOOKUP(2, 1/('OB History'!$B:$B=A25), 'OB History'!$AB:$AB)</f>
        <v>0.54705882352941171</v>
      </c>
      <c r="Q25" s="34">
        <f>SUMIFS('OB History'!H:H,'OB History'!B:B,'Old Bow v2'!A25)</f>
        <v>158</v>
      </c>
      <c r="R25" s="2">
        <f>SUMIFS('OB History'!G:G,'OB History'!B:B,'Old Bow v2'!A25)-Q25</f>
        <v>139</v>
      </c>
      <c r="S25" s="88">
        <f>LOOKUP(2, 1/('OB History'!$B:$B=A25), 'OB History'!$AC:$AC)</f>
        <v>0.53470588235294103</v>
      </c>
      <c r="T25" s="2">
        <f>COUNTIFS('OB History'!$B:$B,$A$25,'OB History'!K:K, 1)</f>
        <v>1</v>
      </c>
      <c r="U25" s="2">
        <f>COUNTIFS('OB History'!$B:$B,$A$25,'OB History'!L:L, 1)</f>
        <v>4</v>
      </c>
      <c r="V25" s="2">
        <f>COUNTIFS('OB History'!$B:$B,$A$25,'OB History'!M:M, 1)</f>
        <v>1</v>
      </c>
      <c r="W25" s="2">
        <f>COUNTIFS('OB History'!$B:$B,$A$25,'OB History'!N:N, 1)</f>
        <v>4</v>
      </c>
      <c r="X25" s="2">
        <f>COUNTIFS('OB History'!$B:$B,$A$25,'OB History'!O:O, 1)</f>
        <v>0</v>
      </c>
      <c r="Y25" s="2">
        <f>COUNTIFS('OB History'!$B:$B,$A$25,'OB History'!P:P, 1)</f>
        <v>3</v>
      </c>
      <c r="Z25" s="2">
        <f>COUNTIFS('OB History'!$B:$B,$A$25,'OB History'!Q:Q, 1)</f>
        <v>2</v>
      </c>
      <c r="AA25" s="2">
        <f>COUNTIFS('OB History'!$B:$B,$A$25,'OB History'!R:R, 1)</f>
        <v>3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2</v>
      </c>
      <c r="AF25" s="2">
        <f>COUNTIFS('OB History'!$B:$B,$A$25,'OB History'!W:W, 1)</f>
        <v>0</v>
      </c>
      <c r="AG25" s="2">
        <f>COUNTIFS('OB History'!$B:$B,$A$25,'OB History'!X:X, 1)</f>
        <v>10</v>
      </c>
      <c r="AH25" s="2">
        <f>COUNTIFS('OB History'!$B:$B,$A$25,'OB History'!Y:Y, 1)</f>
        <v>4</v>
      </c>
      <c r="AI25" s="2">
        <f>COUNTIFS('OB History'!$B:$B,$A$25,'OB History'!Z:Z, 1)</f>
        <v>6</v>
      </c>
    </row>
    <row r="26" spans="1:35" x14ac:dyDescent="0.25">
      <c r="A26" s="2" t="s">
        <v>28</v>
      </c>
      <c r="B26" s="6" t="s">
        <v>60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355</v>
      </c>
      <c r="I26" s="4">
        <f>AVERAGEIFS('OB History'!C:C,'OB History'!B:B,A26)</f>
        <v>15.434782608695652</v>
      </c>
      <c r="J26" s="35">
        <f t="array" ref="J26">MAX(IF('OB History'!B:B=A26, 'OB History'!C:C))</f>
        <v>43</v>
      </c>
      <c r="K26" s="34">
        <f>COUNTIFS('OB History'!B:B,A26,'OB History'!D:D, 1)</f>
        <v>9</v>
      </c>
      <c r="L26" s="2">
        <f>COUNTIFS('OB History'!B:B,A26,'OB History'!D:D, 0)</f>
        <v>14</v>
      </c>
      <c r="M26" s="88">
        <f>LOOKUP(2, 1/('OB History'!$B:$B=A26), 'OB History'!$AD:$AD)</f>
        <v>0.39130434782608697</v>
      </c>
      <c r="N26" s="34">
        <f>SUMIFS('OB History'!F:F,'OB History'!B:B,A26)</f>
        <v>42</v>
      </c>
      <c r="O26" s="2">
        <f>SUMIFS('OB History'!E:E,'OB History'!B:B,A26)-N26</f>
        <v>56</v>
      </c>
      <c r="P26" s="88">
        <f>LOOKUP(2, 1/('OB History'!$B:$B=A26), 'OB History'!$AB:$AB)</f>
        <v>0.40217391304347827</v>
      </c>
      <c r="Q26" s="34">
        <f>SUMIFS('OB History'!H:H,'OB History'!B:B,'Old Bow v2'!A26)</f>
        <v>192</v>
      </c>
      <c r="R26" s="2">
        <f>SUMIFS('OB History'!G:G,'OB History'!B:B,'Old Bow v2'!A26)-Q26</f>
        <v>218</v>
      </c>
      <c r="S26" s="88">
        <f>LOOKUP(2, 1/('OB History'!$B:$B=A26), 'OB History'!$AC:$AC)</f>
        <v>0.45521739130434791</v>
      </c>
      <c r="T26" s="2">
        <f>COUNTIFS('OB History'!$B:$B,$A$26,'OB History'!K:K, 1)</f>
        <v>5</v>
      </c>
      <c r="U26" s="2">
        <f>COUNTIFS('OB History'!$B:$B,$A$26,'OB History'!L:L, 1)</f>
        <v>2</v>
      </c>
      <c r="V26" s="2">
        <f>COUNTIFS('OB History'!$B:$B,$A$26,'OB History'!M:M, 1)</f>
        <v>1</v>
      </c>
      <c r="W26" s="2">
        <f>COUNTIFS('OB History'!$B:$B,$A$26,'OB History'!N:N, 1)</f>
        <v>2</v>
      </c>
      <c r="X26" s="2">
        <f>COUNTIFS('OB History'!$B:$B,$A$26,'OB History'!O:O, 1)</f>
        <v>2</v>
      </c>
      <c r="Y26" s="2">
        <f>COUNTIFS('OB History'!$B:$B,$A$26,'OB History'!P:P, 1)</f>
        <v>4</v>
      </c>
      <c r="Z26" s="2">
        <f>COUNTIFS('OB History'!$B:$B,$A$26,'OB History'!Q:Q, 1)</f>
        <v>2</v>
      </c>
      <c r="AA26" s="2">
        <f>COUNTIFS('OB History'!$B:$B,$A$26,'OB History'!R:R, 1)</f>
        <v>1</v>
      </c>
      <c r="AB26" s="2">
        <f>COUNTIFS('OB History'!$B:$B,$A$26,'OB History'!S:S, 1)</f>
        <v>1</v>
      </c>
      <c r="AC26" s="2">
        <f>COUNTIFS('OB History'!$B:$B,$A$26,'OB History'!T:T, 1)</f>
        <v>0</v>
      </c>
      <c r="AD26" s="2">
        <f>COUNTIFS('OB History'!$B:$B,$A$26,'OB History'!U:U, 1)</f>
        <v>1</v>
      </c>
      <c r="AE26" s="2">
        <f>COUNTIFS('OB History'!$B:$B,$A$26,'OB History'!V:V, 1)</f>
        <v>1</v>
      </c>
      <c r="AF26" s="2">
        <f>COUNTIFS('OB History'!$B:$B,$A$26,'OB History'!W:W, 1)</f>
        <v>1</v>
      </c>
      <c r="AG26" s="2">
        <f>COUNTIFS('OB History'!$B:$B,$A$26,'OB History'!X:X, 1)</f>
        <v>8</v>
      </c>
      <c r="AH26" s="2">
        <f>COUNTIFS('OB History'!$B:$B,$A$26,'OB History'!Y:Y, 1)</f>
        <v>2</v>
      </c>
      <c r="AI26" s="2">
        <f>COUNTIFS('OB History'!$B:$B,$A$26,'OB History'!Z:Z, 1)</f>
        <v>9</v>
      </c>
    </row>
    <row r="27" spans="1:35" x14ac:dyDescent="0.25">
      <c r="A27" s="2" t="s">
        <v>53</v>
      </c>
      <c r="B27" s="6" t="s">
        <v>60</v>
      </c>
      <c r="C27" s="6" t="s">
        <v>79</v>
      </c>
      <c r="D27" s="3"/>
      <c r="E27" s="3"/>
      <c r="F27" s="3"/>
      <c r="G27" s="3"/>
      <c r="H27" s="34">
        <f>SUMIFS('OB History'!C:C,'OB History'!B:B,A27)</f>
        <v>43</v>
      </c>
      <c r="I27" s="4">
        <f>AVERAGEIFS('OB History'!C:C,'OB History'!B:B,A27)</f>
        <v>14.333333333333334</v>
      </c>
      <c r="J27" s="35">
        <f t="array" ref="J27">MAX(IF('OB History'!B:B=A27, 'OB History'!C:C))</f>
        <v>25</v>
      </c>
      <c r="K27" s="34">
        <f>COUNTIFS('OB History'!B:B,A27,'OB History'!D:D, 1)</f>
        <v>2</v>
      </c>
      <c r="L27" s="2">
        <f>COUNTIFS('OB History'!B:B,A27,'OB History'!D:D, 0)</f>
        <v>1</v>
      </c>
      <c r="M27" s="88">
        <f>LOOKUP(2, 1/('OB History'!$B:$B=A27), 'OB History'!$AD:$AD)</f>
        <v>0.66666666666666663</v>
      </c>
      <c r="N27" s="34">
        <f>SUMIFS('OB History'!F:F,'OB History'!B:B,A27)</f>
        <v>6</v>
      </c>
      <c r="O27" s="2">
        <f>SUMIFS('OB History'!E:E,'OB History'!B:B,A27)-N27</f>
        <v>7</v>
      </c>
      <c r="P27" s="88">
        <f>LOOKUP(2, 1/('OB History'!$B:$B=A27), 'OB History'!$AB:$AB)</f>
        <v>0.39999999999999997</v>
      </c>
      <c r="Q27" s="34">
        <f>SUMIFS('OB History'!H:H,'OB History'!B:B,'Old Bow v2'!A27)</f>
        <v>27</v>
      </c>
      <c r="R27" s="2">
        <f>SUMIFS('OB History'!G:G,'OB History'!B:B,'Old Bow v2'!A27)-Q27</f>
        <v>26</v>
      </c>
      <c r="S27" s="88">
        <f>LOOKUP(2, 1/('OB History'!$B:$B=A27), 'OB History'!$AC:$AC)</f>
        <v>0.48666666666666664</v>
      </c>
      <c r="T27" s="2">
        <f>COUNTIFS('OB History'!$B:$B,$A$27,'OB History'!K:K, 1)</f>
        <v>0</v>
      </c>
      <c r="U27" s="2">
        <f>COUNTIFS('OB History'!$B:$B,$A$27,'OB History'!L:L, 1)</f>
        <v>0</v>
      </c>
      <c r="V27" s="2">
        <f>COUNTIFS('OB History'!$B:$B,$A$27,'OB History'!M:M, 1)</f>
        <v>0</v>
      </c>
      <c r="W27" s="2">
        <f>COUNTIFS('OB History'!$B:$B,$A$27,'OB History'!N:N, 1)</f>
        <v>1</v>
      </c>
      <c r="X27" s="2">
        <f>COUNTIFS('OB History'!$B:$B,$A$27,'OB History'!O:O, 1)</f>
        <v>2</v>
      </c>
      <c r="Y27" s="2">
        <f>COUNTIFS('OB History'!$B:$B,$A$27,'OB History'!P:P, 1)</f>
        <v>1</v>
      </c>
      <c r="Z27" s="2">
        <f>COUNTIFS('OB History'!$B:$B,$A$27,'OB History'!Q:Q, 1)</f>
        <v>2</v>
      </c>
      <c r="AA27" s="2">
        <f>COUNTIFS('OB History'!$B:$B,$A$27,'OB History'!R:R, 1)</f>
        <v>0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0</v>
      </c>
      <c r="AF27" s="2">
        <f>COUNTIFS('OB History'!$B:$B,$A$27,'OB History'!W:W, 1)</f>
        <v>0</v>
      </c>
      <c r="AG27" s="2">
        <f>COUNTIFS('OB History'!$B:$B,$A$27,'OB History'!X:X, 1)</f>
        <v>0</v>
      </c>
      <c r="AH27" s="2">
        <f>COUNTIFS('OB History'!$B:$B,$A$27,'OB History'!Y:Y, 1)</f>
        <v>0</v>
      </c>
      <c r="AI27" s="2">
        <f>COUNTIFS('OB History'!$B:$B,$A$27,'OB History'!Z:Z, 1)</f>
        <v>0</v>
      </c>
    </row>
    <row r="28" spans="1:35" x14ac:dyDescent="0.25">
      <c r="A28" s="2" t="s">
        <v>51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180</v>
      </c>
      <c r="I28" s="4">
        <f>AVERAGEIFS('OB History'!C:C,'OB History'!B:B,A28)</f>
        <v>13.846153846153847</v>
      </c>
      <c r="J28" s="35">
        <f t="array" ref="J28">MAX(IF('OB History'!B:B=A28, 'OB History'!C:C))</f>
        <v>22</v>
      </c>
      <c r="K28" s="34">
        <f>COUNTIFS('OB History'!B:B,A28,'OB History'!D:D, 1)</f>
        <v>7</v>
      </c>
      <c r="L28" s="2">
        <f>COUNTIFS('OB History'!B:B,A28,'OB History'!D:D, 0)</f>
        <v>6</v>
      </c>
      <c r="M28" s="88">
        <f>LOOKUP(2, 1/('OB History'!$B:$B=A28), 'OB History'!$AD:$AD)</f>
        <v>0.53846153846153844</v>
      </c>
      <c r="N28" s="34">
        <f>SUMIFS('OB History'!F:F,'OB History'!B:B,A28)</f>
        <v>29</v>
      </c>
      <c r="O28" s="2">
        <f>SUMIFS('OB History'!E:E,'OB History'!B:B,A28)-N28</f>
        <v>26</v>
      </c>
      <c r="P28" s="88">
        <f>LOOKUP(2, 1/('OB History'!$B:$B=A28), 'OB History'!$AB:$AB)</f>
        <v>0.53846153846153855</v>
      </c>
      <c r="Q28" s="34">
        <f>SUMIFS('OB History'!H:H,'OB History'!B:B,'Old Bow v2'!A28)</f>
        <v>111</v>
      </c>
      <c r="R28" s="2">
        <f>SUMIFS('OB History'!G:G,'OB History'!B:B,'Old Bow v2'!A28)-Q28</f>
        <v>111</v>
      </c>
      <c r="S28" s="88">
        <f>LOOKUP(2, 1/('OB History'!$B:$B=A28), 'OB History'!$AC:$AC)</f>
        <v>0.50461538461538469</v>
      </c>
      <c r="T28" s="2">
        <f>COUNTIFS('OB History'!$B:$B,$A$28,'OB History'!K:K, 1)</f>
        <v>4</v>
      </c>
      <c r="U28" s="2">
        <f>COUNTIFS('OB History'!$B:$B,$A$28,'OB History'!L:L, 1)</f>
        <v>1</v>
      </c>
      <c r="V28" s="2">
        <f>COUNTIFS('OB History'!$B:$B,$A$28,'OB History'!M:M, 1)</f>
        <v>0</v>
      </c>
      <c r="W28" s="2">
        <f>COUNTIFS('OB History'!$B:$B,$A$28,'OB History'!N:N, 1)</f>
        <v>3</v>
      </c>
      <c r="X28" s="2">
        <f>COUNTIFS('OB History'!$B:$B,$A$28,'OB History'!O:O, 1)</f>
        <v>0</v>
      </c>
      <c r="Y28" s="2">
        <f>COUNTIFS('OB History'!$B:$B,$A$28,'OB History'!P:P, 1)</f>
        <v>3</v>
      </c>
      <c r="Z28" s="2">
        <f>COUNTIFS('OB History'!$B:$B,$A$28,'OB History'!Q:Q, 1)</f>
        <v>0</v>
      </c>
      <c r="AA28" s="2">
        <f>COUNTIFS('OB History'!$B:$B,$A$28,'OB History'!R:R, 1)</f>
        <v>1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5</v>
      </c>
      <c r="AG28" s="2">
        <f>COUNTIFS('OB History'!$B:$B,$A$28,'OB History'!X:X, 1)</f>
        <v>4</v>
      </c>
      <c r="AH28" s="2">
        <f>COUNTIFS('OB History'!$B:$B,$A$28,'OB History'!Y:Y, 1)</f>
        <v>3</v>
      </c>
      <c r="AI28" s="2">
        <f>COUNTIFS('OB History'!$B:$B,$A$28,'OB History'!Z:Z, 1)</f>
        <v>3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3"/>
      <c r="E29" s="3"/>
      <c r="F29" s="3"/>
      <c r="G29" s="3"/>
      <c r="H29" s="34">
        <f>SUMIFS('OB History'!C:C,'OB History'!B:B,A29)</f>
        <v>463</v>
      </c>
      <c r="I29" s="4">
        <f>AVERAGEIFS('OB History'!C:C,'OB History'!B:B,A29)</f>
        <v>14.46875</v>
      </c>
      <c r="J29" s="35">
        <f t="array" ref="J29">MAX(IF('OB History'!B:B=A29, 'OB History'!C:C))</f>
        <v>37</v>
      </c>
      <c r="K29" s="34">
        <f>COUNTIFS('OB History'!B:B,A29,'OB History'!D:D, 1)</f>
        <v>13</v>
      </c>
      <c r="L29" s="2">
        <f>COUNTIFS('OB History'!B:B,A29,'OB History'!D:D, 0)</f>
        <v>19</v>
      </c>
      <c r="M29" s="88">
        <f>LOOKUP(2, 1/('OB History'!$B:$B=A29), 'OB History'!$AD:$AD)</f>
        <v>0.40625</v>
      </c>
      <c r="N29" s="34">
        <f>SUMIFS('OB History'!F:F,'OB History'!B:B,A29)</f>
        <v>66</v>
      </c>
      <c r="O29" s="2">
        <f>SUMIFS('OB History'!E:E,'OB History'!B:B,A29)-N29</f>
        <v>70</v>
      </c>
      <c r="P29" s="88">
        <f>LOOKUP(2, 1/('OB History'!$B:$B=A29), 'OB History'!$AB:$AB)</f>
        <v>0.49062500000000003</v>
      </c>
      <c r="Q29" s="34">
        <f>SUMIFS('OB History'!H:H,'OB History'!B:B,'Old Bow v2'!A29)</f>
        <v>285</v>
      </c>
      <c r="R29" s="2">
        <f>SUMIFS('OB History'!G:G,'OB History'!B:B,'Old Bow v2'!A29)-Q29</f>
        <v>285</v>
      </c>
      <c r="S29" s="88">
        <f>LOOKUP(2, 1/('OB History'!$B:$B=A29), 'OB History'!$AC:$AC)</f>
        <v>0.50031250000000016</v>
      </c>
      <c r="T29" s="2">
        <f>COUNTIFS('OB History'!$B:$B,$A$29,'OB History'!K:K, 1)</f>
        <v>3</v>
      </c>
      <c r="U29" s="2">
        <f>COUNTIFS('OB History'!$B:$B,$A$29,'OB History'!L:L, 1)</f>
        <v>5</v>
      </c>
      <c r="V29" s="2">
        <f>COUNTIFS('OB History'!$B:$B,$A$29,'OB History'!M:M, 1)</f>
        <v>1</v>
      </c>
      <c r="W29" s="2">
        <f>COUNTIFS('OB History'!$B:$B,$A$29,'OB History'!N:N, 1)</f>
        <v>14</v>
      </c>
      <c r="X29" s="2">
        <f>COUNTIFS('OB History'!$B:$B,$A$29,'OB History'!O:O, 1)</f>
        <v>0</v>
      </c>
      <c r="Y29" s="2">
        <f>COUNTIFS('OB History'!$B:$B,$A$29,'OB History'!P:P, 1)</f>
        <v>7</v>
      </c>
      <c r="Z29" s="2">
        <f>COUNTIFS('OB History'!$B:$B,$A$29,'OB History'!Q:Q, 1)</f>
        <v>2</v>
      </c>
      <c r="AA29" s="2">
        <f>COUNTIFS('OB History'!$B:$B,$A$29,'OB History'!R:R, 1)</f>
        <v>3</v>
      </c>
      <c r="AB29" s="2">
        <f>COUNTIFS('OB History'!$B:$B,$A$29,'OB History'!S:S, 1)</f>
        <v>0</v>
      </c>
      <c r="AC29" s="2">
        <f>COUNTIFS('OB History'!$B:$B,$A$29,'OB History'!T:T, 1)</f>
        <v>1</v>
      </c>
      <c r="AD29" s="2">
        <f>COUNTIFS('OB History'!$B:$B,$A$29,'OB History'!U:U, 1)</f>
        <v>0</v>
      </c>
      <c r="AE29" s="2">
        <f>COUNTIFS('OB History'!$B:$B,$A$29,'OB History'!V:V, 1)</f>
        <v>2</v>
      </c>
      <c r="AF29" s="2">
        <f>COUNTIFS('OB History'!$B:$B,$A$29,'OB History'!W:W, 1)</f>
        <v>8</v>
      </c>
      <c r="AG29" s="2">
        <f>COUNTIFS('OB History'!$B:$B,$A$29,'OB History'!X:X, 1)</f>
        <v>8</v>
      </c>
      <c r="AH29" s="2">
        <f>COUNTIFS('OB History'!$B:$B,$A$29,'OB History'!Y:Y, 1)</f>
        <v>5</v>
      </c>
      <c r="AI29" s="2">
        <f>COUNTIFS('OB History'!$B:$B,$A$29,'OB History'!Z:Z, 1)</f>
        <v>7</v>
      </c>
    </row>
    <row r="30" spans="1:35" x14ac:dyDescent="0.25">
      <c r="A30" s="1" t="s">
        <v>47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78</v>
      </c>
      <c r="I30" s="4">
        <f>AVERAGEIFS('OB History'!C:C,'OB History'!B:B,A30)</f>
        <v>7.8</v>
      </c>
      <c r="J30" s="35">
        <f t="array" ref="J30">MAX(IF('OB History'!B:B=A30, 'OB History'!C:C))</f>
        <v>14</v>
      </c>
      <c r="K30" s="34">
        <f>COUNTIFS('OB History'!B:B,A30,'OB History'!D:D, 1)</f>
        <v>5</v>
      </c>
      <c r="L30" s="2">
        <f>COUNTIFS('OB History'!B:B,A30,'OB History'!D:D, 0)</f>
        <v>5</v>
      </c>
      <c r="M30" s="88">
        <f>LOOKUP(2, 1/('OB History'!$B:$B=A30), 'OB History'!$AD:$AD)</f>
        <v>0.5</v>
      </c>
      <c r="N30" s="34">
        <f>SUMIFS('OB History'!F:F,'OB History'!B:B,A30)</f>
        <v>22</v>
      </c>
      <c r="O30" s="2">
        <f>SUMIFS('OB History'!E:E,'OB History'!B:B,A30)-N30</f>
        <v>22</v>
      </c>
      <c r="P30" s="88">
        <f>LOOKUP(2, 1/('OB History'!$B:$B=A30), 'OB History'!$AB:$AB)</f>
        <v>0.5</v>
      </c>
      <c r="Q30" s="34">
        <f>SUMIFS('OB History'!H:H,'OB History'!B:B,'Old Bow v2'!A30)</f>
        <v>93</v>
      </c>
      <c r="R30" s="2">
        <f>SUMIFS('OB History'!G:G,'OB History'!B:B,'Old Bow v2'!A30)-Q30</f>
        <v>94</v>
      </c>
      <c r="S30" s="88">
        <f>LOOKUP(2, 1/('OB History'!$B:$B=A30), 'OB History'!$AC:$AC)</f>
        <v>0.49299999999999999</v>
      </c>
      <c r="T30" s="2">
        <f>COUNTIFS('OB History'!$B:$B,$A$30,'OB History'!K:K, 1)</f>
        <v>1</v>
      </c>
      <c r="U30" s="2">
        <f>COUNTIFS('OB History'!$B:$B,$A$30,'OB History'!L:L, 1)</f>
        <v>1</v>
      </c>
      <c r="V30" s="2">
        <f>COUNTIFS('OB History'!$B:$B,$A$30,'OB History'!M:M, 1)</f>
        <v>1</v>
      </c>
      <c r="W30" s="2">
        <f>COUNTIFS('OB History'!$B:$B,$A$30,'OB History'!N:N, 1)</f>
        <v>4</v>
      </c>
      <c r="X30" s="2">
        <f>COUNTIFS('OB History'!$B:$B,$A$30,'OB History'!O:O, 1)</f>
        <v>1</v>
      </c>
      <c r="Y30" s="2">
        <f>COUNTIFS('OB History'!$B:$B,$A$30,'OB History'!P:P, 1)</f>
        <v>2</v>
      </c>
      <c r="Z30" s="2">
        <f>COUNTIFS('OB History'!$B:$B,$A$30,'OB History'!Q:Q, 1)</f>
        <v>0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4</v>
      </c>
      <c r="AG30" s="2">
        <f>COUNTIFS('OB History'!$B:$B,$A$30,'OB History'!X:X, 1)</f>
        <v>2</v>
      </c>
      <c r="AH30" s="2">
        <f>COUNTIFS('OB History'!$B:$B,$A$30,'OB History'!Y:Y, 1)</f>
        <v>0</v>
      </c>
      <c r="AI30" s="2">
        <f>COUNTIFS('OB History'!$B:$B,$A$30,'OB History'!Z:Z, 1)</f>
        <v>5</v>
      </c>
    </row>
    <row r="31" spans="1:35" x14ac:dyDescent="0.25">
      <c r="A31" s="2" t="s">
        <v>3</v>
      </c>
      <c r="B31" s="6" t="s">
        <v>60</v>
      </c>
      <c r="C31" s="1" t="s">
        <v>159</v>
      </c>
      <c r="D31" s="3"/>
      <c r="E31" s="3"/>
      <c r="F31" s="3"/>
      <c r="G31" s="3"/>
      <c r="H31" s="34">
        <f>SUMIFS('OB History'!C:C,'OB History'!B:B,A31)</f>
        <v>230</v>
      </c>
      <c r="I31" s="4">
        <f>AVERAGEIFS('OB History'!C:C,'OB History'!B:B,A31)</f>
        <v>23</v>
      </c>
      <c r="J31" s="35">
        <f t="array" ref="J31">MAX(IF('OB History'!B:B=A31, 'OB History'!C:C))</f>
        <v>44</v>
      </c>
      <c r="K31" s="34">
        <f>COUNTIFS('OB History'!B:B,A31,'OB History'!D:D, 1)</f>
        <v>6</v>
      </c>
      <c r="L31" s="2">
        <f>COUNTIFS('OB History'!B:B,A31,'OB History'!D:D, 0)</f>
        <v>4</v>
      </c>
      <c r="M31" s="88">
        <f>LOOKUP(2, 1/('OB History'!$B:$B=A31), 'OB History'!$AD:$AD)</f>
        <v>0.6</v>
      </c>
      <c r="N31" s="34">
        <f>SUMIFS('OB History'!F:F,'OB History'!B:B,A31)</f>
        <v>22</v>
      </c>
      <c r="O31" s="2">
        <f>SUMIFS('OB History'!E:E,'OB History'!B:B,A31)-N31</f>
        <v>21</v>
      </c>
      <c r="P31" s="88">
        <f>LOOKUP(2, 1/('OB History'!$B:$B=A31), 'OB History'!$AB:$AB)</f>
        <v>0.495</v>
      </c>
      <c r="Q31" s="34">
        <f>SUMIFS('OB History'!H:H,'OB History'!B:B,'Old Bow v2'!A31)</f>
        <v>87</v>
      </c>
      <c r="R31" s="2">
        <f>SUMIFS('OB History'!G:G,'OB History'!B:B,'Old Bow v2'!A31)-Q31</f>
        <v>88</v>
      </c>
      <c r="S31" s="88">
        <f>LOOKUP(2, 1/('OB History'!$B:$B=A31), 'OB History'!$AC:$AC)</f>
        <v>0.48999999999999994</v>
      </c>
      <c r="T31" s="2">
        <f>COUNTIFS('OB History'!$B:$B,$A$31,'OB History'!K:K, 1)</f>
        <v>2</v>
      </c>
      <c r="U31" s="2">
        <f>COUNTIFS('OB History'!$B:$B,$A$31,'OB History'!L:L, 1)</f>
        <v>3</v>
      </c>
      <c r="V31" s="2">
        <f>COUNTIFS('OB History'!$B:$B,$A$31,'OB History'!M:M, 1)</f>
        <v>1</v>
      </c>
      <c r="W31" s="2">
        <f>COUNTIFS('OB History'!$B:$B,$A$31,'OB History'!N:N, 1)</f>
        <v>1</v>
      </c>
      <c r="X31" s="2">
        <f>COUNTIFS('OB History'!$B:$B,$A$31,'OB History'!O:O, 1)</f>
        <v>2</v>
      </c>
      <c r="Y31" s="2">
        <f>COUNTIFS('OB History'!$B:$B,$A$31,'OB History'!P:P, 1)</f>
        <v>2</v>
      </c>
      <c r="Z31" s="2">
        <f>COUNTIFS('OB History'!$B:$B,$A$31,'OB History'!Q:Q, 1)</f>
        <v>3</v>
      </c>
      <c r="AA31" s="2">
        <f>COUNTIFS('OB History'!$B:$B,$A$31,'OB History'!R:R, 1)</f>
        <v>0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1</v>
      </c>
      <c r="AF31" s="2">
        <f>COUNTIFS('OB History'!$B:$B,$A$31,'OB History'!W:W, 1)</f>
        <v>1</v>
      </c>
      <c r="AG31" s="2">
        <f>COUNTIFS('OB History'!$B:$B,$A$31,'OB History'!X:X, 1)</f>
        <v>3</v>
      </c>
      <c r="AH31" s="2">
        <f>COUNTIFS('OB History'!$B:$B,$A$31,'OB History'!Y:Y, 1)</f>
        <v>2</v>
      </c>
      <c r="AI31" s="2">
        <f>COUNTIFS('OB History'!$B:$B,$A$31,'OB History'!Z:Z, 1)</f>
        <v>1</v>
      </c>
    </row>
    <row r="32" spans="1:35" x14ac:dyDescent="0.25">
      <c r="A32" s="2" t="s">
        <v>148</v>
      </c>
      <c r="B32" s="6" t="s">
        <v>79</v>
      </c>
      <c r="C32" s="6" t="s">
        <v>79</v>
      </c>
      <c r="D32" s="3">
        <v>4</v>
      </c>
      <c r="E32" s="3">
        <v>1</v>
      </c>
      <c r="F32" s="3"/>
      <c r="G32" s="3"/>
      <c r="H32" s="34">
        <f>SUMIFS('OB History'!C:C,'OB History'!B:B,A32)</f>
        <v>389</v>
      </c>
      <c r="I32" s="4">
        <f>AVERAGEIFS('OB History'!C:C,'OB History'!B:B,A32)</f>
        <v>13.413793103448276</v>
      </c>
      <c r="J32" s="35">
        <f t="array" ref="J32">MAX(IF('OB History'!B:B=A32, 'OB History'!C:C))</f>
        <v>23</v>
      </c>
      <c r="K32" s="34">
        <f>COUNTIFS('OB History'!B:B,A32,'OB History'!D:D, 1)</f>
        <v>17</v>
      </c>
      <c r="L32" s="2">
        <f>COUNTIFS('OB History'!B:B,A32,'OB History'!D:D, 0)</f>
        <v>12</v>
      </c>
      <c r="M32" s="88">
        <f>LOOKUP(2, 1/('OB History'!$B:$B=A32), 'OB History'!$AD:$AD)</f>
        <v>0.58620689655172409</v>
      </c>
      <c r="N32" s="34">
        <f>SUMIFS('OB History'!F:F,'OB History'!B:B,A32)</f>
        <v>64</v>
      </c>
      <c r="O32" s="2">
        <f>SUMIFS('OB History'!E:E,'OB History'!B:B,A32)-N32</f>
        <v>54</v>
      </c>
      <c r="P32" s="88">
        <f>LOOKUP(2, 1/('OB History'!$B:$B=A32), 'OB History'!$AB:$AB)</f>
        <v>0.55689655172413788</v>
      </c>
      <c r="Q32" s="34">
        <f>SUMIFS('OB History'!H:H,'OB History'!B:B,'Old Bow v2'!A32)</f>
        <v>250</v>
      </c>
      <c r="R32" s="2">
        <f>SUMIFS('OB History'!G:G,'OB History'!B:B,'Old Bow v2'!A32)-Q32</f>
        <v>234</v>
      </c>
      <c r="S32" s="88">
        <f>LOOKUP(2, 1/('OB History'!$B:$B=A32), 'OB History'!$AC:$AC)</f>
        <v>0.52241379310344838</v>
      </c>
      <c r="T32" s="2">
        <f>COUNTIFS('OB History'!$B:$B,$A$32,'OB History'!K:K, 1)</f>
        <v>2</v>
      </c>
      <c r="U32" s="2">
        <f>COUNTIFS('OB History'!$B:$B,$A$32,'OB History'!L:L, 1)</f>
        <v>5</v>
      </c>
      <c r="V32" s="2">
        <f>COUNTIFS('OB History'!$B:$B,$A$32,'OB History'!M:M, 1)</f>
        <v>2</v>
      </c>
      <c r="W32" s="2">
        <f>COUNTIFS('OB History'!$B:$B,$A$32,'OB History'!N:N, 1)</f>
        <v>6</v>
      </c>
      <c r="X32" s="2">
        <f>COUNTIFS('OB History'!$B:$B,$A$32,'OB History'!O:O, 1)</f>
        <v>0</v>
      </c>
      <c r="Y32" s="2">
        <f>COUNTIFS('OB History'!$B:$B,$A$32,'OB History'!P:P, 1)</f>
        <v>4</v>
      </c>
      <c r="Z32" s="2">
        <f>COUNTIFS('OB History'!$B:$B,$A$32,'OB History'!Q:Q, 1)</f>
        <v>2</v>
      </c>
      <c r="AA32" s="2">
        <f>COUNTIFS('OB History'!$B:$B,$A$32,'OB History'!R:R, 1)</f>
        <v>3</v>
      </c>
      <c r="AB32" s="2">
        <f>COUNTIFS('OB History'!$B:$B,$A$32,'OB History'!S:S, 1)</f>
        <v>2</v>
      </c>
      <c r="AC32" s="2">
        <f>COUNTIFS('OB History'!$B:$B,$A$32,'OB History'!T:T, 1)</f>
        <v>2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3</v>
      </c>
      <c r="AG32" s="2">
        <f>COUNTIFS('OB History'!$B:$B,$A$32,'OB History'!X:X, 1)</f>
        <v>13</v>
      </c>
      <c r="AH32" s="2">
        <f>COUNTIFS('OB History'!$B:$B,$A$32,'OB History'!Y:Y, 1)</f>
        <v>8</v>
      </c>
      <c r="AI32" s="2">
        <f>COUNTIFS('OB History'!$B:$B,$A$32,'OB History'!Z:Z, 1)</f>
        <v>10</v>
      </c>
    </row>
    <row r="33" spans="1:35" x14ac:dyDescent="0.25">
      <c r="A33" s="2" t="s">
        <v>15</v>
      </c>
      <c r="B33" s="2" t="s">
        <v>79</v>
      </c>
      <c r="C33" s="2" t="s">
        <v>79</v>
      </c>
      <c r="D33" s="3">
        <v>3</v>
      </c>
      <c r="E33" s="3"/>
      <c r="F33" s="3"/>
      <c r="G33" s="3"/>
      <c r="H33" s="34">
        <f>SUMIFS('OB History'!C:C,'OB History'!B:B,A33)</f>
        <v>895</v>
      </c>
      <c r="I33" s="4">
        <f>AVERAGEIFS('OB History'!C:C,'OB History'!B:B,A33)</f>
        <v>24.189189189189189</v>
      </c>
      <c r="J33" s="35">
        <f t="array" ref="J33">MAX(IF('OB History'!B:B=A33, 'OB History'!C:C))</f>
        <v>55</v>
      </c>
      <c r="K33" s="34">
        <f>COUNTIFS('OB History'!B:B,A33,'OB History'!D:D, 1)</f>
        <v>15</v>
      </c>
      <c r="L33" s="2">
        <f>COUNTIFS('OB History'!B:B,A33,'OB History'!D:D, 0)</f>
        <v>22</v>
      </c>
      <c r="M33" s="88">
        <f>LOOKUP(2, 1/('OB History'!$B:$B=A33), 'OB History'!$AD:$AD)</f>
        <v>0.40540540540540543</v>
      </c>
      <c r="N33" s="34">
        <f>SUMIFS('OB History'!F:F,'OB History'!B:B,A33)</f>
        <v>73</v>
      </c>
      <c r="O33" s="2">
        <f>SUMIFS('OB History'!E:E,'OB History'!B:B,A33)-N33</f>
        <v>80</v>
      </c>
      <c r="P33" s="88">
        <f>LOOKUP(2, 1/('OB History'!$B:$B=A33), 'OB History'!$AB:$AB)</f>
        <v>0.48918918918918924</v>
      </c>
      <c r="Q33" s="34">
        <f>SUMIFS('OB History'!H:H,'OB History'!B:B,'Old Bow v2'!A33)</f>
        <v>316</v>
      </c>
      <c r="R33" s="2">
        <f>SUMIFS('OB History'!G:G,'OB History'!B:B,'Old Bow v2'!A33)-Q33</f>
        <v>323</v>
      </c>
      <c r="S33" s="88">
        <f>LOOKUP(2, 1/('OB History'!$B:$B=A33), 'OB History'!$AC:$AC)</f>
        <v>0.5008108108108108</v>
      </c>
      <c r="T33" s="2">
        <f>COUNTIFS('OB History'!$B:$B,$A$33,'OB History'!K:K, 1)</f>
        <v>4</v>
      </c>
      <c r="U33" s="2">
        <f>COUNTIFS('OB History'!$B:$B,$A$33,'OB History'!L:L, 1)</f>
        <v>3</v>
      </c>
      <c r="V33" s="2">
        <f>COUNTIFS('OB History'!$B:$B,$A$33,'OB History'!M:M, 1)</f>
        <v>0</v>
      </c>
      <c r="W33" s="2">
        <f>COUNTIFS('OB History'!$B:$B,$A$33,'OB History'!N:N, 1)</f>
        <v>10</v>
      </c>
      <c r="X33" s="2">
        <f>COUNTIFS('OB History'!$B:$B,$A$33,'OB History'!O:O, 1)</f>
        <v>0</v>
      </c>
      <c r="Y33" s="2">
        <f>COUNTIFS('OB History'!$B:$B,$A$33,'OB History'!P:P, 1)</f>
        <v>7</v>
      </c>
      <c r="Z33" s="2">
        <f>COUNTIFS('OB History'!$B:$B,$A$33,'OB History'!Q:Q, 1)</f>
        <v>4</v>
      </c>
      <c r="AA33" s="2">
        <f>COUNTIFS('OB History'!$B:$B,$A$33,'OB History'!R:R, 1)</f>
        <v>1</v>
      </c>
      <c r="AB33" s="2">
        <f>COUNTIFS('OB History'!$B:$B,$A$33,'OB History'!S:S, 1)</f>
        <v>1</v>
      </c>
      <c r="AC33" s="2">
        <f>COUNTIFS('OB History'!$B:$B,$A$33,'OB History'!T:T, 1)</f>
        <v>1</v>
      </c>
      <c r="AD33" s="2">
        <f>COUNTIFS('OB History'!$B:$B,$A$33,'OB History'!U:U, 1)</f>
        <v>1</v>
      </c>
      <c r="AE33" s="2">
        <f>COUNTIFS('OB History'!$B:$B,$A$33,'OB History'!V:V, 1)</f>
        <v>1</v>
      </c>
      <c r="AF33" s="2">
        <f>COUNTIFS('OB History'!$B:$B,$A$33,'OB History'!W:W, 1)</f>
        <v>6</v>
      </c>
      <c r="AG33" s="2">
        <f>COUNTIFS('OB History'!$B:$B,$A$33,'OB History'!X:X, 1)</f>
        <v>17</v>
      </c>
      <c r="AH33" s="2">
        <f>COUNTIFS('OB History'!$B:$B,$A$33,'OB History'!Y:Y, 1)</f>
        <v>7</v>
      </c>
      <c r="AI33" s="2">
        <f>COUNTIFS('OB History'!$B:$B,$A$33,'OB History'!Z:Z, 1)</f>
        <v>10</v>
      </c>
    </row>
    <row r="34" spans="1:35" x14ac:dyDescent="0.25">
      <c r="A34" s="2" t="s">
        <v>161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31</v>
      </c>
      <c r="I34" s="4">
        <f>AVERAGEIFS('OB History'!C:C,'OB History'!B:B,A34)</f>
        <v>15.5</v>
      </c>
      <c r="J34" s="35">
        <f t="array" ref="J34">MAX(IF('OB History'!B:B=A34, 'OB History'!C:C))</f>
        <v>16</v>
      </c>
      <c r="K34" s="34">
        <f>COUNTIFS('OB History'!B:B,A34,'OB History'!D:D, 1)</f>
        <v>0</v>
      </c>
      <c r="L34" s="2">
        <f>COUNTIFS('OB History'!B:B,A34,'OB History'!D:D, 0)</f>
        <v>2</v>
      </c>
      <c r="M34" s="88">
        <f>LOOKUP(2, 1/('OB History'!$B:$B=A34), 'OB History'!$AD:$AD)</f>
        <v>0</v>
      </c>
      <c r="N34" s="34">
        <f>SUMIFS('OB History'!F:F,'OB History'!B:B,A34)</f>
        <v>2</v>
      </c>
      <c r="O34" s="2">
        <f>SUMIFS('OB History'!E:E,'OB History'!B:B,A34)-N34</f>
        <v>6</v>
      </c>
      <c r="P34" s="88">
        <f>LOOKUP(2, 1/('OB History'!$B:$B=A34), 'OB History'!$AB:$AB)</f>
        <v>0.25</v>
      </c>
      <c r="Q34" s="34">
        <f>SUMIFS('OB History'!H:H,'OB History'!B:B,'Old Bow v2'!A34)</f>
        <v>16</v>
      </c>
      <c r="R34" s="2">
        <f>SUMIFS('OB History'!G:G,'OB History'!B:B,'Old Bow v2'!A34)-Q34</f>
        <v>22</v>
      </c>
      <c r="S34" s="88">
        <f>LOOKUP(2, 1/('OB History'!$B:$B=A34), 'OB History'!$AC:$AC)</f>
        <v>0.42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0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1</v>
      </c>
      <c r="AG34" s="2">
        <f>COUNTIFS('OB History'!$B:$B,$A$34,'OB History'!X:X, 1)</f>
        <v>0</v>
      </c>
      <c r="AH34" s="2">
        <f>COUNTIFS('OB History'!$B:$B,$A$34,'OB History'!Y:Y, 1)</f>
        <v>1</v>
      </c>
      <c r="AI34" s="2">
        <f>COUNTIFS('OB History'!$B:$B,$A$34,'OB History'!Z:Z, 1)</f>
        <v>0</v>
      </c>
    </row>
    <row r="35" spans="1:35" x14ac:dyDescent="0.25">
      <c r="A35" s="1" t="s">
        <v>43</v>
      </c>
      <c r="B35" s="2" t="s">
        <v>79</v>
      </c>
      <c r="C35" s="2" t="s">
        <v>79</v>
      </c>
      <c r="D35" s="3"/>
      <c r="E35" s="3"/>
      <c r="F35" s="3"/>
      <c r="G35" s="3"/>
      <c r="H35" s="34">
        <f>SUMIFS('OB History'!C:C,'OB History'!B:B,A35)</f>
        <v>4</v>
      </c>
      <c r="I35" s="4">
        <f>AVERAGEIFS('OB History'!C:C,'OB History'!B:B,A35)</f>
        <v>4</v>
      </c>
      <c r="J35" s="35">
        <f t="array" ref="J35">MAX(IF('OB History'!B:B=A35, 'OB History'!C:C))</f>
        <v>4</v>
      </c>
      <c r="K35" s="34">
        <f>COUNTIFS('OB History'!B:B,A35,'OB History'!D:D, 1)</f>
        <v>1</v>
      </c>
      <c r="L35" s="2">
        <f>COUNTIFS('OB History'!B:B,A35,'OB History'!D:D, 0)</f>
        <v>0</v>
      </c>
      <c r="M35" s="88">
        <f>LOOKUP(2, 1/('OB History'!$B:$B=A35), 'OB History'!$AD:$AD)</f>
        <v>1</v>
      </c>
      <c r="N35" s="34">
        <f>SUMIFS('OB History'!F:F,'OB History'!B:B,A35)</f>
        <v>3</v>
      </c>
      <c r="O35" s="2">
        <f>SUMIFS('OB History'!E:E,'OB History'!B:B,A35)-N35</f>
        <v>0</v>
      </c>
      <c r="P35" s="88">
        <f>LOOKUP(2, 1/('OB History'!$B:$B=A35), 'OB History'!$AB:$AB)</f>
        <v>1</v>
      </c>
      <c r="Q35" s="34">
        <f>SUMIFS('OB History'!H:H,'OB History'!B:B,'Old Bow v2'!A35)</f>
        <v>9</v>
      </c>
      <c r="R35" s="2">
        <f>SUMIFS('OB History'!G:G,'OB History'!B:B,'Old Bow v2'!A35)-Q35</f>
        <v>4</v>
      </c>
      <c r="S35" s="88">
        <f>LOOKUP(2, 1/('OB History'!$B:$B=A35), 'OB History'!$AC:$AC)</f>
        <v>0.69</v>
      </c>
      <c r="T35" s="2">
        <f>COUNTIFS('OB History'!$B:$B,$A$35,'OB History'!K:K, 1)</f>
        <v>0</v>
      </c>
      <c r="U35" s="2">
        <f>COUNTIFS('OB History'!$B:$B,$A$35,'OB History'!L:L, 1)</f>
        <v>0</v>
      </c>
      <c r="V35" s="2">
        <f>COUNTIFS('OB History'!$B:$B,$A$35,'OB History'!M:M, 1)</f>
        <v>0</v>
      </c>
      <c r="W35" s="2">
        <f>COUNTIFS('OB History'!$B:$B,$A$35,'OB History'!N:N, 1)</f>
        <v>0</v>
      </c>
      <c r="X35" s="2">
        <f>COUNTIFS('OB History'!$B:$B,$A$35,'OB History'!O:O, 1)</f>
        <v>0</v>
      </c>
      <c r="Y35" s="2">
        <f>COUNTIFS('OB History'!$B:$B,$A$35,'OB History'!P:P, 1)</f>
        <v>1</v>
      </c>
      <c r="Z35" s="2">
        <f>COUNTIFS('OB History'!$B:$B,$A$35,'OB History'!Q:Q, 1)</f>
        <v>0</v>
      </c>
      <c r="AA35" s="2">
        <f>COUNTIFS('OB History'!$B:$B,$A$35,'OB History'!R:R, 1)</f>
        <v>0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0</v>
      </c>
      <c r="AG35" s="2">
        <f>COUNTIFS('OB History'!$B:$B,$A$35,'OB History'!X:X, 1)</f>
        <v>1</v>
      </c>
      <c r="AH35" s="2">
        <f>COUNTIFS('OB History'!$B:$B,$A$35,'OB History'!Y:Y, 1)</f>
        <v>0</v>
      </c>
      <c r="AI35" s="2">
        <f>COUNTIFS('OB History'!$B:$B,$A$35,'OB History'!Z:Z, 1)</f>
        <v>1</v>
      </c>
    </row>
    <row r="36" spans="1:35" x14ac:dyDescent="0.25">
      <c r="A36" s="2" t="s">
        <v>13</v>
      </c>
      <c r="B36" s="6" t="s">
        <v>124</v>
      </c>
      <c r="C36" s="1" t="s">
        <v>159</v>
      </c>
      <c r="D36" s="3">
        <v>6</v>
      </c>
      <c r="E36" s="3">
        <v>1</v>
      </c>
      <c r="F36" s="3">
        <v>1</v>
      </c>
      <c r="G36" s="3"/>
      <c r="H36" s="34">
        <f>SUMIFS('OB History'!C:C,'OB History'!B:B,A36)</f>
        <v>1600</v>
      </c>
      <c r="I36" s="4">
        <f>AVERAGEIFS('OB History'!C:C,'OB History'!B:B,A36)</f>
        <v>26.666666666666668</v>
      </c>
      <c r="J36" s="35">
        <f t="array" ref="J36">MAX(IF('OB History'!B:B=A36, 'OB History'!C:C))</f>
        <v>58</v>
      </c>
      <c r="K36" s="34">
        <f>COUNTIFS('OB History'!B:B,A36,'OB History'!D:D, 1)</f>
        <v>37</v>
      </c>
      <c r="L36" s="2">
        <f>COUNTIFS('OB History'!B:B,A36,'OB History'!D:D, 0)</f>
        <v>23</v>
      </c>
      <c r="M36" s="88">
        <f>LOOKUP(2, 1/('OB History'!$B:$B=A36), 'OB History'!$AD:$AD)</f>
        <v>0.6166666666666667</v>
      </c>
      <c r="N36" s="34">
        <f>SUMIFS('OB History'!F:F,'OB History'!B:B,A36)</f>
        <v>137</v>
      </c>
      <c r="O36" s="2">
        <f>SUMIFS('OB History'!E:E,'OB History'!B:B,A36)-N36</f>
        <v>107</v>
      </c>
      <c r="P36" s="88">
        <f>LOOKUP(2, 1/('OB History'!$B:$B=A36), 'OB History'!$AB:$AB)</f>
        <v>0.56833333333333336</v>
      </c>
      <c r="Q36" s="34">
        <f>SUMIFS('OB History'!H:H,'OB History'!B:B,'Old Bow v2'!A36)</f>
        <v>540</v>
      </c>
      <c r="R36" s="2">
        <f>SUMIFS('OB History'!G:G,'OB History'!B:B,'Old Bow v2'!A36)-Q36</f>
        <v>459</v>
      </c>
      <c r="S36" s="88">
        <f>LOOKUP(2, 1/('OB History'!$B:$B=A36), 'OB History'!$AC:$AC)</f>
        <v>0.54333333333333322</v>
      </c>
      <c r="T36" s="2">
        <f>COUNTIFS('OB History'!$B:$B,$A$36,'OB History'!K:K, 1)</f>
        <v>7</v>
      </c>
      <c r="U36" s="2">
        <f>COUNTIFS('OB History'!$B:$B,$A$36,'OB History'!L:L, 1)</f>
        <v>11</v>
      </c>
      <c r="V36" s="2">
        <f>COUNTIFS('OB History'!$B:$B,$A$36,'OB History'!M:M, 1)</f>
        <v>3</v>
      </c>
      <c r="W36" s="2">
        <f>COUNTIFS('OB History'!$B:$B,$A$36,'OB History'!N:N, 1)</f>
        <v>15</v>
      </c>
      <c r="X36" s="2">
        <f>COUNTIFS('OB History'!$B:$B,$A$36,'OB History'!O:O, 1)</f>
        <v>3</v>
      </c>
      <c r="Y36" s="2">
        <f>COUNTIFS('OB History'!$B:$B,$A$36,'OB History'!P:P, 1)</f>
        <v>18</v>
      </c>
      <c r="Z36" s="2">
        <f>COUNTIFS('OB History'!$B:$B,$A$36,'OB History'!Q:Q, 1)</f>
        <v>5</v>
      </c>
      <c r="AA36" s="2">
        <f>COUNTIFS('OB History'!$B:$B,$A$36,'OB History'!R:R, 1)</f>
        <v>4</v>
      </c>
      <c r="AB36" s="2">
        <f>COUNTIFS('OB History'!$B:$B,$A$36,'OB History'!S:S, 1)</f>
        <v>2</v>
      </c>
      <c r="AC36" s="2">
        <f>COUNTIFS('OB History'!$B:$B,$A$36,'OB History'!T:T, 1)</f>
        <v>4</v>
      </c>
      <c r="AD36" s="2">
        <f>COUNTIFS('OB History'!$B:$B,$A$36,'OB History'!U:U, 1)</f>
        <v>2</v>
      </c>
      <c r="AE36" s="2">
        <f>COUNTIFS('OB History'!$B:$B,$A$36,'OB History'!V:V, 1)</f>
        <v>5</v>
      </c>
      <c r="AF36" s="2">
        <f>COUNTIFS('OB History'!$B:$B,$A$36,'OB History'!W:W, 1)</f>
        <v>12</v>
      </c>
      <c r="AG36" s="2">
        <f>COUNTIFS('OB History'!$B:$B,$A$36,'OB History'!X:X, 1)</f>
        <v>15</v>
      </c>
      <c r="AH36" s="2">
        <f>COUNTIFS('OB History'!$B:$B,$A$36,'OB History'!Y:Y, 1)</f>
        <v>13</v>
      </c>
      <c r="AI36" s="2">
        <f>COUNTIFS('OB History'!$B:$B,$A$36,'OB History'!Z:Z, 1)</f>
        <v>18</v>
      </c>
    </row>
    <row r="37" spans="1:35" x14ac:dyDescent="0.25">
      <c r="A37" s="2" t="s">
        <v>2</v>
      </c>
      <c r="B37" s="6" t="s">
        <v>60</v>
      </c>
      <c r="C37" s="2" t="s">
        <v>79</v>
      </c>
      <c r="D37" s="3"/>
      <c r="E37" s="3"/>
      <c r="F37" s="3"/>
      <c r="G37" s="3"/>
      <c r="H37" s="34">
        <f>SUMIFS('OB History'!C:C,'OB History'!B:B,A37)</f>
        <v>438</v>
      </c>
      <c r="I37" s="4">
        <f>AVERAGEIFS('OB History'!C:C,'OB History'!B:B,A37)</f>
        <v>27.375</v>
      </c>
      <c r="J37" s="35">
        <f t="array" ref="J37">MAX(IF('OB History'!B:B=A37, 'OB History'!C:C))</f>
        <v>52</v>
      </c>
      <c r="K37" s="34">
        <f>COUNTIFS('OB History'!B:B,A37,'OB History'!D:D, 1)</f>
        <v>9</v>
      </c>
      <c r="L37" s="2">
        <f>COUNTIFS('OB History'!B:B,A37,'OB History'!D:D, 0)</f>
        <v>7</v>
      </c>
      <c r="M37" s="88">
        <f>LOOKUP(2, 1/('OB History'!$B:$B=A37), 'OB History'!$AD:$AD)</f>
        <v>0.5625</v>
      </c>
      <c r="N37" s="34">
        <f>SUMIFS('OB History'!F:F,'OB History'!B:B,A37)</f>
        <v>38</v>
      </c>
      <c r="O37" s="2">
        <f>SUMIFS('OB History'!E:E,'OB History'!B:B,A37)-N37</f>
        <v>29</v>
      </c>
      <c r="P37" s="88">
        <f>LOOKUP(2, 1/('OB History'!$B:$B=A37), 'OB History'!$AB:$AB)</f>
        <v>0.59062500000000007</v>
      </c>
      <c r="Q37" s="34">
        <f>SUMIFS('OB History'!H:H,'OB History'!B:B,'Old Bow v2'!A37)</f>
        <v>152</v>
      </c>
      <c r="R37" s="2">
        <f>SUMIFS('OB History'!G:G,'OB History'!B:B,'Old Bow v2'!A37)-Q37</f>
        <v>131</v>
      </c>
      <c r="S37" s="88">
        <f>LOOKUP(2, 1/('OB History'!$B:$B=A37), 'OB History'!$AC:$AC)</f>
        <v>0.54812499999999997</v>
      </c>
      <c r="T37" s="2">
        <f>COUNTIFS('OB History'!$B:$B,$A$37,'OB History'!K:K, 1)</f>
        <v>2</v>
      </c>
      <c r="U37" s="2">
        <f>COUNTIFS('OB History'!$B:$B,$A$37,'OB History'!L:L, 1)</f>
        <v>4</v>
      </c>
      <c r="V37" s="2">
        <f>COUNTIFS('OB History'!$B:$B,$A$37,'OB History'!M:M, 1)</f>
        <v>2</v>
      </c>
      <c r="W37" s="2">
        <f>COUNTIFS('OB History'!$B:$B,$A$37,'OB History'!N:N, 1)</f>
        <v>8</v>
      </c>
      <c r="X37" s="2">
        <f>COUNTIFS('OB History'!$B:$B,$A$37,'OB History'!O:O, 1)</f>
        <v>0</v>
      </c>
      <c r="Y37" s="2">
        <f>COUNTIFS('OB History'!$B:$B,$A$37,'OB History'!P:P, 1)</f>
        <v>3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5</v>
      </c>
      <c r="AG37" s="2">
        <f>COUNTIFS('OB History'!$B:$B,$A$37,'OB History'!X:X, 1)</f>
        <v>3</v>
      </c>
      <c r="AH37" s="2">
        <f>COUNTIFS('OB History'!$B:$B,$A$37,'OB History'!Y:Y, 1)</f>
        <v>4</v>
      </c>
      <c r="AI37" s="2">
        <f>COUNTIFS('OB History'!$B:$B,$A$37,'OB History'!Z:Z, 1)</f>
        <v>6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3"/>
      <c r="F38" s="3"/>
      <c r="G38" s="3"/>
      <c r="H38" s="34">
        <f>SUMIFS('OB History'!C:C,'OB History'!B:B,A38)</f>
        <v>65</v>
      </c>
      <c r="I38" s="4">
        <f>AVERAGEIFS('OB History'!C:C,'OB History'!B:B,A38)</f>
        <v>21.666666666666668</v>
      </c>
      <c r="J38" s="35">
        <f t="array" ref="J38">MAX(IF('OB History'!B:B=A38, 'OB History'!C:C))</f>
        <v>29</v>
      </c>
      <c r="K38" s="34">
        <f>COUNTIFS('OB History'!B:B,A38,'OB History'!D:D, 1)</f>
        <v>3</v>
      </c>
      <c r="L38" s="2">
        <f>COUNTIFS('OB History'!B:B,A38,'OB History'!D:D, 0)</f>
        <v>0</v>
      </c>
      <c r="M38" s="88">
        <f>LOOKUP(2, 1/('OB History'!$B:$B=A38), 'OB History'!$AD:$AD)</f>
        <v>1</v>
      </c>
      <c r="N38" s="34">
        <f>SUMIFS('OB History'!F:F,'OB History'!B:B,A38)</f>
        <v>9</v>
      </c>
      <c r="O38" s="2">
        <f>SUMIFS('OB History'!E:E,'OB History'!B:B,A38)-N38</f>
        <v>6</v>
      </c>
      <c r="P38" s="88">
        <f>LOOKUP(2, 1/('OB History'!$B:$B=A38), 'OB History'!$AB:$AB)</f>
        <v>0.6</v>
      </c>
      <c r="Q38" s="34">
        <f>SUMIFS('OB History'!H:H,'OB History'!B:B,'Old Bow v2'!A38)</f>
        <v>36</v>
      </c>
      <c r="R38" s="2">
        <f>SUMIFS('OB History'!G:G,'OB History'!B:B,'Old Bow v2'!A38)-Q38</f>
        <v>26</v>
      </c>
      <c r="S38" s="88">
        <f>LOOKUP(2, 1/('OB History'!$B:$B=A38), 'OB History'!$AC:$AC)</f>
        <v>0.57999999999999996</v>
      </c>
      <c r="T38" s="2">
        <f>COUNTIFS('OB History'!$B:$B,$A$38,'OB History'!K:K, 1)</f>
        <v>0</v>
      </c>
      <c r="U38" s="2">
        <f>COUNTIFS('OB History'!$B:$B,$A$38,'OB History'!L:L, 1)</f>
        <v>1</v>
      </c>
      <c r="V38" s="2">
        <f>COUNTIFS('OB History'!$B:$B,$A$38,'OB History'!M:M, 1)</f>
        <v>0</v>
      </c>
      <c r="W38" s="2">
        <f>COUNTIFS('OB History'!$B:$B,$A$38,'OB History'!N:N, 1)</f>
        <v>1</v>
      </c>
      <c r="X38" s="2">
        <f>COUNTIFS('OB History'!$B:$B,$A$38,'OB History'!O:O, 1)</f>
        <v>2</v>
      </c>
      <c r="Y38" s="2">
        <f>COUNTIFS('OB History'!$B:$B,$A$38,'OB History'!P:P, 1)</f>
        <v>1</v>
      </c>
      <c r="Z38" s="2">
        <f>COUNTIFS('OB History'!$B:$B,$A$38,'OB History'!Q:Q, 1)</f>
        <v>2</v>
      </c>
      <c r="AA38" s="2">
        <f>COUNTIFS('OB History'!$B:$B,$A$38,'OB History'!R:R, 1)</f>
        <v>0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1</v>
      </c>
      <c r="AF38" s="2">
        <f>COUNTIFS('OB History'!$B:$B,$A$38,'OB History'!W:W, 1)</f>
        <v>1</v>
      </c>
      <c r="AG38" s="2">
        <f>COUNTIFS('OB History'!$B:$B,$A$38,'OB History'!X:X, 1)</f>
        <v>0</v>
      </c>
      <c r="AH38" s="2">
        <f>COUNTIFS('OB History'!$B:$B,$A$38,'OB History'!Y:Y, 1)</f>
        <v>0</v>
      </c>
      <c r="AI38" s="2">
        <f>COUNTIFS('OB History'!$B:$B,$A$38,'OB History'!Z:Z,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3</v>
      </c>
      <c r="E39" s="3"/>
      <c r="F39" s="3"/>
      <c r="G39" s="3"/>
      <c r="H39" s="34">
        <f>SUMIFS('OB History'!C:C,'OB History'!B:B,A39)</f>
        <v>428</v>
      </c>
      <c r="I39" s="4">
        <f>AVERAGEIFS('OB History'!C:C,'OB History'!B:B,A39)</f>
        <v>25.176470588235293</v>
      </c>
      <c r="J39" s="35">
        <f t="array" ref="J39">MAX(IF('OB History'!B:B=A39, 'OB History'!C:C))</f>
        <v>51</v>
      </c>
      <c r="K39" s="34">
        <f>COUNTIFS('OB History'!B:B,A39,'OB History'!D:D, 1)</f>
        <v>9</v>
      </c>
      <c r="L39" s="2">
        <f>COUNTIFS('OB History'!B:B,A39,'OB History'!D:D, 0)</f>
        <v>8</v>
      </c>
      <c r="M39" s="88">
        <f>LOOKUP(2, 1/('OB History'!$B:$B=A39), 'OB History'!$AD:$AD)</f>
        <v>0.52941176470588236</v>
      </c>
      <c r="N39" s="34">
        <f>SUMIFS('OB History'!F:F,'OB History'!B:B,A39)</f>
        <v>36</v>
      </c>
      <c r="O39" s="2">
        <f>SUMIFS('OB History'!E:E,'OB History'!B:B,A39)-N39</f>
        <v>37</v>
      </c>
      <c r="P39" s="88">
        <f>LOOKUP(2, 1/('OB History'!$B:$B=A39), 'OB History'!$AB:$AB)</f>
        <v>0.48823529411764699</v>
      </c>
      <c r="Q39" s="34">
        <f>SUMIFS('OB History'!H:H,'OB History'!B:B,'Old Bow v2'!A39)</f>
        <v>152</v>
      </c>
      <c r="R39" s="2">
        <f>SUMIFS('OB History'!G:G,'OB History'!B:B,'Old Bow v2'!A39)-Q39</f>
        <v>152</v>
      </c>
      <c r="S39" s="88">
        <f>LOOKUP(2, 1/('OB History'!$B:$B=A39), 'OB History'!$AC:$AC)</f>
        <v>0.49176470588235288</v>
      </c>
      <c r="T39" s="2">
        <f>COUNTIFS('OB History'!$B:$B,$A$39,'OB History'!K:K, 1)</f>
        <v>2</v>
      </c>
      <c r="U39" s="2">
        <f>COUNTIFS('OB History'!$B:$B,$A$39,'OB History'!L:L, 1)</f>
        <v>4</v>
      </c>
      <c r="V39" s="2">
        <f>COUNTIFS('OB History'!$B:$B,$A$39,'OB History'!M:M, 1)</f>
        <v>4</v>
      </c>
      <c r="W39" s="2">
        <f>COUNTIFS('OB History'!$B:$B,$A$39,'OB History'!N:N, 1)</f>
        <v>4</v>
      </c>
      <c r="X39" s="2">
        <f>COUNTIFS('OB History'!$B:$B,$A$39,'OB History'!O:O, 1)</f>
        <v>3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6</v>
      </c>
      <c r="AH39" s="2">
        <f>COUNTIFS('OB History'!$B:$B,$A$39,'OB History'!Y:Y, 1)</f>
        <v>4</v>
      </c>
      <c r="AI39" s="2">
        <f>COUNTIFS('OB History'!$B:$B,$A$39,'OB History'!Z:Z, 1)</f>
        <v>3</v>
      </c>
    </row>
    <row r="40" spans="1:35" x14ac:dyDescent="0.25">
      <c r="A40" s="2" t="s">
        <v>38</v>
      </c>
      <c r="B40" s="2" t="s">
        <v>79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105</v>
      </c>
      <c r="I40" s="4">
        <f>AVERAGEIFS('OB History'!C:C,'OB History'!B:B,A40)</f>
        <v>8.0769230769230766</v>
      </c>
      <c r="J40" s="35">
        <f t="array" ref="J40">MAX(IF('OB History'!B:B=A40, 'OB History'!C:C))</f>
        <v>28</v>
      </c>
      <c r="K40" s="34">
        <f>COUNTIFS('OB History'!B:B,A40,'OB History'!D:D, 1)</f>
        <v>6</v>
      </c>
      <c r="L40" s="2">
        <f>COUNTIFS('OB History'!B:B,A40,'OB History'!D:D, 0)</f>
        <v>7</v>
      </c>
      <c r="M40" s="88">
        <f>LOOKUP(2, 1/('OB History'!$B:$B=A40), 'OB History'!$AD:$AD)</f>
        <v>0.46153846153846156</v>
      </c>
      <c r="N40" s="34">
        <f>SUMIFS('OB History'!F:F,'OB History'!B:B,A40)</f>
        <v>23</v>
      </c>
      <c r="O40" s="2">
        <f>SUMIFS('OB History'!E:E,'OB History'!B:B,A40)-N40</f>
        <v>28</v>
      </c>
      <c r="P40" s="88">
        <f>LOOKUP(2, 1/('OB History'!$B:$B=A40), 'OB History'!$AB:$AB)</f>
        <v>0.43076923076923079</v>
      </c>
      <c r="Q40" s="34">
        <f>SUMIFS('OB History'!H:H,'OB History'!B:B,'Old Bow v2'!A40)</f>
        <v>96</v>
      </c>
      <c r="R40" s="2">
        <f>SUMIFS('OB History'!G:G,'OB History'!B:B,'Old Bow v2'!A40)-Q40</f>
        <v>112</v>
      </c>
      <c r="S40" s="88">
        <f>LOOKUP(2, 1/('OB History'!$B:$B=A40), 'OB History'!$AC:$AC)</f>
        <v>0.4538461538461539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1</v>
      </c>
      <c r="W40" s="2">
        <f>COUNTIFS('OB History'!$B:$B,$A$40,'OB History'!N:N, 1)</f>
        <v>3</v>
      </c>
      <c r="X40" s="2">
        <f>COUNTIFS('OB History'!$B:$B,$A$40,'OB History'!O:O, 1)</f>
        <v>0</v>
      </c>
      <c r="Y40" s="2">
        <f>COUNTIFS('OB History'!$B:$B,$A$40,'OB History'!P:P, 1)</f>
        <v>3</v>
      </c>
      <c r="Z40" s="2">
        <f>COUNTIFS('OB History'!$B:$B,$A$40,'OB History'!Q:Q, 1)</f>
        <v>1</v>
      </c>
      <c r="AA40" s="2">
        <f>COUNTIFS('OB History'!$B:$B,$A$40,'OB History'!R:R, 1)</f>
        <v>3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2</v>
      </c>
      <c r="AG40" s="2">
        <f>COUNTIFS('OB History'!$B:$B,$A$40,'OB History'!X:X, 1)</f>
        <v>3</v>
      </c>
      <c r="AH40" s="2">
        <f>COUNTIFS('OB History'!$B:$B,$A$40,'OB History'!Y:Y, 1)</f>
        <v>2</v>
      </c>
      <c r="AI40" s="2">
        <f>COUNTIFS('OB History'!$B:$B,$A$40,'OB History'!Z:Z, 1)</f>
        <v>3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3"/>
      <c r="F41" s="3"/>
      <c r="G41" s="3"/>
      <c r="H41" s="34">
        <f>SUMIFS('OB History'!C:C,'OB History'!B:B,A41)</f>
        <v>101</v>
      </c>
      <c r="I41" s="4">
        <f>AVERAGEIFS('OB History'!C:C,'OB History'!B:B,A41)</f>
        <v>16.833333333333332</v>
      </c>
      <c r="J41" s="35">
        <f t="array" ref="J41">MAX(IF('OB History'!B:B=A41, 'OB History'!C:C))</f>
        <v>24</v>
      </c>
      <c r="K41" s="34">
        <f>COUNTIFS('OB History'!B:B,A41,'OB History'!D:D, 1)</f>
        <v>1</v>
      </c>
      <c r="L41" s="2">
        <f>COUNTIFS('OB History'!B:B,A41,'OB History'!D:D, 0)</f>
        <v>5</v>
      </c>
      <c r="M41" s="88">
        <f>LOOKUP(2, 1/('OB History'!$B:$B=A41), 'OB History'!$AD:$AD)</f>
        <v>0.16666666666666666</v>
      </c>
      <c r="N41" s="34">
        <f>SUMIFS('OB History'!F:F,'OB History'!B:B,A41)</f>
        <v>9</v>
      </c>
      <c r="O41" s="2">
        <f>SUMIFS('OB History'!E:E,'OB History'!B:B,A41)-N41</f>
        <v>15</v>
      </c>
      <c r="P41" s="88">
        <f>LOOKUP(2, 1/('OB History'!$B:$B=A41), 'OB History'!$AB:$AB)</f>
        <v>0.3833333333333333</v>
      </c>
      <c r="Q41" s="34">
        <f>SUMIFS('OB History'!H:H,'OB History'!B:B,'Old Bow v2'!A41)</f>
        <v>44</v>
      </c>
      <c r="R41" s="2">
        <f>SUMIFS('OB History'!G:G,'OB History'!B:B,'Old Bow v2'!A41)-Q41</f>
        <v>59</v>
      </c>
      <c r="S41" s="88">
        <f>LOOKUP(2, 1/('OB History'!$B:$B=A41), 'OB History'!$AC:$AC)</f>
        <v>0.43166666666666664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1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1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1</v>
      </c>
      <c r="AH41" s="2">
        <f>COUNTIFS('OB History'!$B:$B,$A$41,'OB History'!Y:Y, 1)</f>
        <v>1</v>
      </c>
      <c r="AI41" s="2">
        <f>COUNTIFS('OB History'!$B:$B,$A$41,'OB History'!Z:Z, 1)</f>
        <v>1</v>
      </c>
    </row>
    <row r="42" spans="1:35" x14ac:dyDescent="0.25">
      <c r="A42" s="2" t="s">
        <v>149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4</v>
      </c>
      <c r="I42" s="4">
        <f>AVERAGEIFS('OB History'!C:C,'OB History'!B:B,A42)</f>
        <v>4</v>
      </c>
      <c r="J42" s="35">
        <f t="array" ref="J42">MAX(IF('OB History'!B:B=A42, 'OB History'!C:C))</f>
        <v>4</v>
      </c>
      <c r="K42" s="34">
        <f>COUNTIFS('OB History'!B:B,A42,'OB History'!D:D, 1)</f>
        <v>0</v>
      </c>
      <c r="L42" s="2">
        <f>COUNTIFS('OB History'!B:B,A42,'OB History'!D:D, 0)</f>
        <v>1</v>
      </c>
      <c r="M42" s="88">
        <f>LOOKUP(2, 1/('OB History'!$B:$B=A42), 'OB History'!$AD:$AD)</f>
        <v>0</v>
      </c>
      <c r="N42" s="34">
        <f>SUMIFS('OB History'!F:F,'OB History'!B:B,A42)</f>
        <v>2</v>
      </c>
      <c r="O42" s="2">
        <f>SUMIFS('OB History'!E:E,'OB History'!B:B,A42)-N42</f>
        <v>3</v>
      </c>
      <c r="P42" s="88">
        <f>LOOKUP(2, 1/('OB History'!$B:$B=A42), 'OB History'!$AB:$AB)</f>
        <v>0.4</v>
      </c>
      <c r="Q42" s="34">
        <f>SUMIFS('OB History'!H:H,'OB History'!B:B,'Old Bow v2'!A42)</f>
        <v>8</v>
      </c>
      <c r="R42" s="2">
        <f>SUMIFS('OB History'!G:G,'OB History'!B:B,'Old Bow v2'!A42)-Q42</f>
        <v>10</v>
      </c>
      <c r="S42" s="88">
        <f>LOOKUP(2, 1/('OB History'!$B:$B=A42), 'OB History'!$AC:$AC)</f>
        <v>0.44</v>
      </c>
      <c r="T42" s="2">
        <f>COUNTIFS('OB History'!$B:$B,$A$42,'OB History'!K:K, 1)</f>
        <v>1</v>
      </c>
      <c r="U42" s="2">
        <f>COUNTIFS('OB History'!$B:$B,$A$42,'OB History'!L:L, 1)</f>
        <v>0</v>
      </c>
      <c r="V42" s="2">
        <f>COUNTIFS('OB History'!$B:$B,$A$42,'OB History'!M:M, 1)</f>
        <v>0</v>
      </c>
      <c r="W42" s="2">
        <f>COUNTIFS('OB History'!$B:$B,$A$42,'OB History'!N:N, 1)</f>
        <v>0</v>
      </c>
      <c r="X42" s="2">
        <f>COUNTIFS('OB History'!$B:$B,$A$42,'OB History'!O:O, 1)</f>
        <v>0</v>
      </c>
      <c r="Y42" s="2">
        <f>COUNTIFS('OB History'!$B:$B,$A$42,'OB History'!P:P, 1)</f>
        <v>1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0</v>
      </c>
      <c r="AH42" s="2">
        <f>COUNTIFS('OB History'!$B:$B,$A$42,'OB History'!Y:Y, 1)</f>
        <v>0</v>
      </c>
      <c r="AI42" s="2">
        <f>COUNTIFS('OB History'!$B:$B,$A$42,'OB History'!Z:Z, 1)</f>
        <v>0</v>
      </c>
    </row>
    <row r="43" spans="1:35" x14ac:dyDescent="0.25">
      <c r="A43" s="2" t="s">
        <v>40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270</v>
      </c>
      <c r="I43" s="4">
        <f>AVERAGEIFS('OB History'!C:C,'OB History'!B:B,A43)</f>
        <v>18</v>
      </c>
      <c r="J43" s="35">
        <f t="array" ref="J43">MAX(IF('OB History'!B:B=A43, 'OB History'!C:C))</f>
        <v>28</v>
      </c>
      <c r="K43" s="34">
        <f>COUNTIFS('OB History'!B:B,A43,'OB History'!D:D, 1)</f>
        <v>5</v>
      </c>
      <c r="L43" s="2">
        <f>COUNTIFS('OB History'!B:B,A43,'OB History'!D:D, 0)</f>
        <v>10</v>
      </c>
      <c r="M43" s="88">
        <f>LOOKUP(2, 1/('OB History'!$B:$B=A43), 'OB History'!$AD:$AD)</f>
        <v>0.33333333333333331</v>
      </c>
      <c r="N43" s="34">
        <f>SUMIFS('OB History'!F:F,'OB History'!B:B,A43)</f>
        <v>28</v>
      </c>
      <c r="O43" s="2">
        <f>SUMIFS('OB History'!E:E,'OB History'!B:B,A43)-N43</f>
        <v>35</v>
      </c>
      <c r="P43" s="88">
        <f>LOOKUP(2, 1/('OB History'!$B:$B=A43), 'OB History'!$AB:$AB)</f>
        <v>0.4466666666666666</v>
      </c>
      <c r="Q43" s="34">
        <f>SUMIFS('OB History'!H:H,'OB History'!B:B,'Old Bow v2'!A43)</f>
        <v>117</v>
      </c>
      <c r="R43" s="2">
        <f>SUMIFS('OB History'!G:G,'OB History'!B:B,'Old Bow v2'!A43)-Q43</f>
        <v>139</v>
      </c>
      <c r="S43" s="88">
        <f>LOOKUP(2, 1/('OB History'!$B:$B=A43), 'OB History'!$AC:$AC)</f>
        <v>0.45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2</v>
      </c>
      <c r="W43" s="2">
        <f>COUNTIFS('OB History'!$B:$B,$A$43,'OB History'!N:N, 1)</f>
        <v>1</v>
      </c>
      <c r="X43" s="2">
        <f>COUNTIFS('OB History'!$B:$B,$A$43,'OB History'!O:O, 1)</f>
        <v>1</v>
      </c>
      <c r="Y43" s="2">
        <f>COUNTIFS('OB History'!$B:$B,$A$43,'OB History'!P:P, 1)</f>
        <v>2</v>
      </c>
      <c r="Z43" s="2">
        <f>COUNTIFS('OB History'!$B:$B,$A$43,'OB History'!Q:Q, 1)</f>
        <v>2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1</v>
      </c>
      <c r="AG43" s="2">
        <f>COUNTIFS('OB History'!$B:$B,$A$43,'OB History'!X:X, 1)</f>
        <v>5</v>
      </c>
      <c r="AH43" s="2">
        <f>COUNTIFS('OB History'!$B:$B,$A$43,'OB History'!Y:Y, 1)</f>
        <v>4</v>
      </c>
      <c r="AI43" s="2">
        <f>COUNTIFS('OB History'!$B:$B,$A$43,'OB History'!Z:Z,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171</v>
      </c>
      <c r="I44" s="4">
        <f>AVERAGEIFS('OB History'!C:C,'OB History'!B:B,A44)</f>
        <v>17.100000000000001</v>
      </c>
      <c r="J44" s="35">
        <f t="array" ref="J44">MAX(IF('OB History'!B:B=A44, 'OB History'!C:C))</f>
        <v>34</v>
      </c>
      <c r="K44" s="34">
        <f>COUNTIFS('OB History'!B:B,A44,'OB History'!D:D, 1)</f>
        <v>2</v>
      </c>
      <c r="L44" s="2">
        <f>COUNTIFS('OB History'!B:B,A44,'OB History'!D:D, 0)</f>
        <v>8</v>
      </c>
      <c r="M44" s="88">
        <f>LOOKUP(2, 1/('OB History'!$B:$B=A44), 'OB History'!$AD:$AD)</f>
        <v>0.2</v>
      </c>
      <c r="N44" s="34">
        <f>SUMIFS('OB History'!F:F,'OB History'!B:B,A44)</f>
        <v>14</v>
      </c>
      <c r="O44" s="2">
        <f>SUMIFS('OB History'!E:E,'OB History'!B:B,A44)-N44</f>
        <v>25</v>
      </c>
      <c r="P44" s="88">
        <f>LOOKUP(2, 1/('OB History'!$B:$B=A44), 'OB History'!$AB:$AB)</f>
        <v>0.33500000000000002</v>
      </c>
      <c r="Q44" s="34">
        <f>SUMIFS('OB History'!H:H,'OB History'!B:B,'Old Bow v2'!A44)</f>
        <v>70</v>
      </c>
      <c r="R44" s="2">
        <f>SUMIFS('OB History'!G:G,'OB History'!B:B,'Old Bow v2'!A44)-Q44</f>
        <v>89</v>
      </c>
      <c r="S44" s="88">
        <f>LOOKUP(2, 1/('OB History'!$B:$B=A44), 'OB History'!$AC:$AC)</f>
        <v>0.42800000000000005</v>
      </c>
      <c r="T44" s="2">
        <f>COUNTIFS('OB History'!$B:$B,$A$44,'OB History'!K:K, 1)</f>
        <v>3</v>
      </c>
      <c r="U44" s="2">
        <f>COUNTIFS('OB History'!$B:$B,$A$44,'OB History'!L:L, 1)</f>
        <v>1</v>
      </c>
      <c r="V44" s="2">
        <f>COUNTIFS('OB History'!$B:$B,$A$44,'OB History'!M:M, 1)</f>
        <v>1</v>
      </c>
      <c r="W44" s="2">
        <f>COUNTIFS('OB History'!$B:$B,$A$44,'OB History'!N:N, 1)</f>
        <v>1</v>
      </c>
      <c r="X44" s="2">
        <f>COUNTIFS('OB History'!$B:$B,$A$44,'OB History'!O:O, 1)</f>
        <v>0</v>
      </c>
      <c r="Y44" s="2">
        <f>COUNTIFS('OB History'!$B:$B,$A$44,'OB History'!P:P, 1)</f>
        <v>3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1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1</v>
      </c>
      <c r="AH44" s="2">
        <f>COUNTIFS('OB History'!$B:$B,$A$44,'OB History'!Y:Y, 1)</f>
        <v>2</v>
      </c>
      <c r="AI44" s="2">
        <f>COUNTIFS('OB History'!$B:$B,$A$44,'OB History'!Z:Z,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11</v>
      </c>
      <c r="E45" s="3">
        <v>3</v>
      </c>
      <c r="F45" s="3"/>
      <c r="G45" s="3"/>
      <c r="H45" s="34">
        <f>SUMIFS('OB History'!C:C,'OB History'!B:B,A45)</f>
        <v>1344</v>
      </c>
      <c r="I45" s="4">
        <f>AVERAGEIFS('OB History'!C:C,'OB History'!B:B,A45)</f>
        <v>25.358490566037737</v>
      </c>
      <c r="J45" s="35">
        <f t="array" ref="J45">MAX(IF('OB History'!B:B=A45, 'OB History'!C:C))</f>
        <v>58</v>
      </c>
      <c r="K45" s="34">
        <f>COUNTIFS('OB History'!B:B,A45,'OB History'!D:D, 1)</f>
        <v>23</v>
      </c>
      <c r="L45" s="2">
        <f>COUNTIFS('OB History'!B:B,A45,'OB History'!D:D, 0)</f>
        <v>30</v>
      </c>
      <c r="M45" s="88">
        <f>LOOKUP(2, 1/('OB History'!$B:$B=A45), 'OB History'!$AD:$AD)</f>
        <v>0.43396226415094341</v>
      </c>
      <c r="N45" s="34">
        <f>SUMIFS('OB History'!F:F,'OB History'!B:B,A45)</f>
        <v>105</v>
      </c>
      <c r="O45" s="2">
        <f>SUMIFS('OB History'!E:E,'OB History'!B:B,A45)-N45</f>
        <v>112</v>
      </c>
      <c r="P45" s="88">
        <f>LOOKUP(2, 1/('OB History'!$B:$B=A45), 'OB History'!$AB:$AB)</f>
        <v>0.49056603773584917</v>
      </c>
      <c r="Q45" s="34">
        <f>SUMIFS('OB History'!H:H,'OB History'!B:B,'Old Bow v2'!A45)</f>
        <v>448</v>
      </c>
      <c r="R45" s="2">
        <f>SUMIFS('OB History'!G:G,'OB History'!B:B,'Old Bow v2'!A45)-Q45</f>
        <v>449</v>
      </c>
      <c r="S45" s="88">
        <f>LOOKUP(2, 1/('OB History'!$B:$B=A45), 'OB History'!$AC:$AC)</f>
        <v>0.5064150943396224</v>
      </c>
      <c r="T45" s="2">
        <f>COUNTIFS('OB History'!$B:$B,$A$45,'OB History'!K:K, 1)</f>
        <v>7</v>
      </c>
      <c r="U45" s="2">
        <f>COUNTIFS('OB History'!$B:$B,$A$45,'OB History'!L:L, 1)</f>
        <v>6</v>
      </c>
      <c r="V45" s="2">
        <f>COUNTIFS('OB History'!$B:$B,$A$45,'OB History'!M:M, 1)</f>
        <v>3</v>
      </c>
      <c r="W45" s="2">
        <f>COUNTIFS('OB History'!$B:$B,$A$45,'OB History'!N:N, 1)</f>
        <v>10</v>
      </c>
      <c r="X45" s="2">
        <f>COUNTIFS('OB History'!$B:$B,$A$45,'OB History'!O:O, 1)</f>
        <v>1</v>
      </c>
      <c r="Y45" s="2">
        <f>COUNTIFS('OB History'!$B:$B,$A$45,'OB History'!P:P, 1)</f>
        <v>10</v>
      </c>
      <c r="Z45" s="2">
        <f>COUNTIFS('OB History'!$B:$B,$A$45,'OB History'!Q:Q, 1)</f>
        <v>5</v>
      </c>
      <c r="AA45" s="2">
        <f>COUNTIFS('OB History'!$B:$B,$A$45,'OB History'!R:R, 1)</f>
        <v>4</v>
      </c>
      <c r="AB45" s="2">
        <f>COUNTIFS('OB History'!$B:$B,$A$45,'OB History'!S:S, 1)</f>
        <v>1</v>
      </c>
      <c r="AC45" s="2">
        <f>COUNTIFS('OB History'!$B:$B,$A$45,'OB History'!T:T, 1)</f>
        <v>2</v>
      </c>
      <c r="AD45" s="2">
        <f>COUNTIFS('OB History'!$B:$B,$A$45,'OB History'!U:U, 1)</f>
        <v>1</v>
      </c>
      <c r="AE45" s="2">
        <f>COUNTIFS('OB History'!$B:$B,$A$45,'OB History'!V:V, 1)</f>
        <v>3</v>
      </c>
      <c r="AF45" s="2">
        <f>COUNTIFS('OB History'!$B:$B,$A$45,'OB History'!W:W, 1)</f>
        <v>7</v>
      </c>
      <c r="AG45" s="2">
        <f>COUNTIFS('OB History'!$B:$B,$A$45,'OB History'!X:X, 1)</f>
        <v>20</v>
      </c>
      <c r="AH45" s="2">
        <f>COUNTIFS('OB History'!$B:$B,$A$45,'OB History'!Y:Y, 1)</f>
        <v>8</v>
      </c>
      <c r="AI45" s="2">
        <f>COUNTIFS('OB History'!$B:$B,$A$45,'OB History'!Z:Z, 1)</f>
        <v>17</v>
      </c>
    </row>
    <row r="46" spans="1:35" x14ac:dyDescent="0.25">
      <c r="A46" s="2" t="s">
        <v>167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29</v>
      </c>
      <c r="I46" s="4">
        <f>AVERAGEIFS('OB History'!C:C,'OB History'!B:B,A46)</f>
        <v>14.5</v>
      </c>
      <c r="J46" s="35">
        <f t="array" ref="J46">MAX(IF('OB History'!B:B=A46, 'OB History'!C:C))</f>
        <v>18</v>
      </c>
      <c r="K46" s="34">
        <f>COUNTIFS('OB History'!B:B,A46,'OB History'!D:D, 1)</f>
        <v>0</v>
      </c>
      <c r="L46" s="2">
        <f>COUNTIFS('OB History'!B:B,A46,'OB History'!D:D, 0)</f>
        <v>2</v>
      </c>
      <c r="M46" s="88">
        <f>LOOKUP(2, 1/('OB History'!$B:$B=A46), 'OB History'!$AD:$AD)</f>
        <v>0</v>
      </c>
      <c r="N46" s="34">
        <f>SUMIFS('OB History'!F:F,'OB History'!B:B,A46)</f>
        <v>0</v>
      </c>
      <c r="O46" s="2">
        <f>SUMIFS('OB History'!E:E,'OB History'!B:B,A46)-N46</f>
        <v>6</v>
      </c>
      <c r="P46" s="88">
        <f>LOOKUP(2, 1/('OB History'!$B:$B=A46), 'OB History'!$AB:$AB)</f>
        <v>0</v>
      </c>
      <c r="Q46" s="34">
        <f>SUMIFS('OB History'!H:H,'OB History'!B:B,'Old Bow v2'!A46)</f>
        <v>7</v>
      </c>
      <c r="R46" s="2">
        <f>SUMIFS('OB History'!G:G,'OB History'!B:B,'Old Bow v2'!A46)-Q46</f>
        <v>18</v>
      </c>
      <c r="S46" s="88">
        <f>LOOKUP(2, 1/('OB History'!$B:$B=A46), 'OB History'!$AC:$AC)</f>
        <v>0.28000000000000003</v>
      </c>
      <c r="T46" s="2">
        <f>COUNTIFS('OB History'!$B:$B,$A$46,'OB History'!K:K, 1)</f>
        <v>0</v>
      </c>
      <c r="U46" s="2">
        <f>COUNTIFS('OB History'!$B:$B,$A$46,'OB History'!L:L, 1)</f>
        <v>0</v>
      </c>
      <c r="V46" s="2">
        <f>COUNTIFS('OB History'!$B:$B,$A$46,'OB History'!M:M, 1)</f>
        <v>0</v>
      </c>
      <c r="W46" s="2">
        <f>COUNTIFS('OB History'!$B:$B,$A$46,'OB History'!N:N, 1)</f>
        <v>0</v>
      </c>
      <c r="X46" s="2">
        <f>COUNTIFS('OB History'!$B:$B,$A$46,'OB History'!O:O, 1)</f>
        <v>0</v>
      </c>
      <c r="Y46" s="2">
        <f>COUNTIFS('OB History'!$B:$B,$A$46,'OB History'!P:P, 1)</f>
        <v>0</v>
      </c>
      <c r="Z46" s="2">
        <f>COUNTIFS('OB History'!$B:$B,$A$46,'OB History'!Q:Q, 1)</f>
        <v>0</v>
      </c>
      <c r="AA46" s="2">
        <f>COUNTIFS('OB History'!$B:$B,$A$46,'OB History'!R:R, 1)</f>
        <v>0</v>
      </c>
      <c r="AB46" s="2">
        <f>COUNTIFS('OB History'!$B:$B,$A$46,'OB History'!S:S, 1)</f>
        <v>0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0</v>
      </c>
      <c r="AH46" s="2">
        <f>COUNTIFS('OB History'!$B:$B,$A$46,'OB History'!Y:Y, 1)</f>
        <v>0</v>
      </c>
      <c r="AI46" s="2">
        <f>COUNTIFS('OB History'!$B:$B,$A$46,'OB History'!Z:Z, 1)</f>
        <v>0</v>
      </c>
    </row>
    <row r="47" spans="1:35" x14ac:dyDescent="0.25">
      <c r="A47" s="2" t="s">
        <v>155</v>
      </c>
      <c r="B47" s="6" t="s">
        <v>60</v>
      </c>
      <c r="C47" s="2" t="s">
        <v>79</v>
      </c>
      <c r="D47" s="3">
        <v>7</v>
      </c>
      <c r="E47" s="3">
        <v>1</v>
      </c>
      <c r="F47" s="3"/>
      <c r="G47" s="3"/>
      <c r="H47" s="34">
        <f>SUMIFS('OB History'!C:C,'OB History'!B:B,A47)</f>
        <v>388</v>
      </c>
      <c r="I47" s="4">
        <f>AVERAGEIFS('OB History'!C:C,'OB History'!B:B,A47)</f>
        <v>16.869565217391305</v>
      </c>
      <c r="J47" s="35">
        <f t="array" ref="J47">MAX(IF('OB History'!B:B=A47, 'OB History'!C:C))</f>
        <v>43</v>
      </c>
      <c r="K47" s="34">
        <f>COUNTIFS('OB History'!B:B,A47,'OB History'!D:D, 1)</f>
        <v>7</v>
      </c>
      <c r="L47" s="2">
        <f>COUNTIFS('OB History'!B:B,A47,'OB History'!D:D, 0)</f>
        <v>16</v>
      </c>
      <c r="M47" s="88">
        <f>LOOKUP(2, 1/('OB History'!$B:$B=A47), 'OB History'!$AD:$AD)</f>
        <v>0.30434782608695654</v>
      </c>
      <c r="N47" s="34">
        <f>SUMIFS('OB History'!F:F,'OB History'!B:B,A47)</f>
        <v>39</v>
      </c>
      <c r="O47" s="2">
        <f>SUMIFS('OB History'!E:E,'OB History'!B:B,A47)-N47</f>
        <v>59</v>
      </c>
      <c r="P47" s="88">
        <f>LOOKUP(2, 1/('OB History'!$B:$B=A47), 'OB History'!$AB:$AB)</f>
        <v>0.38043478260869568</v>
      </c>
      <c r="Q47" s="34">
        <f>SUMIFS('OB History'!H:H,'OB History'!B:B,'Old Bow v2'!A47)</f>
        <v>187</v>
      </c>
      <c r="R47" s="2">
        <f>SUMIFS('OB History'!G:G,'OB History'!B:B,'Old Bow v2'!A47)-Q47</f>
        <v>212</v>
      </c>
      <c r="S47" s="88">
        <f>LOOKUP(2, 1/('OB History'!$B:$B=A47), 'OB History'!$AC:$AC)</f>
        <v>0.45478260869565212</v>
      </c>
      <c r="T47" s="2">
        <f>COUNTIFS('OB History'!$B:$B,$A$47,'OB History'!K:K, 1)</f>
        <v>3</v>
      </c>
      <c r="U47" s="2">
        <f>COUNTIFS('OB History'!$B:$B,$A$47,'OB History'!L:L, 1)</f>
        <v>2</v>
      </c>
      <c r="V47" s="2">
        <f>COUNTIFS('OB History'!$B:$B,$A$47,'OB History'!M:M, 1)</f>
        <v>2</v>
      </c>
      <c r="W47" s="2">
        <f>COUNTIFS('OB History'!$B:$B,$A$47,'OB History'!N:N, 1)</f>
        <v>6</v>
      </c>
      <c r="X47" s="2">
        <f>COUNTIFS('OB History'!$B:$B,$A$47,'OB History'!O:O, 1)</f>
        <v>2</v>
      </c>
      <c r="Y47" s="2">
        <f>COUNTIFS('OB History'!$B:$B,$A$47,'OB History'!P:P, 1)</f>
        <v>5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3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2</v>
      </c>
      <c r="AG47" s="2">
        <f>COUNTIFS('OB History'!$B:$B,$A$47,'OB History'!X:X, 1)</f>
        <v>4</v>
      </c>
      <c r="AH47" s="2">
        <f>COUNTIFS('OB History'!$B:$B,$A$47,'OB History'!Y:Y, 1)</f>
        <v>4</v>
      </c>
      <c r="AI47" s="2">
        <f>COUNTIFS('OB History'!$B:$B,$A$47,'OB History'!Z:Z, 1)</f>
        <v>3</v>
      </c>
    </row>
    <row r="48" spans="1:35" x14ac:dyDescent="0.25">
      <c r="A48" s="2" t="s">
        <v>6</v>
      </c>
      <c r="B48" s="2" t="s">
        <v>60</v>
      </c>
      <c r="C48" s="2" t="s">
        <v>79</v>
      </c>
      <c r="D48" s="3"/>
      <c r="E48" s="3"/>
      <c r="F48" s="3"/>
      <c r="G48" s="3"/>
      <c r="H48" s="34">
        <f>SUMIFS('OB History'!C:C,'OB History'!B:B,A48)</f>
        <v>643</v>
      </c>
      <c r="I48" s="4">
        <f>AVERAGEIFS('OB History'!C:C,'OB History'!B:B,A48)</f>
        <v>22.964285714285715</v>
      </c>
      <c r="J48" s="35">
        <f t="array" ref="J48">MAX(IF('OB History'!B:B=A48, 'OB History'!C:C))</f>
        <v>51</v>
      </c>
      <c r="K48" s="34">
        <f>COUNTIFS('OB History'!B:B,A48,'OB History'!D:D, 1)</f>
        <v>20</v>
      </c>
      <c r="L48" s="2">
        <f>COUNTIFS('OB History'!B:B,A48,'OB History'!D:D, 0)</f>
        <v>8</v>
      </c>
      <c r="M48" s="88">
        <f>LOOKUP(2, 1/('OB History'!$B:$B=A48), 'OB History'!$AD:$AD)</f>
        <v>0.7142857142857143</v>
      </c>
      <c r="N48" s="34">
        <f>SUMIFS('OB History'!F:F,'OB History'!B:B,A48)</f>
        <v>70</v>
      </c>
      <c r="O48" s="2">
        <f>SUMIFS('OB History'!E:E,'OB History'!B:B,A48)-N48</f>
        <v>42</v>
      </c>
      <c r="P48" s="88">
        <f>LOOKUP(2, 1/('OB History'!$B:$B=A48), 'OB History'!$AB:$AB)</f>
        <v>0.65</v>
      </c>
      <c r="Q48" s="34">
        <f>SUMIFS('OB History'!H:H,'OB History'!B:B,'Old Bow v2'!A48)</f>
        <v>264</v>
      </c>
      <c r="R48" s="2">
        <f>SUMIFS('OB History'!G:G,'OB History'!B:B,'Old Bow v2'!A48)-Q48</f>
        <v>210</v>
      </c>
      <c r="S48" s="88">
        <f>LOOKUP(2, 1/('OB History'!$B:$B=A48), 'OB History'!$AC:$AC)</f>
        <v>0.56821428571428567</v>
      </c>
      <c r="T48" s="2">
        <f>COUNTIFS('OB History'!$B:$B,$A$48,'OB History'!K:K, 1)</f>
        <v>2</v>
      </c>
      <c r="U48" s="2">
        <f>COUNTIFS('OB History'!$B:$B,$A$48,'OB History'!L:L, 1)</f>
        <v>6</v>
      </c>
      <c r="V48" s="2">
        <f>COUNTIFS('OB History'!$B:$B,$A$48,'OB History'!M:M, 1)</f>
        <v>7</v>
      </c>
      <c r="W48" s="2">
        <f>COUNTIFS('OB History'!$B:$B,$A$48,'OB History'!N:N, 1)</f>
        <v>4</v>
      </c>
      <c r="X48" s="2">
        <f>COUNTIFS('OB History'!$B:$B,$A$48,'OB History'!O:O, 1)</f>
        <v>1</v>
      </c>
      <c r="Y48" s="2">
        <f>COUNTIFS('OB History'!$B:$B,$A$48,'OB History'!P:P, 1)</f>
        <v>9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7</v>
      </c>
      <c r="AG48" s="2">
        <f>COUNTIFS('OB History'!$B:$B,$A$48,'OB History'!X:X, 1)</f>
        <v>8</v>
      </c>
      <c r="AH48" s="2">
        <f>COUNTIFS('OB History'!$B:$B,$A$48,'OB History'!Y:Y, 1)</f>
        <v>6</v>
      </c>
      <c r="AI48" s="2">
        <f>COUNTIFS('OB History'!$B:$B,$A$48,'OB History'!Z:Z, 1)</f>
        <v>10</v>
      </c>
    </row>
    <row r="49" spans="1:35" x14ac:dyDescent="0.25">
      <c r="A49" s="2" t="s">
        <v>18</v>
      </c>
      <c r="B49" s="6" t="s">
        <v>60</v>
      </c>
      <c r="C49" s="2" t="s">
        <v>79</v>
      </c>
      <c r="D49" s="3">
        <v>4</v>
      </c>
      <c r="E49" s="3">
        <v>3</v>
      </c>
      <c r="F49" s="3"/>
      <c r="G49" s="3">
        <v>1</v>
      </c>
      <c r="H49" s="34">
        <f>SUMIFS('OB History'!C:C,'OB History'!B:B,A49)</f>
        <v>793</v>
      </c>
      <c r="I49" s="4">
        <f>AVERAGEIFS('OB History'!C:C,'OB History'!B:B,A49)</f>
        <v>26.433333333333334</v>
      </c>
      <c r="J49" s="35">
        <f t="array" ref="J49">MAX(IF('OB History'!B:B=A49, 'OB History'!C:C))</f>
        <v>55</v>
      </c>
      <c r="K49" s="34">
        <f>COUNTIFS('OB History'!B:B,A49,'OB History'!D:D, 1)</f>
        <v>14</v>
      </c>
      <c r="L49" s="2">
        <f>COUNTIFS('OB History'!B:B,A49,'OB History'!D:D, 0)</f>
        <v>16</v>
      </c>
      <c r="M49" s="88">
        <f>LOOKUP(2, 1/('OB History'!$B:$B=A49), 'OB History'!$AD:$AD)</f>
        <v>0.46666666666666667</v>
      </c>
      <c r="N49" s="34">
        <f>SUMIFS('OB History'!F:F,'OB History'!B:B,A49)</f>
        <v>59</v>
      </c>
      <c r="O49" s="2">
        <f>SUMIFS('OB History'!E:E,'OB History'!B:B,A49)-N49</f>
        <v>65</v>
      </c>
      <c r="P49" s="88">
        <f>LOOKUP(2, 1/('OB History'!$B:$B=A49), 'OB History'!$AB:$AB)</f>
        <v>0.46333333333333332</v>
      </c>
      <c r="Q49" s="34">
        <f>SUMIFS('OB History'!H:H,'OB History'!B:B,'Old Bow v2'!A49)</f>
        <v>250</v>
      </c>
      <c r="R49" s="2">
        <f>SUMIFS('OB History'!G:G,'OB History'!B:B,'Old Bow v2'!A49)-Q49</f>
        <v>265</v>
      </c>
      <c r="S49" s="88">
        <f>LOOKUP(2, 1/('OB History'!$B:$B=A49), 'OB History'!$AC:$AC)</f>
        <v>0.48133333333333345</v>
      </c>
      <c r="T49" s="2">
        <f>COUNTIFS('OB History'!$B:$B,$A$49,'OB History'!K:K, 1)</f>
        <v>3</v>
      </c>
      <c r="U49" s="2">
        <f>COUNTIFS('OB History'!$B:$B,$A$49,'OB History'!L:L, 1)</f>
        <v>3</v>
      </c>
      <c r="V49" s="2">
        <f>COUNTIFS('OB History'!$B:$B,$A$49,'OB History'!M:M, 1)</f>
        <v>1</v>
      </c>
      <c r="W49" s="2">
        <f>COUNTIFS('OB History'!$B:$B,$A$49,'OB History'!N:N, 1)</f>
        <v>10</v>
      </c>
      <c r="X49" s="2">
        <f>COUNTIFS('OB History'!$B:$B,$A$49,'OB History'!O:O, 1)</f>
        <v>3</v>
      </c>
      <c r="Y49" s="2">
        <f>COUNTIFS('OB History'!$B:$B,$A$49,'OB History'!P:P, 1)</f>
        <v>7</v>
      </c>
      <c r="Z49" s="2">
        <f>COUNTIFS('OB History'!$B:$B,$A$49,'OB History'!Q:Q, 1)</f>
        <v>4</v>
      </c>
      <c r="AA49" s="2">
        <f>COUNTIFS('OB History'!$B:$B,$A$49,'OB History'!R:R, 1)</f>
        <v>3</v>
      </c>
      <c r="AB49" s="2">
        <f>COUNTIFS('OB History'!$B:$B,$A$49,'OB History'!S:S, 1)</f>
        <v>0</v>
      </c>
      <c r="AC49" s="2">
        <f>COUNTIFS('OB History'!$B:$B,$A$49,'OB History'!T:T, 1)</f>
        <v>1</v>
      </c>
      <c r="AD49" s="2">
        <f>COUNTIFS('OB History'!$B:$B,$A$49,'OB History'!U:U, 1)</f>
        <v>1</v>
      </c>
      <c r="AE49" s="2">
        <f>COUNTIFS('OB History'!$B:$B,$A$49,'OB History'!V:V, 1)</f>
        <v>0</v>
      </c>
      <c r="AF49" s="2">
        <f>COUNTIFS('OB History'!$B:$B,$A$49,'OB History'!W:W, 1)</f>
        <v>6</v>
      </c>
      <c r="AG49" s="2">
        <f>COUNTIFS('OB History'!$B:$B,$A$49,'OB History'!X:X, 1)</f>
        <v>7</v>
      </c>
      <c r="AH49" s="2">
        <f>COUNTIFS('OB History'!$B:$B,$A$49,'OB History'!Y:Y, 1)</f>
        <v>3</v>
      </c>
      <c r="AI49" s="2">
        <f>COUNTIFS('OB History'!$B:$B,$A$49,'OB History'!Z:Z, 1)</f>
        <v>7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3"/>
      <c r="F50" s="3"/>
      <c r="G50" s="3"/>
      <c r="H50" s="34">
        <f>SUMIFS('OB History'!C:C,'OB History'!B:B,A50)</f>
        <v>221</v>
      </c>
      <c r="I50" s="4">
        <f>AVERAGEIFS('OB History'!C:C,'OB History'!B:B,A50)</f>
        <v>18.416666666666668</v>
      </c>
      <c r="J50" s="35">
        <f t="array" ref="J50">MAX(IF('OB History'!B:B=A50, 'OB History'!C:C))</f>
        <v>49</v>
      </c>
      <c r="K50" s="34">
        <f>COUNTIFS('OB History'!B:B,A50,'OB History'!D:D, 1)</f>
        <v>9</v>
      </c>
      <c r="L50" s="2">
        <f>COUNTIFS('OB History'!B:B,A50,'OB History'!D:D, 0)</f>
        <v>3</v>
      </c>
      <c r="M50" s="88">
        <f>LOOKUP(2, 1/('OB History'!$B:$B=A50), 'OB History'!$AD:$AD)</f>
        <v>0.75</v>
      </c>
      <c r="N50" s="34">
        <f>SUMIFS('OB History'!F:F,'OB History'!B:B,A50)</f>
        <v>29</v>
      </c>
      <c r="O50" s="2">
        <f>SUMIFS('OB History'!E:E,'OB History'!B:B,A50)-N50</f>
        <v>16</v>
      </c>
      <c r="P50" s="88">
        <f>LOOKUP(2, 1/('OB History'!$B:$B=A50), 'OB History'!$AB:$AB)</f>
        <v>0.65416666666666667</v>
      </c>
      <c r="Q50" s="34">
        <f>SUMIFS('OB History'!H:H,'OB History'!B:B,'Old Bow v2'!A50)</f>
        <v>105</v>
      </c>
      <c r="R50" s="2">
        <f>SUMIFS('OB History'!G:G,'OB History'!B:B,'Old Bow v2'!A50)-Q50</f>
        <v>83</v>
      </c>
      <c r="S50" s="88">
        <f>LOOKUP(2, 1/('OB History'!$B:$B=A50), 'OB History'!$AC:$AC)</f>
        <v>0.55499999999999983</v>
      </c>
      <c r="T50" s="2">
        <f>COUNTIFS('OB History'!$B:$B,$A$50,'OB History'!K:K, 1)</f>
        <v>0</v>
      </c>
      <c r="U50" s="2">
        <f>COUNTIFS('OB History'!$B:$B,$A$50,'OB History'!L:L, 1)</f>
        <v>5</v>
      </c>
      <c r="V50" s="2">
        <f>COUNTIFS('OB History'!$B:$B,$A$50,'OB History'!M:M, 1)</f>
        <v>2</v>
      </c>
      <c r="W50" s="2">
        <f>COUNTIFS('OB History'!$B:$B,$A$50,'OB History'!N:N, 1)</f>
        <v>2</v>
      </c>
      <c r="X50" s="2">
        <f>COUNTIFS('OB History'!$B:$B,$A$50,'OB History'!O:O, 1)</f>
        <v>0</v>
      </c>
      <c r="Y50" s="2">
        <f>COUNTIFS('OB History'!$B:$B,$A$50,'OB History'!P:P, 1)</f>
        <v>2</v>
      </c>
      <c r="Z50" s="2">
        <f>COUNTIFS('OB History'!$B:$B,$A$50,'OB History'!Q:Q, 1)</f>
        <v>2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2</v>
      </c>
      <c r="AG50" s="2">
        <f>COUNTIFS('OB History'!$B:$B,$A$50,'OB History'!X:X, 1)</f>
        <v>5</v>
      </c>
      <c r="AH50" s="2">
        <f>COUNTIFS('OB History'!$B:$B,$A$50,'OB History'!Y:Y, 1)</f>
        <v>3</v>
      </c>
      <c r="AI50" s="2">
        <f>COUNTIFS('OB History'!$B:$B,$A$50,'OB History'!Z:Z, 1)</f>
        <v>4</v>
      </c>
    </row>
    <row r="51" spans="1:35" x14ac:dyDescent="0.25">
      <c r="A51" s="2" t="s">
        <v>170</v>
      </c>
      <c r="B51" s="2" t="s">
        <v>79</v>
      </c>
      <c r="C51" s="2" t="s">
        <v>79</v>
      </c>
      <c r="D51" s="3"/>
      <c r="E51" s="3"/>
      <c r="F51" s="3"/>
      <c r="G51" s="3"/>
      <c r="H51" s="34">
        <f>SUMIFS('OB History'!C:C,'OB History'!B:B,A51)</f>
        <v>2</v>
      </c>
      <c r="I51" s="4">
        <f>AVERAGEIFS('OB History'!C:C,'OB History'!B:B,A51)</f>
        <v>2</v>
      </c>
      <c r="J51" s="35">
        <f t="array" ref="J51">MAX(IF('OB History'!B:B=A51, 'OB History'!C:C))</f>
        <v>2</v>
      </c>
      <c r="K51" s="34">
        <f>COUNTIFS('OB History'!B:B,A51,'OB History'!D:D, 1)</f>
        <v>0</v>
      </c>
      <c r="L51" s="2">
        <f>COUNTIFS('OB History'!B:B,A51,'OB History'!D:D, 0)</f>
        <v>1</v>
      </c>
      <c r="M51" s="88">
        <f>LOOKUP(2, 1/('OB History'!$B:$B=A51), 'OB History'!$AD:$AD)</f>
        <v>0</v>
      </c>
      <c r="N51" s="34">
        <f>SUMIFS('OB History'!F:F,'OB History'!B:B,A51)</f>
        <v>2</v>
      </c>
      <c r="O51" s="2">
        <f>SUMIFS('OB History'!E:E,'OB History'!B:B,A51)-N51</f>
        <v>3</v>
      </c>
      <c r="P51" s="88">
        <f>LOOKUP(2, 1/('OB History'!$B:$B=A51), 'OB History'!$AB:$AB)</f>
        <v>0.4</v>
      </c>
      <c r="Q51" s="34">
        <f>SUMIFS('OB History'!H:H,'OB History'!B:B,'Old Bow v2'!A51)</f>
        <v>6</v>
      </c>
      <c r="R51" s="2">
        <f>SUMIFS('OB History'!G:G,'OB History'!B:B,'Old Bow v2'!A51)-Q51</f>
        <v>14</v>
      </c>
      <c r="S51" s="88">
        <f>LOOKUP(2, 1/('OB History'!$B:$B=A51), 'OB History'!$AC:$AC)</f>
        <v>0.3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0</v>
      </c>
      <c r="X51" s="2">
        <f>COUNTIFS('OB History'!$B:$B,$A$51,'OB History'!O:O, 1)</f>
        <v>0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0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0</v>
      </c>
      <c r="AF51" s="2">
        <f>COUNTIFS('OB History'!$B:$B,$A$51,'OB History'!W:W, 1)</f>
        <v>1</v>
      </c>
      <c r="AG51" s="2">
        <f>COUNTIFS('OB History'!$B:$B,$A$51,'OB History'!X:X, 1)</f>
        <v>0</v>
      </c>
      <c r="AH51" s="2">
        <f>COUNTIFS('OB History'!$B:$B,$A$51,'OB History'!Y:Y, 1)</f>
        <v>1</v>
      </c>
      <c r="AI51" s="2">
        <f>COUNTIFS('OB History'!$B:$B,$A$51,'OB History'!Z:Z, 1)</f>
        <v>0</v>
      </c>
    </row>
    <row r="52" spans="1:35" x14ac:dyDescent="0.25">
      <c r="A52" s="2" t="s">
        <v>14</v>
      </c>
      <c r="B52" s="6" t="s">
        <v>124</v>
      </c>
      <c r="C52" s="1" t="s">
        <v>160</v>
      </c>
      <c r="D52" s="3">
        <v>4</v>
      </c>
      <c r="E52" s="3">
        <v>1</v>
      </c>
      <c r="F52" s="3"/>
      <c r="G52" s="3"/>
      <c r="H52" s="34">
        <f>SUMIFS('OB History'!C:C,'OB History'!B:B,A52)</f>
        <v>1088</v>
      </c>
      <c r="I52" s="4">
        <f>AVERAGEIFS('OB History'!C:C,'OB History'!B:B,A52)</f>
        <v>24.727272727272727</v>
      </c>
      <c r="J52" s="35">
        <f t="array" ref="J52">MAX(IF('OB History'!B:B=A52, 'OB History'!C:C))</f>
        <v>56</v>
      </c>
      <c r="K52" s="34">
        <f>COUNTIFS('OB History'!B:B,A52,'OB History'!D:D, 1)</f>
        <v>20</v>
      </c>
      <c r="L52" s="2">
        <f>COUNTIFS('OB History'!B:B,A52,'OB History'!D:D, 0)</f>
        <v>24</v>
      </c>
      <c r="M52" s="88">
        <f>LOOKUP(2, 1/('OB History'!$B:$B=A52), 'OB History'!$AD:$AD)</f>
        <v>0.45454545454545453</v>
      </c>
      <c r="N52" s="34">
        <f>SUMIFS('OB History'!F:F,'OB History'!B:B,A52)</f>
        <v>84</v>
      </c>
      <c r="O52" s="2">
        <f>SUMIFS('OB History'!E:E,'OB History'!B:B,A52)-N52</f>
        <v>96</v>
      </c>
      <c r="P52" s="88">
        <f>LOOKUP(2, 1/('OB History'!$B:$B=A52), 'OB History'!$AB:$AB)</f>
        <v>0.46363636363636362</v>
      </c>
      <c r="Q52" s="34">
        <f>SUMIFS('OB History'!H:H,'OB History'!B:B,'Old Bow v2'!A52)</f>
        <v>357</v>
      </c>
      <c r="R52" s="2">
        <f>SUMIFS('OB History'!G:G,'OB History'!B:B,'Old Bow v2'!A52)-Q52</f>
        <v>391</v>
      </c>
      <c r="S52" s="88">
        <f>LOOKUP(2, 1/('OB History'!$B:$B=A52), 'OB History'!$AC:$AC)</f>
        <v>0.48227272727272735</v>
      </c>
      <c r="T52" s="2">
        <f>COUNTIFS('OB History'!$B:$B,$A$52,'OB History'!K:K, 1)</f>
        <v>4</v>
      </c>
      <c r="U52" s="2">
        <f>COUNTIFS('OB History'!$B:$B,$A$52,'OB History'!L:L, 1)</f>
        <v>9</v>
      </c>
      <c r="V52" s="2">
        <f>COUNTIFS('OB History'!$B:$B,$A$52,'OB History'!M:M, 1)</f>
        <v>4</v>
      </c>
      <c r="W52" s="2">
        <f>COUNTIFS('OB History'!$B:$B,$A$52,'OB History'!N:N, 1)</f>
        <v>8</v>
      </c>
      <c r="X52" s="2">
        <f>COUNTIFS('OB History'!$B:$B,$A$52,'OB History'!O:O, 1)</f>
        <v>3</v>
      </c>
      <c r="Y52" s="2">
        <f>COUNTIFS('OB History'!$B:$B,$A$52,'OB History'!P:P, 1)</f>
        <v>6</v>
      </c>
      <c r="Z52" s="2">
        <f>COUNTIFS('OB History'!$B:$B,$A$52,'OB History'!Q:Q, 1)</f>
        <v>1</v>
      </c>
      <c r="AA52" s="2">
        <f>COUNTIFS('OB History'!$B:$B,$A$52,'OB History'!R:R, 1)</f>
        <v>1</v>
      </c>
      <c r="AB52" s="2">
        <f>COUNTIFS('OB History'!$B:$B,$A$52,'OB History'!S:S, 1)</f>
        <v>1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3</v>
      </c>
      <c r="AF52" s="2">
        <f>COUNTIFS('OB History'!$B:$B,$A$52,'OB History'!W:W, 1)</f>
        <v>9</v>
      </c>
      <c r="AG52" s="2">
        <f>COUNTIFS('OB History'!$B:$B,$A$52,'OB History'!X:X, 1)</f>
        <v>21</v>
      </c>
      <c r="AH52" s="2">
        <f>COUNTIFS('OB History'!$B:$B,$A$52,'OB History'!Y:Y, 1)</f>
        <v>4</v>
      </c>
      <c r="AI52" s="2">
        <f>COUNTIFS('OB History'!$B:$B,$A$52,'OB History'!Z:Z, 1)</f>
        <v>10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3"/>
      <c r="F53" s="3"/>
      <c r="G53" s="3"/>
      <c r="H53" s="34">
        <f>SUMIFS('OB History'!C:C,'OB History'!B:B,A53)</f>
        <v>99</v>
      </c>
      <c r="I53" s="4">
        <f>AVERAGEIFS('OB History'!C:C,'OB History'!B:B,A53)</f>
        <v>19.8</v>
      </c>
      <c r="J53" s="35">
        <f t="array" ref="J53">MAX(IF('OB History'!B:B=A53, 'OB History'!C:C))</f>
        <v>27</v>
      </c>
      <c r="K53" s="34">
        <f>COUNTIFS('OB History'!B:B,A53,'OB History'!D:D, 1)</f>
        <v>3</v>
      </c>
      <c r="L53" s="2">
        <f>COUNTIFS('OB History'!B:B,A53,'OB History'!D:D, 0)</f>
        <v>2</v>
      </c>
      <c r="M53" s="88">
        <f>LOOKUP(2, 1/('OB History'!$B:$B=A53), 'OB History'!$AD:$AD)</f>
        <v>0.6</v>
      </c>
      <c r="N53" s="34">
        <f>SUMIFS('OB History'!F:F,'OB History'!B:B,A53)</f>
        <v>13</v>
      </c>
      <c r="O53" s="2">
        <f>SUMIFS('OB History'!E:E,'OB History'!B:B,A53)-N53</f>
        <v>10</v>
      </c>
      <c r="P53" s="88">
        <f>LOOKUP(2, 1/('OB History'!$B:$B=A53), 'OB History'!$AB:$AB)</f>
        <v>0.6</v>
      </c>
      <c r="Q53" s="34">
        <f>SUMIFS('OB History'!H:H,'OB History'!B:B,'Old Bow v2'!A53)</f>
        <v>51</v>
      </c>
      <c r="R53" s="2">
        <f>SUMIFS('OB History'!G:G,'OB History'!B:B,'Old Bow v2'!A53)-Q53</f>
        <v>46</v>
      </c>
      <c r="S53" s="88">
        <f>LOOKUP(2, 1/('OB History'!$B:$B=A53), 'OB History'!$AC:$AC)</f>
        <v>0.53600000000000003</v>
      </c>
      <c r="T53" s="2">
        <f>COUNTIFS('OB History'!$B:$B,$A$53,'OB History'!K:K, 1)</f>
        <v>1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2</v>
      </c>
      <c r="X53" s="2">
        <f>COUNTIFS('OB History'!$B:$B,$A$53,'OB History'!O:O, 1)</f>
        <v>1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2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1</v>
      </c>
      <c r="AF53" s="2">
        <f>COUNTIFS('OB History'!$B:$B,$A$53,'OB History'!W:W, 1)</f>
        <v>0</v>
      </c>
      <c r="AG53" s="2">
        <f>COUNTIFS('OB History'!$B:$B,$A$53,'OB History'!X:X, 1)</f>
        <v>4</v>
      </c>
      <c r="AH53" s="2">
        <f>COUNTIFS('OB History'!$B:$B,$A$53,'OB History'!Y:Y, 1)</f>
        <v>0</v>
      </c>
      <c r="AI53" s="2">
        <f>COUNTIFS('OB History'!$B:$B,$A$53,'OB History'!Z:Z, 1)</f>
        <v>2</v>
      </c>
    </row>
    <row r="54" spans="1:35" x14ac:dyDescent="0.25">
      <c r="A54" s="2" t="s">
        <v>4</v>
      </c>
      <c r="B54" s="6" t="s">
        <v>60</v>
      </c>
      <c r="C54" s="2" t="s">
        <v>79</v>
      </c>
      <c r="D54" s="3">
        <v>2</v>
      </c>
      <c r="E54" s="3"/>
      <c r="F54" s="3"/>
      <c r="G54" s="3"/>
      <c r="H54" s="34">
        <f>SUMIFS('OB History'!C:C,'OB History'!B:B,A54)</f>
        <v>271</v>
      </c>
      <c r="I54" s="4">
        <f>AVERAGEIFS('OB History'!C:C,'OB History'!B:B,A54)</f>
        <v>22.583333333333332</v>
      </c>
      <c r="J54" s="35">
        <f t="array" ref="J54">MAX(IF('OB History'!B:B=A54, 'OB History'!C:C))</f>
        <v>46</v>
      </c>
      <c r="K54" s="34">
        <f>COUNTIFS('OB History'!B:B,A54,'OB History'!D:D, 1)</f>
        <v>7</v>
      </c>
      <c r="L54" s="2">
        <f>COUNTIFS('OB History'!B:B,A54,'OB History'!D:D, 0)</f>
        <v>5</v>
      </c>
      <c r="M54" s="88">
        <f>LOOKUP(2, 1/('OB History'!$B:$B=A54), 'OB History'!$AD:$AD)</f>
        <v>0.58333333333333337</v>
      </c>
      <c r="N54" s="34">
        <f>SUMIFS('OB History'!F:F,'OB History'!B:B,A54)</f>
        <v>24</v>
      </c>
      <c r="O54" s="2">
        <f>SUMIFS('OB History'!E:E,'OB History'!B:B,A54)-N54</f>
        <v>24</v>
      </c>
      <c r="P54" s="88">
        <f>LOOKUP(2, 1/('OB History'!$B:$B=A54), 'OB History'!$AB:$AB)</f>
        <v>0.48333333333333334</v>
      </c>
      <c r="Q54" s="34">
        <f>SUMIFS('OB History'!H:H,'OB History'!B:B,'Old Bow v2'!A54)</f>
        <v>99</v>
      </c>
      <c r="R54" s="2">
        <f>SUMIFS('OB History'!G:G,'OB History'!B:B,'Old Bow v2'!A54)-Q54</f>
        <v>99</v>
      </c>
      <c r="S54" s="88">
        <f>LOOKUP(2, 1/('OB History'!$B:$B=A54), 'OB History'!$AC:$AC)</f>
        <v>0.48249999999999998</v>
      </c>
      <c r="T54" s="2">
        <f>COUNTIFS('OB History'!$B:$B,$A$54,'OB History'!K:K, 1)</f>
        <v>1</v>
      </c>
      <c r="U54" s="2">
        <f>COUNTIFS('OB History'!$B:$B,$A$54,'OB History'!L:L, 1)</f>
        <v>6</v>
      </c>
      <c r="V54" s="2">
        <f>COUNTIFS('OB History'!$B:$B,$A$54,'OB History'!M:M, 1)</f>
        <v>3</v>
      </c>
      <c r="W54" s="2">
        <f>COUNTIFS('OB History'!$B:$B,$A$54,'OB History'!N:N, 1)</f>
        <v>1</v>
      </c>
      <c r="X54" s="2">
        <f>COUNTIFS('OB History'!$B:$B,$A$54,'OB History'!O:O, 1)</f>
        <v>3</v>
      </c>
      <c r="Y54" s="2">
        <f>COUNTIFS('OB History'!$B:$B,$A$54,'OB History'!P:P, 1)</f>
        <v>3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0</v>
      </c>
      <c r="AF54" s="2">
        <f>COUNTIFS('OB History'!$B:$B,$A$54,'OB History'!W:W, 1)</f>
        <v>0</v>
      </c>
      <c r="AG54" s="2">
        <f>COUNTIFS('OB History'!$B:$B,$A$54,'OB History'!X:X, 1)</f>
        <v>2</v>
      </c>
      <c r="AH54" s="2">
        <f>COUNTIFS('OB History'!$B:$B,$A$54,'OB History'!Y:Y, 1)</f>
        <v>2</v>
      </c>
      <c r="AI54" s="2">
        <f>COUNTIFS('OB History'!$B:$B,$A$54,'OB History'!Z:Z,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156</v>
      </c>
      <c r="I55" s="4">
        <f>AVERAGEIFS('OB History'!C:C,'OB History'!B:B,A55)</f>
        <v>10.4</v>
      </c>
      <c r="J55" s="35">
        <f t="array" ref="J55">MAX(IF('OB History'!B:B=A55, 'OB History'!C:C))</f>
        <v>20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35</v>
      </c>
      <c r="O55" s="2">
        <f>SUMIFS('OB History'!E:E,'OB History'!B:B,A55)-N55</f>
        <v>27</v>
      </c>
      <c r="P55" s="88">
        <f>LOOKUP(2, 1/('OB History'!$B:$B=A55), 'OB History'!$AB:$AB)</f>
        <v>0.58333333333333337</v>
      </c>
      <c r="Q55" s="34">
        <f>SUMIFS('OB History'!H:H,'OB History'!B:B,'Old Bow v2'!A55)</f>
        <v>137</v>
      </c>
      <c r="R55" s="2">
        <f>SUMIFS('OB History'!G:G,'OB History'!B:B,'Old Bow v2'!A55)-Q55</f>
        <v>116</v>
      </c>
      <c r="S55" s="88">
        <f>LOOKUP(2, 1/('OB History'!$B:$B=A55), 'OB History'!$AC:$AC)</f>
        <v>0.54600000000000004</v>
      </c>
      <c r="T55" s="2">
        <f>COUNTIFS('OB History'!$B:$B,$A$55,'OB History'!K:K, 1)</f>
        <v>3</v>
      </c>
      <c r="U55" s="2">
        <f>COUNTIFS('OB History'!$B:$B,$A$55,'OB History'!L:L, 1)</f>
        <v>1</v>
      </c>
      <c r="V55" s="2">
        <f>COUNTIFS('OB History'!$B:$B,$A$55,'OB History'!M:M, 1)</f>
        <v>1</v>
      </c>
      <c r="W55" s="2">
        <f>COUNTIFS('OB History'!$B:$B,$A$55,'OB History'!N:N, 1)</f>
        <v>6</v>
      </c>
      <c r="X55" s="2">
        <f>COUNTIFS('OB History'!$B:$B,$A$55,'OB History'!O:O, 1)</f>
        <v>1</v>
      </c>
      <c r="Y55" s="2">
        <f>COUNTIFS('OB History'!$B:$B,$A$55,'OB History'!P:P, 1)</f>
        <v>1</v>
      </c>
      <c r="Z55" s="2">
        <f>COUNTIFS('OB History'!$B:$B,$A$55,'OB History'!Q:Q, 1)</f>
        <v>2</v>
      </c>
      <c r="AA55" s="2">
        <f>COUNTIFS('OB History'!$B:$B,$A$55,'OB History'!R:R, 1)</f>
        <v>1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1</v>
      </c>
      <c r="AE55" s="2">
        <f>COUNTIFS('OB History'!$B:$B,$A$55,'OB History'!V:V, 1)</f>
        <v>0</v>
      </c>
      <c r="AF55" s="2">
        <f>COUNTIFS('OB History'!$B:$B,$A$55,'OB History'!W:W, 1)</f>
        <v>3</v>
      </c>
      <c r="AG55" s="2">
        <f>COUNTIFS('OB History'!$B:$B,$A$55,'OB History'!X:X, 1)</f>
        <v>8</v>
      </c>
      <c r="AH55" s="2">
        <f>COUNTIFS('OB History'!$B:$B,$A$55,'OB History'!Y:Y, 1)</f>
        <v>3</v>
      </c>
      <c r="AI55" s="2">
        <f>COUNTIFS('OB History'!$B:$B,$A$55,'OB History'!Z:Z, 1)</f>
        <v>4</v>
      </c>
    </row>
  </sheetData>
  <autoFilter ref="A1:AI5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88"/>
  <sheetViews>
    <sheetView workbookViewId="0">
      <pane ySplit="1" topLeftCell="A854" activePane="bottomLeft" state="frozen"/>
      <selection pane="bottomLeft" activeCell="A875" sqref="A875:Z88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180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180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15.75</v>
      </c>
      <c r="AB870" s="86">
        <f>AVERAGEIFS($I$2:I870, $B$2:B870, B870)</f>
        <v>0.38750000000000001</v>
      </c>
      <c r="AC870" s="86">
        <f>AVERAGEIFS($J$2:J870, $B$2:B870, B870)</f>
        <v>0.42749999999999999</v>
      </c>
      <c r="AD870" s="86">
        <f>AVERAGEIFS($D$2:D870, $B$2:B870, B870)</f>
        <v>0.25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180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81</v>
      </c>
      <c r="I4" s="4">
        <f>AVERAGEIFS('OB History S2'!C:C,'OB History S2'!B:B,A4)</f>
        <v>8.1</v>
      </c>
      <c r="J4" s="35">
        <f t="array" ref="J4">MAX(IF('OB History S2'!B:B=A4, 'OB History S2'!C:C))</f>
        <v>17</v>
      </c>
      <c r="K4" s="34">
        <f>COUNTIFS('OB History S2'!B:B,A4,'OB History S2'!D:D, 1)</f>
        <v>4</v>
      </c>
      <c r="L4" s="2">
        <f>COUNTIFS('OB History S2'!B:B,A4,'OB History S2'!D:D, 0)</f>
        <v>6</v>
      </c>
      <c r="M4" s="88">
        <f>LOOKUP(2, 1/('OB History S2'!$B:$B=A4), 'OB History S2'!$AD:$AD)</f>
        <v>0.4</v>
      </c>
      <c r="N4" s="34">
        <f>SUMIFS('OB History S2'!F:F,'OB History S2'!B:B,A4)</f>
        <v>15</v>
      </c>
      <c r="O4" s="2">
        <f>SUMIFS('OB History S2'!E:E,'OB History S2'!B:B,A4)-N4</f>
        <v>21</v>
      </c>
      <c r="P4" s="88">
        <f>LOOKUP(2, 1/('OB History S2'!$B:$B=A4), 'OB History S2'!$AB:$AB)</f>
        <v>0.4</v>
      </c>
      <c r="Q4" s="34">
        <f>SUMIFS('OB History S2'!H:H,'OB History S2'!B:B,A4)</f>
        <v>73</v>
      </c>
      <c r="R4" s="2">
        <f>SUMIFS('OB History S2'!G:G,'OB History S2'!B:B,A4)-Q4</f>
        <v>80</v>
      </c>
      <c r="S4" s="88">
        <f>LOOKUP(2, 1/('OB History S2'!$B:$B=A4), 'OB History S2'!$AC:$AC)</f>
        <v>0.47199999999999998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1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2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3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270</v>
      </c>
      <c r="I5" s="4">
        <f>AVERAGEIFS('OB History S2'!C:C,'OB History S2'!B:B,A5)</f>
        <v>20.76923076923077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7</v>
      </c>
      <c r="M5" s="88">
        <f>LOOKUP(2, 1/('OB History S2'!$B:$B=A5), 'OB History S2'!$AD:$AD)</f>
        <v>0.46153846153846156</v>
      </c>
      <c r="N5" s="34">
        <f>SUMIFS('OB History S2'!F:F,'OB History S2'!B:B,A5)</f>
        <v>22</v>
      </c>
      <c r="O5" s="2">
        <f>SUMIFS('OB History S2'!E:E,'OB History S2'!B:B,A5)-N5</f>
        <v>30</v>
      </c>
      <c r="P5" s="88">
        <f>LOOKUP(2, 1/('OB History S2'!$B:$B=A5), 'OB History S2'!$AB:$AB)</f>
        <v>0.38846153846153847</v>
      </c>
      <c r="Q5" s="34">
        <f>SUMIFS('OB History S2'!H:H,'OB History S2'!B:B,A5)</f>
        <v>98</v>
      </c>
      <c r="R5" s="2">
        <f>SUMIFS('OB History S2'!G:G,'OB History S2'!B:B,A5)-Q5</f>
        <v>120</v>
      </c>
      <c r="S5" s="88">
        <f>LOOKUP(2, 1/('OB History S2'!$B:$B=A5), 'OB History S2'!$AC:$AC)</f>
        <v>0.43999999999999989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4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219</v>
      </c>
      <c r="I7" s="4">
        <f>AVERAGEIFS('OB History S2'!C:C,'OB History S2'!B:B,A7)</f>
        <v>13.6875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9</v>
      </c>
      <c r="M7" s="88">
        <f>LOOKUP(2, 1/('OB History S2'!$B:$B=A7), 'OB History S2'!$AD:$AD)</f>
        <v>0.4375</v>
      </c>
      <c r="N7" s="34">
        <f>SUMIFS('OB History S2'!F:F,'OB History S2'!B:B,A7)</f>
        <v>27</v>
      </c>
      <c r="O7" s="2">
        <f>SUMIFS('OB History S2'!E:E,'OB History S2'!B:B,A7)-N7</f>
        <v>37</v>
      </c>
      <c r="P7" s="88">
        <f>LOOKUP(2, 1/('OB History S2'!$B:$B=A7), 'OB History S2'!$AB:$AB)</f>
        <v>0.39374999999999993</v>
      </c>
      <c r="Q7" s="34">
        <f>SUMIFS('OB History S2'!H:H,'OB History S2'!B:B,A7)</f>
        <v>115</v>
      </c>
      <c r="R7" s="2">
        <f>SUMIFS('OB History S2'!G:G,'OB History S2'!B:B,A7)-Q7</f>
        <v>146</v>
      </c>
      <c r="S7" s="88">
        <f>LOOKUP(2, 1/('OB History S2'!$B:$B=A7), 'OB History S2'!$AC:$AC)</f>
        <v>0.42124999999999996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180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42</v>
      </c>
      <c r="I10" s="4">
        <f>AVERAGEIFS('OB History S2'!C:C,'OB History S2'!B:B,A10)</f>
        <v>14</v>
      </c>
      <c r="J10" s="35">
        <f t="array" ref="J10">MAX(IF('OB History S2'!B:B=A10, 'OB History S2'!C:C))</f>
        <v>19</v>
      </c>
      <c r="K10" s="34">
        <f>COUNTIFS('OB History S2'!B:B,A10,'OB History S2'!D:D, 1)</f>
        <v>2</v>
      </c>
      <c r="L10" s="2">
        <f>COUNTIFS('OB History S2'!B:B,A10,'OB History S2'!D:D, 0)</f>
        <v>1</v>
      </c>
      <c r="M10" s="88">
        <f>LOOKUP(2, 1/('OB History S2'!$B:$B=A10), 'OB History S2'!$AD:$AD)</f>
        <v>0.66666666666666663</v>
      </c>
      <c r="N10" s="34">
        <f>SUMIFS('OB History S2'!F:F,'OB History S2'!B:B,A10)</f>
        <v>7</v>
      </c>
      <c r="O10" s="2">
        <f>SUMIFS('OB History S2'!E:E,'OB History S2'!B:B,A10)-N10</f>
        <v>3</v>
      </c>
      <c r="P10" s="88">
        <f>LOOKUP(2, 1/('OB History S2'!$B:$B=A10), 'OB History S2'!$AB:$AB)</f>
        <v>0.75</v>
      </c>
      <c r="Q10" s="34">
        <f>SUMIFS('OB History S2'!H:H,'OB History S2'!B:B,A10)</f>
        <v>23</v>
      </c>
      <c r="R10" s="2">
        <f>SUMIFS('OB History S2'!G:G,'OB History S2'!B:B,A10)-Q10</f>
        <v>20</v>
      </c>
      <c r="S10" s="88">
        <f>LOOKUP(2, 1/('OB History S2'!$B:$B=A10), 'OB History S2'!$AC:$AC)</f>
        <v>0.54666666666666663</v>
      </c>
      <c r="T10" s="2">
        <f>COUNTIFS('OB History S2'!$B:$B,$A$10,'OB History S2'!K:K, 1)</f>
        <v>0</v>
      </c>
      <c r="U10" s="2">
        <f>COUNTIFS('OB History S2'!$B:$B,$A$10,'OB History S2'!L:L, 1)</f>
        <v>1</v>
      </c>
      <c r="V10" s="2">
        <f>COUNTIFS('OB History S2'!$B:$B,$A$10,'OB History S2'!M:M, 1)</f>
        <v>0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0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2</v>
      </c>
    </row>
    <row r="11" spans="1:35" x14ac:dyDescent="0.25">
      <c r="A11" s="1" t="s">
        <v>25</v>
      </c>
      <c r="B11" s="6" t="s">
        <v>79</v>
      </c>
      <c r="C11" s="2" t="s">
        <v>79</v>
      </c>
      <c r="D11" s="2">
        <v>1</v>
      </c>
      <c r="E11" s="2"/>
      <c r="F11" s="2"/>
      <c r="G11" s="2"/>
      <c r="H11" s="34">
        <f>SUMIFS('OB History S2'!C:C,'OB History S2'!B:B,A11)</f>
        <v>284</v>
      </c>
      <c r="I11" s="4">
        <f>AVERAGEIFS('OB History S2'!C:C,'OB History S2'!B:B,A11)</f>
        <v>18.933333333333334</v>
      </c>
      <c r="J11" s="35">
        <f t="array" ref="J11">MAX(IF('OB History S2'!B:B=A11, 'OB History S2'!C:C))</f>
        <v>35</v>
      </c>
      <c r="K11" s="34">
        <f>COUNTIFS('OB History S2'!B:B,A11,'OB History S2'!D:D, 1)</f>
        <v>9</v>
      </c>
      <c r="L11" s="2">
        <f>COUNTIFS('OB History S2'!B:B,A11,'OB History S2'!D:D, 0)</f>
        <v>6</v>
      </c>
      <c r="M11" s="88">
        <f>LOOKUP(2, 1/('OB History S2'!$B:$B=A11), 'OB History S2'!$AD:$AD)</f>
        <v>0.6</v>
      </c>
      <c r="N11" s="34">
        <f>SUMIFS('OB History S2'!F:F,'OB History S2'!B:B,A11)</f>
        <v>33</v>
      </c>
      <c r="O11" s="2">
        <f>SUMIFS('OB History S2'!E:E,'OB History S2'!B:B,A11)-N11</f>
        <v>30</v>
      </c>
      <c r="P11" s="88">
        <f>LOOKUP(2, 1/('OB History S2'!$B:$B=A11), 'OB History S2'!$AB:$AB)</f>
        <v>0.51333333333333331</v>
      </c>
      <c r="Q11" s="34">
        <f>SUMIFS('OB History S2'!H:H,'OB History S2'!B:B,A11)</f>
        <v>128</v>
      </c>
      <c r="R11" s="2">
        <f>SUMIFS('OB History S2'!G:G,'OB History S2'!B:B,A11)-Q11</f>
        <v>133</v>
      </c>
      <c r="S11" s="88">
        <f>LOOKUP(2, 1/('OB History S2'!$B:$B=A11), 'OB History S2'!$AC:$AC)</f>
        <v>0.49266666666666664</v>
      </c>
      <c r="T11" s="2">
        <f>COUNTIFS('OB History S2'!$B:$B,$A$11,'OB History S2'!K:K, 1)</f>
        <v>2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1</v>
      </c>
      <c r="Y11" s="2">
        <f>COUNTIFS('OB History S2'!$B:$B,$A$11,'OB History S2'!P:P, 1)</f>
        <v>2</v>
      </c>
      <c r="Z11" s="2">
        <f>COUNTIFS('OB History S2'!$B:$B,$A$11,'OB History S2'!Q:Q, 1)</f>
        <v>3</v>
      </c>
      <c r="AA11" s="2">
        <f>COUNTIFS('OB History S2'!$B:$B,$A$11,'OB History S2'!R:R, 1)</f>
        <v>2</v>
      </c>
      <c r="AB11" s="2">
        <f>COUNTIFS('OB History S2'!$B:$B,$A$11,'OB History S2'!S:S, 1)</f>
        <v>2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1</v>
      </c>
      <c r="AF11" s="2">
        <f>COUNTIFS('OB History S2'!$B:$B,$A$11,'OB History S2'!W:W, 1)</f>
        <v>2</v>
      </c>
      <c r="AG11" s="2">
        <f>COUNTIFS('OB History S2'!$B:$B,$A$11,'OB History S2'!X:X, 1)</f>
        <v>4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146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92</v>
      </c>
      <c r="I12" s="4">
        <f>AVERAGEIFS('OB History S2'!C:C,'OB History S2'!B:B,A12)</f>
        <v>13.142857142857142</v>
      </c>
      <c r="J12" s="35">
        <f t="array" ref="J12">MAX(IF('OB History S2'!B:B=A12, 'OB History S2'!C:C))</f>
        <v>27</v>
      </c>
      <c r="K12" s="34">
        <f>COUNTIFS('OB History S2'!B:B,A12,'OB History S2'!D:D, 1)</f>
        <v>1</v>
      </c>
      <c r="L12" s="2">
        <f>COUNTIFS('OB History S2'!B:B,A12,'OB History S2'!D:D, 0)</f>
        <v>6</v>
      </c>
      <c r="M12" s="88">
        <f>LOOKUP(2, 1/('OB History S2'!$B:$B=A12), 'OB History S2'!$AD:$AD)</f>
        <v>0.14285714285714285</v>
      </c>
      <c r="N12" s="34">
        <f>SUMIFS('OB History S2'!F:F,'OB History S2'!B:B,A12)</f>
        <v>8</v>
      </c>
      <c r="O12" s="2">
        <f>SUMIFS('OB History S2'!E:E,'OB History S2'!B:B,A12)-N12</f>
        <v>18</v>
      </c>
      <c r="P12" s="88">
        <f>LOOKUP(2, 1/('OB History S2'!$B:$B=A12), 'OB History S2'!$AB:$AB)</f>
        <v>0.29285714285714282</v>
      </c>
      <c r="Q12" s="34">
        <f>SUMIFS('OB History S2'!H:H,'OB History S2'!B:B,A12)</f>
        <v>49</v>
      </c>
      <c r="R12" s="2">
        <f>SUMIFS('OB History S2'!G:G,'OB History S2'!B:B,A12)-Q12</f>
        <v>66</v>
      </c>
      <c r="S12" s="88">
        <f>LOOKUP(2, 1/('OB History S2'!$B:$B=A12), 'OB History S2'!$AC:$AC)</f>
        <v>0.42142857142857143</v>
      </c>
      <c r="T12" s="2">
        <f>COUNTIFS('OB History S2'!$B:$B,$A$12,'OB History S2'!K:K, 1)</f>
        <v>0</v>
      </c>
      <c r="U12" s="2">
        <f>COUNTIFS('OB History S2'!$B:$B,$A$12,'OB History S2'!L:L, 1)</f>
        <v>1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0</v>
      </c>
      <c r="Y12" s="2">
        <f>COUNTIFS('OB History S2'!$B:$B,$A$12,'OB History S2'!P:P, 1)</f>
        <v>0</v>
      </c>
      <c r="Z12" s="2">
        <f>COUNTIFS('OB History S2'!$B:$B,$A$12,'OB History S2'!Q:Q, 1)</f>
        <v>1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0</v>
      </c>
      <c r="AH12" s="2">
        <f>COUNTIFS('OB History S2'!$B:$B,$A$12,'OB History S2'!Y:Y, 1)</f>
        <v>1</v>
      </c>
      <c r="AI12" s="2">
        <f>COUNTIFS('OB History S2'!$B:$B,$A$12,'OB History S2'!Z:Z, 1)</f>
        <v>0</v>
      </c>
    </row>
    <row r="13" spans="1:35" x14ac:dyDescent="0.25">
      <c r="A13" s="1" t="s">
        <v>27</v>
      </c>
      <c r="B13" s="6" t="s">
        <v>76</v>
      </c>
      <c r="C13" s="6" t="s">
        <v>79</v>
      </c>
      <c r="D13" s="6">
        <v>2</v>
      </c>
      <c r="E13" s="6"/>
      <c r="F13" s="6"/>
      <c r="G13" s="6"/>
      <c r="H13" s="34">
        <f>SUMIFS('OB History S2'!C:C,'OB History S2'!B:B,A13)</f>
        <v>158</v>
      </c>
      <c r="I13" s="4">
        <f>AVERAGEIFS('OB History S2'!C:C,'OB History S2'!B:B,A13)</f>
        <v>17.555555555555557</v>
      </c>
      <c r="J13" s="35">
        <f t="array" ref="J13">MAX(IF('OB History S2'!B:B=A13, 'OB History S2'!C:C))</f>
        <v>44</v>
      </c>
      <c r="K13" s="34">
        <f>COUNTIFS('OB History S2'!B:B,A13,'OB History S2'!D:D, 1)</f>
        <v>7</v>
      </c>
      <c r="L13" s="2">
        <f>COUNTIFS('OB History S2'!B:B,A13,'OB History S2'!D:D, 0)</f>
        <v>2</v>
      </c>
      <c r="M13" s="88">
        <f>LOOKUP(2, 1/('OB History S2'!$B:$B=A13), 'OB History S2'!$AD:$AD)</f>
        <v>0.77777777777777779</v>
      </c>
      <c r="N13" s="34">
        <f>SUMIFS('OB History S2'!F:F,'OB History S2'!B:B,A13)</f>
        <v>24</v>
      </c>
      <c r="O13" s="2">
        <f>SUMIFS('OB History S2'!E:E,'OB History S2'!B:B,A13)-N13</f>
        <v>13</v>
      </c>
      <c r="P13" s="88">
        <f>LOOKUP(2, 1/('OB History S2'!$B:$B=A13), 'OB History S2'!$AB:$AB)</f>
        <v>0.66666666666666663</v>
      </c>
      <c r="Q13" s="34">
        <f>SUMIFS('OB History S2'!H:H,'OB History S2'!B:B,A13)</f>
        <v>85</v>
      </c>
      <c r="R13" s="2">
        <f>SUMIFS('OB History S2'!G:G,'OB History S2'!B:B,A13)-Q13</f>
        <v>60</v>
      </c>
      <c r="S13" s="88">
        <f>LOOKUP(2, 1/('OB History S2'!$B:$B=A13), 'OB History S2'!$AC:$AC)</f>
        <v>0.59666666666666679</v>
      </c>
      <c r="T13" s="2">
        <f>COUNTIFS('OB History S2'!$B:$B,$A$13,'OB History S2'!K:K, 1)</f>
        <v>0</v>
      </c>
      <c r="U13" s="2">
        <f>COUNTIFS('OB History S2'!$B:$B,$A$13,'OB History S2'!L:L, 1)</f>
        <v>2</v>
      </c>
      <c r="V13" s="2">
        <f>COUNTIFS('OB History S2'!$B:$B,$A$13,'OB History S2'!M:M, 1)</f>
        <v>0</v>
      </c>
      <c r="W13" s="2">
        <f>COUNTIFS('OB History S2'!$B:$B,$A$13,'OB History S2'!N:N, 1)</f>
        <v>2</v>
      </c>
      <c r="X13" s="2">
        <f>COUNTIFS('OB History S2'!$B:$B,$A$13,'OB History S2'!O:O, 1)</f>
        <v>0</v>
      </c>
      <c r="Y13" s="2">
        <f>COUNTIFS('OB History S2'!$B:$B,$A$13,'OB History S2'!P:P, 1)</f>
        <v>2</v>
      </c>
      <c r="Z13" s="2">
        <f>COUNTIFS('OB History S2'!$B:$B,$A$13,'OB History S2'!Q:Q, 1)</f>
        <v>3</v>
      </c>
      <c r="AA13" s="2">
        <f>COUNTIFS('OB History S2'!$B:$B,$A$13,'OB History S2'!R:R, 1)</f>
        <v>3</v>
      </c>
      <c r="AB13" s="2">
        <f>COUNTIFS('OB History S2'!$B:$B,$A$13,'OB History S2'!S:S, 1)</f>
        <v>0</v>
      </c>
      <c r="AC13" s="2">
        <f>COUNTIFS('OB History S2'!$B:$B,$A$13,'OB History S2'!T:T, 1)</f>
        <v>1</v>
      </c>
      <c r="AD13" s="2">
        <f>COUNTIFS('OB History S2'!$B:$B,$A$13,'OB History S2'!U:U, 1)</f>
        <v>1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3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26</v>
      </c>
      <c r="B14" s="6" t="s">
        <v>124</v>
      </c>
      <c r="C14" s="6" t="s">
        <v>79</v>
      </c>
      <c r="D14" s="6"/>
      <c r="E14" s="6"/>
      <c r="F14" s="6"/>
      <c r="G14" s="6"/>
      <c r="H14" s="34">
        <f>SUMIFS('OB History S2'!C:C,'OB History S2'!B:B,A14)</f>
        <v>186</v>
      </c>
      <c r="I14" s="4">
        <f>AVERAGEIFS('OB History S2'!C:C,'OB History S2'!B:B,A14)</f>
        <v>16.90909090909091</v>
      </c>
      <c r="J14" s="35">
        <f t="array" ref="J14">MAX(IF('OB History S2'!B:B=A14, 'OB History S2'!C:C))</f>
        <v>41</v>
      </c>
      <c r="K14" s="34">
        <f>COUNTIFS('OB History S2'!B:B,A14,'OB History S2'!D:D, 1)</f>
        <v>5</v>
      </c>
      <c r="L14" s="2">
        <f>COUNTIFS('OB History S2'!B:B,A14,'OB History S2'!D:D, 0)</f>
        <v>6</v>
      </c>
      <c r="M14" s="88">
        <f>LOOKUP(2, 1/('OB History S2'!$B:$B=A14), 'OB History S2'!$AD:$AD)</f>
        <v>0.45454545454545453</v>
      </c>
      <c r="N14" s="34">
        <f>SUMIFS('OB History S2'!F:F,'OB History S2'!B:B,A14)</f>
        <v>22</v>
      </c>
      <c r="O14" s="2">
        <f>SUMIFS('OB History S2'!E:E,'OB History S2'!B:B,A14)-N14</f>
        <v>22</v>
      </c>
      <c r="P14" s="88">
        <f>LOOKUP(2, 1/('OB History S2'!$B:$B=A14), 'OB History S2'!$AB:$AB)</f>
        <v>0.51363636363636367</v>
      </c>
      <c r="Q14" s="34">
        <f>SUMIFS('OB History S2'!H:H,'OB History S2'!B:B,A14)</f>
        <v>90</v>
      </c>
      <c r="R14" s="2">
        <f>SUMIFS('OB History S2'!G:G,'OB History S2'!B:B,A14)-Q14</f>
        <v>95</v>
      </c>
      <c r="S14" s="88">
        <f>LOOKUP(2, 1/('OB History S2'!$B:$B=A14), 'OB History S2'!$AC:$AC)</f>
        <v>0.48181818181818187</v>
      </c>
      <c r="T14" s="2">
        <f>COUNTIFS('OB History S2'!$B:$B,$A$14,'OB History S2'!K:K, 1)</f>
        <v>1</v>
      </c>
      <c r="U14" s="2">
        <f>COUNTIFS('OB History S2'!$B:$B,$A$14,'OB History S2'!L:L, 1)</f>
        <v>1</v>
      </c>
      <c r="V14" s="2">
        <f>COUNTIFS('OB History S2'!$B:$B,$A$14,'OB History S2'!M:M, 1)</f>
        <v>0</v>
      </c>
      <c r="W14" s="2">
        <f>COUNTIFS('OB History S2'!$B:$B,$A$14,'OB History S2'!N:N, 1)</f>
        <v>1</v>
      </c>
      <c r="X14" s="2">
        <f>COUNTIFS('OB History S2'!$B:$B,$A$14,'OB History S2'!O:O, 1)</f>
        <v>0</v>
      </c>
      <c r="Y14" s="2">
        <f>COUNTIFS('OB History S2'!$B:$B,$A$14,'OB History S2'!P:P, 1)</f>
        <v>3</v>
      </c>
      <c r="Z14" s="2">
        <f>COUNTIFS('OB History S2'!$B:$B,$A$14,'OB History S2'!Q:Q, 1)</f>
        <v>1</v>
      </c>
      <c r="AA14" s="2">
        <f>COUNTIFS('OB History S2'!$B:$B,$A$14,'OB History S2'!R:R, 1)</f>
        <v>2</v>
      </c>
      <c r="AB14" s="2">
        <f>COUNTIFS('OB History S2'!$B:$B,$A$14,'OB History S2'!S:S, 1)</f>
        <v>1</v>
      </c>
      <c r="AC14" s="2">
        <f>COUNTIFS('OB History S2'!$B:$B,$A$14,'OB History S2'!T:T, 1)</f>
        <v>1</v>
      </c>
      <c r="AD14" s="2">
        <f>COUNTIFS('OB History S2'!$B:$B,$A$14,'OB History S2'!U:U, 1)</f>
        <v>0</v>
      </c>
      <c r="AE14" s="2">
        <f>COUNTIFS('OB History S2'!$B:$B,$A$14,'OB History S2'!V:V, 1)</f>
        <v>1</v>
      </c>
      <c r="AF14" s="2">
        <f>COUNTIFS('OB History S2'!$B:$B,$A$14,'OB History S2'!W:W, 1)</f>
        <v>1</v>
      </c>
      <c r="AG14" s="2">
        <f>COUNTIFS('OB History S2'!$B:$B,$A$14,'OB History S2'!X:X, 1)</f>
        <v>2</v>
      </c>
      <c r="AH14" s="2">
        <f>COUNTIFS('OB History S2'!$B:$B,$A$14,'OB History S2'!Y:Y, 1)</f>
        <v>4</v>
      </c>
      <c r="AI14" s="2">
        <f>COUNTIFS('OB History S2'!$B:$B,$A$14,'OB History S2'!Z:Z, 1)</f>
        <v>3</v>
      </c>
    </row>
    <row r="15" spans="1:35" x14ac:dyDescent="0.25">
      <c r="A15" s="1" t="s">
        <v>74</v>
      </c>
      <c r="B15" s="6" t="s">
        <v>79</v>
      </c>
      <c r="C15" s="6" t="s">
        <v>79</v>
      </c>
      <c r="D15" s="6"/>
      <c r="E15" s="6"/>
      <c r="F15" s="6"/>
      <c r="G15" s="6"/>
      <c r="H15" s="34">
        <f>SUMIFS('OB History S2'!C:C,'OB History S2'!B:B,A15)</f>
        <v>10</v>
      </c>
      <c r="I15" s="4">
        <f>AVERAGEIFS('OB History S2'!C:C,'OB History S2'!B:B,A15)</f>
        <v>10</v>
      </c>
      <c r="J15" s="35">
        <f t="array" ref="J15">MAX(IF('OB History S2'!B:B=A15, 'OB History S2'!C:C))</f>
        <v>10</v>
      </c>
      <c r="K15" s="34">
        <f>COUNTIFS('OB History S2'!B:B,A15,'OB History S2'!D:D, 1)</f>
        <v>0</v>
      </c>
      <c r="L15" s="2">
        <f>COUNTIFS('OB History S2'!B:B,A15,'OB History S2'!D:D, 0)</f>
        <v>1</v>
      </c>
      <c r="M15" s="88">
        <f>LOOKUP(2, 1/('OB History S2'!$B:$B=A15), 'OB History S2'!$AD:$AD)</f>
        <v>0</v>
      </c>
      <c r="N15" s="34">
        <f>SUMIFS('OB History S2'!F:F,'OB History S2'!B:B,A15)</f>
        <v>2</v>
      </c>
      <c r="O15" s="2">
        <f>SUMIFS('OB History S2'!E:E,'OB History S2'!B:B,A15)-N15</f>
        <v>3</v>
      </c>
      <c r="P15" s="88">
        <f>LOOKUP(2, 1/('OB History S2'!$B:$B=A15), 'OB History S2'!$AB:$AB)</f>
        <v>0.4</v>
      </c>
      <c r="Q15" s="34">
        <f>SUMIFS('OB History S2'!H:H,'OB History S2'!B:B,A15)</f>
        <v>6</v>
      </c>
      <c r="R15" s="2">
        <f>SUMIFS('OB History S2'!G:G,'OB History S2'!B:B,A15)-Q15</f>
        <v>14</v>
      </c>
      <c r="S15" s="88">
        <f>LOOKUP(2, 1/('OB History S2'!$B:$B=A15), 'OB History S2'!$AC:$AC)</f>
        <v>0.3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0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0</v>
      </c>
      <c r="Z15" s="2">
        <f>COUNTIFS('OB History S2'!$B:$B,$A$15,'OB History S2'!Q:Q, 1)</f>
        <v>0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1</v>
      </c>
      <c r="AG15" s="2">
        <f>COUNTIFS('OB History S2'!$B:$B,$A$15,'OB History S2'!X:X, 1)</f>
        <v>0</v>
      </c>
      <c r="AH15" s="2">
        <f>COUNTIFS('OB History S2'!$B:$B,$A$15,'OB History S2'!Y:Y, 1)</f>
        <v>1</v>
      </c>
      <c r="AI15" s="2">
        <f>COUNTIFS('OB History S2'!$B:$B,$A$15,'OB History S2'!Z:Z, 1)</f>
        <v>0</v>
      </c>
    </row>
    <row r="16" spans="1:35" x14ac:dyDescent="0.25">
      <c r="A16" s="1" t="s">
        <v>152</v>
      </c>
      <c r="B16" s="6" t="s">
        <v>79</v>
      </c>
      <c r="C16" s="2" t="s">
        <v>79</v>
      </c>
      <c r="D16" s="2"/>
      <c r="E16" s="2"/>
      <c r="F16" s="2"/>
      <c r="G16" s="2"/>
      <c r="H16" s="34">
        <f>SUMIFS('OB History S2'!C:C,'OB History S2'!B:B,A16)</f>
        <v>63</v>
      </c>
      <c r="I16" s="4">
        <f>AVERAGEIFS('OB History S2'!C:C,'OB History S2'!B:B,A16)</f>
        <v>15.75</v>
      </c>
      <c r="J16" s="35">
        <f t="array" ref="J16">MAX(IF('OB History S2'!B:B=A16, 'OB History S2'!C:C))</f>
        <v>19</v>
      </c>
      <c r="K16" s="34">
        <f>COUNTIFS('OB History S2'!B:B,A16,'OB History S2'!D:D, 1)</f>
        <v>1</v>
      </c>
      <c r="L16" s="2">
        <f>COUNTIFS('OB History S2'!B:B,A16,'OB History S2'!D:D, 0)</f>
        <v>3</v>
      </c>
      <c r="M16" s="88">
        <f>LOOKUP(2, 1/('OB History S2'!$B:$B=A16), 'OB History S2'!$AD:$AD)</f>
        <v>0.25</v>
      </c>
      <c r="N16" s="34">
        <f>SUMIFS('OB History S2'!F:F,'OB History S2'!B:B,A16)</f>
        <v>7</v>
      </c>
      <c r="O16" s="2">
        <f>SUMIFS('OB History S2'!E:E,'OB History S2'!B:B,A16)-N16</f>
        <v>10</v>
      </c>
      <c r="P16" s="88">
        <f>LOOKUP(2, 1/('OB History S2'!$B:$B=A16), 'OB History S2'!$AB:$AB)</f>
        <v>0.38750000000000001</v>
      </c>
      <c r="Q16" s="34">
        <f>SUMIFS('OB History S2'!H:H,'OB History S2'!B:B,A16)</f>
        <v>33</v>
      </c>
      <c r="R16" s="2">
        <f>SUMIFS('OB History S2'!G:G,'OB History S2'!B:B,A16)-Q16</f>
        <v>41</v>
      </c>
      <c r="S16" s="88">
        <f>LOOKUP(2, 1/('OB History S2'!$B:$B=A16), 'OB History S2'!$AC:$AC)</f>
        <v>0.42749999999999999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1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2</v>
      </c>
      <c r="AA16" s="2">
        <f>COUNTIFS('OB History S2'!$B:$B,$A$16,'OB History S2'!R:R, 1)</f>
        <v>1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0</v>
      </c>
      <c r="AG16" s="2">
        <f>COUNTIFS('OB History S2'!$B:$B,$A$16,'OB History S2'!X:X, 1)</f>
        <v>1</v>
      </c>
      <c r="AH16" s="2">
        <f>COUNTIFS('OB History S2'!$B:$B,$A$16,'OB History S2'!Y:Y, 1)</f>
        <v>0</v>
      </c>
      <c r="AI16" s="2">
        <f>COUNTIFS('OB History S2'!$B:$B,$A$16,'OB History S2'!Z:Z, 1)</f>
        <v>1</v>
      </c>
    </row>
    <row r="17" spans="1:35" ht="15.75" x14ac:dyDescent="0.25">
      <c r="A17" s="1" t="s">
        <v>45</v>
      </c>
      <c r="B17" s="80" t="s">
        <v>60</v>
      </c>
      <c r="C17" s="2" t="s">
        <v>79</v>
      </c>
      <c r="D17" s="2"/>
      <c r="E17" s="2"/>
      <c r="F17" s="2"/>
      <c r="G17" s="2"/>
      <c r="H17" s="34">
        <f>SUMIFS('OB History S2'!C:C,'OB History S2'!B:B,A17)</f>
        <v>97</v>
      </c>
      <c r="I17" s="4">
        <f>AVERAGEIFS('OB History S2'!C:C,'OB History S2'!B:B,A17)</f>
        <v>13.857142857142858</v>
      </c>
      <c r="J17" s="35">
        <f t="array" ref="J17">MAX(IF('OB History S2'!B:B=A17, 'OB History S2'!C:C))</f>
        <v>26</v>
      </c>
      <c r="K17" s="34">
        <f>COUNTIFS('OB History S2'!B:B,A17,'OB History S2'!D:D, 1)</f>
        <v>4</v>
      </c>
      <c r="L17" s="2">
        <f>COUNTIFS('OB History S2'!B:B,A17,'OB History S2'!D:D, 0)</f>
        <v>3</v>
      </c>
      <c r="M17" s="88">
        <f>LOOKUP(2, 1/('OB History S2'!$B:$B=A17), 'OB History S2'!$AD:$AD)</f>
        <v>0.5714285714285714</v>
      </c>
      <c r="N17" s="34">
        <f>SUMIFS('OB History S2'!F:F,'OB History S2'!B:B,A17)</f>
        <v>16</v>
      </c>
      <c r="O17" s="2">
        <f>SUMIFS('OB History S2'!E:E,'OB History S2'!B:B,A17)-N17</f>
        <v>15</v>
      </c>
      <c r="P17" s="88">
        <f>LOOKUP(2, 1/('OB History S2'!$B:$B=A17), 'OB History S2'!$AB:$AB)</f>
        <v>0.51428571428571435</v>
      </c>
      <c r="Q17" s="34">
        <f>SUMIFS('OB History S2'!H:H,'OB History S2'!B:B,A17)</f>
        <v>58</v>
      </c>
      <c r="R17" s="2">
        <f>SUMIFS('OB History S2'!G:G,'OB History S2'!B:B,A17)-Q17</f>
        <v>61</v>
      </c>
      <c r="S17" s="88">
        <f>LOOKUP(2, 1/('OB History S2'!$B:$B=A17), 'OB History S2'!$AC:$AC)</f>
        <v>0.4871428571428571</v>
      </c>
      <c r="T17" s="2">
        <f>COUNTIFS('OB History S2'!$B:$B,$A$17,'OB History S2'!K:K, 1)</f>
        <v>1</v>
      </c>
      <c r="U17" s="2">
        <f>COUNTIFS('OB History S2'!$B:$B,$A$17,'OB History S2'!L:L, 1)</f>
        <v>1</v>
      </c>
      <c r="V17" s="2">
        <f>COUNTIFS('OB History S2'!$B:$B,$A$17,'OB History S2'!M:M, 1)</f>
        <v>2</v>
      </c>
      <c r="W17" s="2">
        <f>COUNTIFS('OB History S2'!$B:$B,$A$17,'OB History S2'!N:N, 1)</f>
        <v>1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1</v>
      </c>
      <c r="AC17" s="2">
        <f>COUNTIFS('OB History S2'!$B:$B,$A$17,'OB History S2'!T:T, 1)</f>
        <v>1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1</v>
      </c>
      <c r="AH17" s="2">
        <f>COUNTIFS('OB History S2'!$B:$B,$A$17,'OB History S2'!Y:Y, 1)</f>
        <v>3</v>
      </c>
      <c r="AI17" s="2">
        <f>COUNTIFS('OB History S2'!$B:$B,$A$17,'OB History S2'!Z:Z, 1)</f>
        <v>3</v>
      </c>
    </row>
    <row r="18" spans="1:35" x14ac:dyDescent="0.25">
      <c r="A18" s="2" t="s">
        <v>52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34</v>
      </c>
      <c r="I18" s="4">
        <f>AVERAGEIFS('OB History S2'!C:C,'OB History S2'!B:B,A18)</f>
        <v>34</v>
      </c>
      <c r="J18" s="35">
        <f t="array" ref="J18">MAX(IF('OB History S2'!B:B=A18, 'OB History S2'!C:C))</f>
        <v>34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2</v>
      </c>
      <c r="O18" s="2">
        <f>SUMIFS('OB History S2'!E:E,'OB History S2'!B:B,A18)-N18</f>
        <v>3</v>
      </c>
      <c r="P18" s="88">
        <f>LOOKUP(2, 1/('OB History S2'!$B:$B=A18), 'OB History S2'!$AB:$AB)</f>
        <v>0.4</v>
      </c>
      <c r="Q18" s="34">
        <f>SUMIFS('OB History S2'!H:H,'OB History S2'!B:B,A18)</f>
        <v>8</v>
      </c>
      <c r="R18" s="2">
        <f>SUMIFS('OB History S2'!G:G,'OB History S2'!B:B,A18)-Q18</f>
        <v>13</v>
      </c>
      <c r="S18" s="88">
        <f>LOOKUP(2, 1/('OB History S2'!$B:$B=A18), 'OB History S2'!$AC:$AC)</f>
        <v>0.38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1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1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67</v>
      </c>
      <c r="I19" s="4">
        <f>AVERAGEIFS('OB History S2'!C:C,'OB History S2'!B:B,A19)</f>
        <v>16.75</v>
      </c>
      <c r="J19" s="35">
        <f t="array" ref="J19">MAX(IF('OB History S2'!B:B=A19, 'OB History S2'!C:C))</f>
        <v>28</v>
      </c>
      <c r="K19" s="34">
        <f>COUNTIFS('OB History S2'!B:B,A19,'OB History S2'!D:D, 1)</f>
        <v>4</v>
      </c>
      <c r="L19" s="2">
        <f>COUNTIFS('OB History S2'!B:B,A19,'OB History S2'!D:D, 0)</f>
        <v>0</v>
      </c>
      <c r="M19" s="88">
        <f>LOOKUP(2, 1/('OB History S2'!$B:$B=A19), 'OB History S2'!$AD:$AD)</f>
        <v>1</v>
      </c>
      <c r="N19" s="34">
        <f>SUMIFS('OB History S2'!F:F,'OB History S2'!B:B,A19)</f>
        <v>12</v>
      </c>
      <c r="O19" s="2">
        <f>SUMIFS('OB History S2'!E:E,'OB History S2'!B:B,A19)-N19</f>
        <v>3</v>
      </c>
      <c r="P19" s="88">
        <f>LOOKUP(2, 1/('OB History S2'!$B:$B=A19), 'OB History S2'!$AB:$AB)</f>
        <v>0.83750000000000002</v>
      </c>
      <c r="Q19" s="34">
        <f>SUMIFS('OB History S2'!H:H,'OB History S2'!B:B,A19)</f>
        <v>40</v>
      </c>
      <c r="R19" s="2">
        <f>SUMIFS('OB History S2'!G:G,'OB History S2'!B:B,A19)-Q19</f>
        <v>23</v>
      </c>
      <c r="S19" s="88">
        <f>LOOKUP(2, 1/('OB History S2'!$B:$B=A19), 'OB History S2'!$AC:$AC)</f>
        <v>0.65</v>
      </c>
      <c r="T19" s="2">
        <f>COUNTIFS('OB History S2'!$B:$B,$A$19,'OB History S2'!K:K, 1)</f>
        <v>0</v>
      </c>
      <c r="U19" s="2">
        <f>COUNTIFS('OB History S2'!$B:$B,$A$19,'OB History S2'!L:L, 1)</f>
        <v>2</v>
      </c>
      <c r="V19" s="2">
        <f>COUNTIFS('OB History S2'!$B:$B,$A$19,'OB History S2'!M:M, 1)</f>
        <v>1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1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2"/>
      <c r="E20" s="2"/>
      <c r="F20" s="2"/>
      <c r="G20" s="2"/>
      <c r="H20" s="34">
        <f>SUMIFS('OB History S2'!C:C,'OB History S2'!B:B,A20)</f>
        <v>63</v>
      </c>
      <c r="I20" s="4">
        <f>AVERAGEIFS('OB History S2'!C:C,'OB History S2'!B:B,A20)</f>
        <v>15.75</v>
      </c>
      <c r="J20" s="35">
        <f t="array" ref="J20">MAX(IF('OB History S2'!B:B=A20, 'OB History S2'!C:C))</f>
        <v>24</v>
      </c>
      <c r="K20" s="34">
        <f>COUNTIFS('OB History S2'!B:B,A20,'OB History S2'!D:D, 1)</f>
        <v>1</v>
      </c>
      <c r="L20" s="2">
        <f>COUNTIFS('OB History S2'!B:B,A20,'OB History S2'!D:D, 0)</f>
        <v>3</v>
      </c>
      <c r="M20" s="88">
        <f>LOOKUP(2, 1/('OB History S2'!$B:$B=A20), 'OB History S2'!$AD:$AD)</f>
        <v>0.25</v>
      </c>
      <c r="N20" s="34">
        <f>SUMIFS('OB History S2'!F:F,'OB History S2'!B:B,A20)</f>
        <v>6</v>
      </c>
      <c r="O20" s="2">
        <f>SUMIFS('OB History S2'!E:E,'OB History S2'!B:B,A20)-N20</f>
        <v>10</v>
      </c>
      <c r="P20" s="88">
        <f>LOOKUP(2, 1/('OB History S2'!$B:$B=A20), 'OB History S2'!$AB:$AB)</f>
        <v>0.35</v>
      </c>
      <c r="Q20" s="34">
        <f>SUMIFS('OB History S2'!H:H,'OB History S2'!B:B,A20)</f>
        <v>24</v>
      </c>
      <c r="R20" s="2">
        <f>SUMIFS('OB History S2'!G:G,'OB History S2'!B:B,A20)-Q20</f>
        <v>36</v>
      </c>
      <c r="S20" s="88">
        <f>LOOKUP(2, 1/('OB History S2'!$B:$B=A20), 'OB History S2'!$AC:$AC)</f>
        <v>0.375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2</v>
      </c>
      <c r="AG20" s="2">
        <f>COUNTIFS('OB History S2'!$B:$B,$A$20,'OB History S2'!X:X, 1)</f>
        <v>0</v>
      </c>
      <c r="AH20" s="2">
        <f>COUNTIFS('OB History S2'!$B:$B,$A$20,'OB History S2'!Y:Y, 1)</f>
        <v>2</v>
      </c>
      <c r="AI20" s="2">
        <f>COUNTIFS('OB History S2'!$B:$B,$A$20,'OB History S2'!Z:Z, 1)</f>
        <v>0</v>
      </c>
    </row>
    <row r="21" spans="1:35" x14ac:dyDescent="0.25">
      <c r="A21" s="1" t="s">
        <v>150</v>
      </c>
      <c r="B21" s="2" t="s">
        <v>79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167</v>
      </c>
      <c r="I21" s="4">
        <f>AVERAGEIFS('OB History S2'!C:C,'OB History S2'!B:B,A21)</f>
        <v>18.555555555555557</v>
      </c>
      <c r="J21" s="35">
        <f t="array" ref="J21">MAX(IF('OB History S2'!B:B=A21, 'OB History S2'!C:C))</f>
        <v>26</v>
      </c>
      <c r="K21" s="34">
        <f>COUNTIFS('OB History S2'!B:B,A21,'OB History S2'!D:D, 1)</f>
        <v>8</v>
      </c>
      <c r="L21" s="2">
        <f>COUNTIFS('OB History S2'!B:B,A21,'OB History S2'!D:D, 0)</f>
        <v>1</v>
      </c>
      <c r="M21" s="88">
        <f>LOOKUP(2, 1/('OB History S2'!$B:$B=A21), 'OB History S2'!$AD:$AD)</f>
        <v>0.88888888888888884</v>
      </c>
      <c r="N21" s="34">
        <f>SUMIFS('OB History S2'!F:F,'OB History S2'!B:B,A21)</f>
        <v>26</v>
      </c>
      <c r="O21" s="2">
        <f>SUMIFS('OB History S2'!E:E,'OB History S2'!B:B,A21)-N21</f>
        <v>11</v>
      </c>
      <c r="P21" s="88">
        <f>LOOKUP(2, 1/('OB History S2'!$B:$B=A21), 'OB History S2'!$AB:$AB)</f>
        <v>0.73333333333333328</v>
      </c>
      <c r="Q21" s="34">
        <f>SUMIFS('OB History S2'!H:H,'OB History S2'!B:B,A21)</f>
        <v>96</v>
      </c>
      <c r="R21" s="2">
        <f>SUMIFS('OB History S2'!G:G,'OB History S2'!B:B,A21)-Q21</f>
        <v>53</v>
      </c>
      <c r="S21" s="88">
        <f>LOOKUP(2, 1/('OB History S2'!$B:$B=A21), 'OB History S2'!$AC:$AC)</f>
        <v>0.65444444444444427</v>
      </c>
      <c r="T21" s="2">
        <f>COUNTIFS('OB History S2'!$B:$B,$A$21,'OB History S2'!K:K, 1)</f>
        <v>0</v>
      </c>
      <c r="U21" s="2">
        <f>COUNTIFS('OB History S2'!$B:$B,$A$21,'OB History S2'!L:L, 1)</f>
        <v>1</v>
      </c>
      <c r="V21" s="2">
        <f>COUNTIFS('OB History S2'!$B:$B,$A$21,'OB History S2'!M:M, 1)</f>
        <v>2</v>
      </c>
      <c r="W21" s="2">
        <f>COUNTIFS('OB History S2'!$B:$B,$A$21,'OB History S2'!N:N, 1)</f>
        <v>3</v>
      </c>
      <c r="X21" s="2">
        <f>COUNTIFS('OB History S2'!$B:$B,$A$21,'OB History S2'!O:O, 1)</f>
        <v>0</v>
      </c>
      <c r="Y21" s="2">
        <f>COUNTIFS('OB History S2'!$B:$B,$A$21,'OB History S2'!P:P, 1)</f>
        <v>3</v>
      </c>
      <c r="Z21" s="2">
        <f>COUNTIFS('OB History S2'!$B:$B,$A$21,'OB History S2'!Q:Q, 1)</f>
        <v>1</v>
      </c>
      <c r="AA21" s="2">
        <f>COUNTIFS('OB History S2'!$B:$B,$A$21,'OB History S2'!R:R, 1)</f>
        <v>1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1</v>
      </c>
      <c r="AE21" s="2">
        <f>COUNTIFS('OB History S2'!$B:$B,$A$21,'OB History S2'!V:V, 1)</f>
        <v>0</v>
      </c>
      <c r="AF21" s="2">
        <f>COUNTIFS('OB History S2'!$B:$B,$A$21,'OB History S2'!W:W, 1)</f>
        <v>3</v>
      </c>
      <c r="AG21" s="2">
        <f>COUNTIFS('OB History S2'!$B:$B,$A$21,'OB History S2'!X:X, 1)</f>
        <v>4</v>
      </c>
      <c r="AH21" s="2">
        <f>COUNTIFS('OB History S2'!$B:$B,$A$21,'OB History S2'!Y:Y, 1)</f>
        <v>5</v>
      </c>
      <c r="AI21" s="2">
        <f>COUNTIFS('OB History S2'!$B:$B,$A$21,'OB History S2'!Z:Z, 1)</f>
        <v>2</v>
      </c>
    </row>
    <row r="22" spans="1:35" x14ac:dyDescent="0.25">
      <c r="A22" s="2" t="s">
        <v>29</v>
      </c>
      <c r="B22" s="6" t="s">
        <v>173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242</v>
      </c>
      <c r="I22" s="4">
        <f>AVERAGEIFS('OB History S2'!C:C,'OB History S2'!B:B,A22)</f>
        <v>12.1</v>
      </c>
      <c r="J22" s="35">
        <f t="array" ref="J22">MAX(IF('OB History S2'!B:B=A22, 'OB History S2'!C:C))</f>
        <v>21</v>
      </c>
      <c r="K22" s="34">
        <f>COUNTIFS('OB History S2'!B:B,A22,'OB History S2'!D:D, 1)</f>
        <v>6</v>
      </c>
      <c r="L22" s="2">
        <f>COUNTIFS('OB History S2'!B:B,A22,'OB History S2'!D:D, 0)</f>
        <v>14</v>
      </c>
      <c r="M22" s="88">
        <f>LOOKUP(2, 1/('OB History S2'!$B:$B=A22), 'OB History S2'!$AD:$AD)</f>
        <v>0.3</v>
      </c>
      <c r="N22" s="34">
        <f>SUMIFS('OB History S2'!F:F,'OB History S2'!B:B,A22)</f>
        <v>31</v>
      </c>
      <c r="O22" s="2">
        <f>SUMIFS('OB History S2'!E:E,'OB History S2'!B:B,A22)-N22</f>
        <v>48</v>
      </c>
      <c r="P22" s="88">
        <f>LOOKUP(2, 1/('OB History S2'!$B:$B=A22), 'OB History S2'!$AB:$AB)</f>
        <v>0.37749999999999995</v>
      </c>
      <c r="Q22" s="34">
        <f>SUMIFS('OB History S2'!H:H,'OB History S2'!B:B,A22)</f>
        <v>149</v>
      </c>
      <c r="R22" s="2">
        <f>SUMIFS('OB History S2'!G:G,'OB History S2'!B:B,A22)-Q22</f>
        <v>177</v>
      </c>
      <c r="S22" s="88">
        <f>LOOKUP(2, 1/('OB History S2'!$B:$B=A22), 'OB History S2'!$AC:$AC)</f>
        <v>0.45800000000000002</v>
      </c>
      <c r="T22" s="2">
        <f>COUNTIFS('OB History S2'!$B:$B,$A$22,'OB History S2'!K:K, 1)</f>
        <v>3</v>
      </c>
      <c r="U22" s="2">
        <f>COUNTIFS('OB History S2'!$B:$B,$A$22,'OB History S2'!L:L, 1)</f>
        <v>2</v>
      </c>
      <c r="V22" s="2">
        <f>COUNTIFS('OB History S2'!$B:$B,$A$22,'OB History S2'!M:M, 1)</f>
        <v>0</v>
      </c>
      <c r="W22" s="2">
        <f>COUNTIFS('OB History S2'!$B:$B,$A$22,'OB History S2'!N:N, 1)</f>
        <v>2</v>
      </c>
      <c r="X22" s="2">
        <f>COUNTIFS('OB History S2'!$B:$B,$A$22,'OB History S2'!O:O, 1)</f>
        <v>2</v>
      </c>
      <c r="Y22" s="2">
        <f>COUNTIFS('OB History S2'!$B:$B,$A$22,'OB History S2'!P:P, 1)</f>
        <v>4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1</v>
      </c>
      <c r="AF22" s="2">
        <f>COUNTIFS('OB History S2'!$B:$B,$A$22,'OB History S2'!W:W, 1)</f>
        <v>7</v>
      </c>
      <c r="AG22" s="2">
        <f>COUNTIFS('OB History S2'!$B:$B,$A$22,'OB History S2'!X:X, 1)</f>
        <v>3</v>
      </c>
      <c r="AH22" s="2">
        <f>COUNTIFS('OB History S2'!$B:$B,$A$22,'OB History S2'!Y:Y, 1)</f>
        <v>6</v>
      </c>
      <c r="AI22" s="2">
        <f>COUNTIFS('OB History S2'!$B:$B,$A$22,'OB History S2'!Z:Z, 1)</f>
        <v>1</v>
      </c>
    </row>
    <row r="23" spans="1:35" x14ac:dyDescent="0.25">
      <c r="A23" s="2" t="s">
        <v>28</v>
      </c>
      <c r="B23" s="6" t="s">
        <v>60</v>
      </c>
      <c r="C23" s="2" t="s">
        <v>79</v>
      </c>
      <c r="D23" s="2"/>
      <c r="E23" s="2"/>
      <c r="F23" s="2"/>
      <c r="G23" s="2"/>
      <c r="H23" s="34">
        <f>SUMIFS('OB History S2'!C:C,'OB History S2'!B:B,A23)</f>
        <v>94</v>
      </c>
      <c r="I23" s="4">
        <f>AVERAGEIFS('OB History S2'!C:C,'OB History S2'!B:B,A23)</f>
        <v>23.5</v>
      </c>
      <c r="J23" s="35">
        <f t="array" ref="J23">MAX(IF('OB History S2'!B:B=A23, 'OB History S2'!C:C))</f>
        <v>43</v>
      </c>
      <c r="K23" s="34">
        <f>COUNTIFS('OB History S2'!B:B,A23,'OB History S2'!D:D, 1)</f>
        <v>2</v>
      </c>
      <c r="L23" s="2">
        <f>COUNTIFS('OB History S2'!B:B,A23,'OB History S2'!D:D, 0)</f>
        <v>2</v>
      </c>
      <c r="M23" s="88">
        <f>LOOKUP(2, 1/('OB History S2'!$B:$B=A23), 'OB History S2'!$AD:$AD)</f>
        <v>0.5</v>
      </c>
      <c r="N23" s="34">
        <f>SUMIFS('OB History S2'!F:F,'OB History S2'!B:B,A23)</f>
        <v>9</v>
      </c>
      <c r="O23" s="2">
        <f>SUMIFS('OB History S2'!E:E,'OB History S2'!B:B,A23)-N23</f>
        <v>9</v>
      </c>
      <c r="P23" s="88">
        <f>LOOKUP(2, 1/('OB History S2'!$B:$B=A23), 'OB History S2'!$AB:$AB)</f>
        <v>0.5</v>
      </c>
      <c r="Q23" s="34">
        <f>SUMIFS('OB History S2'!H:H,'OB History S2'!B:B,A23)</f>
        <v>37</v>
      </c>
      <c r="R23" s="2">
        <f>SUMIFS('OB History S2'!G:G,'OB History S2'!B:B,A23)-Q23</f>
        <v>37</v>
      </c>
      <c r="S23" s="88">
        <f>LOOKUP(2, 1/('OB History S2'!$B:$B=A23), 'OB History S2'!$AC:$AC)</f>
        <v>0.505</v>
      </c>
      <c r="T23" s="2">
        <f>COUNTIFS('OB History S2'!$B:$B,$A$23,'OB History S2'!K:K, 1)</f>
        <v>1</v>
      </c>
      <c r="U23" s="2">
        <f>COUNTIFS('OB History S2'!$B:$B,$A$23,'OB History S2'!L:L, 1)</f>
        <v>1</v>
      </c>
      <c r="V23" s="2">
        <f>COUNTIFS('OB History S2'!$B:$B,$A$23,'OB History S2'!M:M, 1)</f>
        <v>0</v>
      </c>
      <c r="W23" s="2">
        <f>COUNTIFS('OB History S2'!$B:$B,$A$23,'OB History S2'!N:N, 1)</f>
        <v>0</v>
      </c>
      <c r="X23" s="2">
        <f>COUNTIFS('OB History S2'!$B:$B,$A$23,'OB History S2'!O:O, 1)</f>
        <v>1</v>
      </c>
      <c r="Y23" s="2">
        <f>COUNTIFS('OB History S2'!$B:$B,$A$23,'OB History S2'!P:P, 1)</f>
        <v>0</v>
      </c>
      <c r="Z23" s="2">
        <f>COUNTIFS('OB History S2'!$B:$B,$A$23,'OB History S2'!Q:Q, 1)</f>
        <v>1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4</v>
      </c>
      <c r="AH23" s="2">
        <f>COUNTIFS('OB History S2'!$B:$B,$A$23,'OB History S2'!Y:Y, 1)</f>
        <v>0</v>
      </c>
      <c r="AI23" s="2">
        <f>COUNTIFS('OB History S2'!$B:$B,$A$23,'OB History S2'!Z:Z, 1)</f>
        <v>1</v>
      </c>
    </row>
    <row r="24" spans="1:35" x14ac:dyDescent="0.25">
      <c r="A24" s="2" t="s">
        <v>139</v>
      </c>
      <c r="B24" s="6" t="s">
        <v>79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127</v>
      </c>
      <c r="I24" s="4">
        <f>AVERAGEIFS('OB History S2'!C:C,'OB History S2'!B:B,A24)</f>
        <v>10.583333333333334</v>
      </c>
      <c r="J24" s="35">
        <f t="array" ref="J24">MAX(IF('OB History S2'!B:B=A24, 'OB History S2'!C:C))</f>
        <v>17</v>
      </c>
      <c r="K24" s="34">
        <f>COUNTIFS('OB History S2'!B:B,A24,'OB History S2'!D:D, 1)</f>
        <v>8</v>
      </c>
      <c r="L24" s="2">
        <f>COUNTIFS('OB History S2'!B:B,A24,'OB History S2'!D:D, 0)</f>
        <v>4</v>
      </c>
      <c r="M24" s="88">
        <f>LOOKUP(2, 1/('OB History S2'!$B:$B=A24), 'OB History S2'!$AD:$AD)</f>
        <v>0.66666666666666663</v>
      </c>
      <c r="N24" s="34">
        <f>SUMIFS('OB History S2'!F:F,'OB History S2'!B:B,A24)</f>
        <v>27</v>
      </c>
      <c r="O24" s="2">
        <f>SUMIFS('OB History S2'!E:E,'OB History S2'!B:B,A24)-N24</f>
        <v>23</v>
      </c>
      <c r="P24" s="88">
        <f>LOOKUP(2, 1/('OB History S2'!$B:$B=A24), 'OB History S2'!$AB:$AB)</f>
        <v>0.52500000000000002</v>
      </c>
      <c r="Q24" s="34">
        <f>SUMIFS('OB History S2'!H:H,'OB History S2'!B:B,A24)</f>
        <v>106</v>
      </c>
      <c r="R24" s="2">
        <f>SUMIFS('OB History S2'!G:G,'OB History S2'!B:B,A24)-Q24</f>
        <v>94</v>
      </c>
      <c r="S24" s="88">
        <f>LOOKUP(2, 1/('OB History S2'!$B:$B=A24), 'OB History S2'!$AC:$AC)</f>
        <v>0.52749999999999997</v>
      </c>
      <c r="T24" s="2">
        <f>COUNTIFS('OB History S2'!$B:$B,$A$24,'OB History S2'!K:K, 1)</f>
        <v>1</v>
      </c>
      <c r="U24" s="2">
        <f>COUNTIFS('OB History S2'!$B:$B,$A$24,'OB History S2'!L:L, 1)</f>
        <v>4</v>
      </c>
      <c r="V24" s="2">
        <f>COUNTIFS('OB History S2'!$B:$B,$A$24,'OB History S2'!M:M, 1)</f>
        <v>0</v>
      </c>
      <c r="W24" s="2">
        <f>COUNTIFS('OB History S2'!$B:$B,$A$24,'OB History S2'!N:N, 1)</f>
        <v>3</v>
      </c>
      <c r="X24" s="2">
        <f>COUNTIFS('OB History S2'!$B:$B,$A$24,'OB History S2'!O:O, 1)</f>
        <v>0</v>
      </c>
      <c r="Y24" s="2">
        <f>COUNTIFS('OB History S2'!$B:$B,$A$24,'OB History S2'!P:P, 1)</f>
        <v>2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6</v>
      </c>
      <c r="AH24" s="2">
        <f>COUNTIFS('OB History S2'!$B:$B,$A$24,'OB History S2'!Y:Y, 1)</f>
        <v>2</v>
      </c>
      <c r="AI24" s="2">
        <f>COUNTIFS('OB History S2'!$B:$B,$A$24,'OB History S2'!Z:Z, 1)</f>
        <v>5</v>
      </c>
    </row>
    <row r="25" spans="1:35" ht="15.75" x14ac:dyDescent="0.25">
      <c r="A25" s="2" t="s">
        <v>20</v>
      </c>
      <c r="B25" s="80" t="s">
        <v>60</v>
      </c>
      <c r="C25" s="2" t="s">
        <v>79</v>
      </c>
      <c r="D25" s="2"/>
      <c r="E25" s="2"/>
      <c r="F25" s="2"/>
      <c r="G25" s="2"/>
      <c r="H25" s="34">
        <f>SUMIFS('OB History S2'!C:C,'OB History S2'!B:B,A25)</f>
        <v>122</v>
      </c>
      <c r="I25" s="4">
        <f>AVERAGEIFS('OB History S2'!C:C,'OB History S2'!B:B,A25)</f>
        <v>15.25</v>
      </c>
      <c r="J25" s="35">
        <f t="array" ref="J25">MAX(IF('OB History S2'!B:B=A25, 'OB History S2'!C:C))</f>
        <v>37</v>
      </c>
      <c r="K25" s="34">
        <f>COUNTIFS('OB History S2'!B:B,A25,'OB History S2'!D:D, 1)</f>
        <v>3</v>
      </c>
      <c r="L25" s="2">
        <f>COUNTIFS('OB History S2'!B:B,A25,'OB History S2'!D:D, 0)</f>
        <v>5</v>
      </c>
      <c r="M25" s="88">
        <f>LOOKUP(2, 1/('OB History S2'!$B:$B=A25), 'OB History S2'!$AD:$AD)</f>
        <v>0.375</v>
      </c>
      <c r="N25" s="34">
        <f>SUMIFS('OB History S2'!F:F,'OB History S2'!B:B,A25)</f>
        <v>16</v>
      </c>
      <c r="O25" s="2">
        <f>SUMIFS('OB History S2'!E:E,'OB History S2'!B:B,A25)-N25</f>
        <v>17</v>
      </c>
      <c r="P25" s="88">
        <f>LOOKUP(2, 1/('OB History S2'!$B:$B=A25), 'OB History S2'!$AB:$AB)</f>
        <v>0.49374999999999997</v>
      </c>
      <c r="Q25" s="34">
        <f>SUMIFS('OB History S2'!H:H,'OB History S2'!B:B,A25)</f>
        <v>70</v>
      </c>
      <c r="R25" s="2">
        <f>SUMIFS('OB History S2'!G:G,'OB History S2'!B:B,A25)-Q25</f>
        <v>68</v>
      </c>
      <c r="S25" s="88">
        <f>LOOKUP(2, 1/('OB History S2'!$B:$B=A25), 'OB History S2'!$AC:$AC)</f>
        <v>0.50875000000000004</v>
      </c>
      <c r="T25" s="2">
        <f>COUNTIFS('OB History S2'!$B:$B,$A$25,'OB History S2'!K:K, 1)</f>
        <v>2</v>
      </c>
      <c r="U25" s="2">
        <f>COUNTIFS('OB History S2'!$B:$B,$A$25,'OB History S2'!L:L, 1)</f>
        <v>1</v>
      </c>
      <c r="V25" s="2">
        <f>COUNTIFS('OB History S2'!$B:$B,$A$25,'OB History S2'!M:M, 1)</f>
        <v>1</v>
      </c>
      <c r="W25" s="2">
        <f>COUNTIFS('OB History S2'!$B:$B,$A$25,'OB History S2'!N:N, 1)</f>
        <v>2</v>
      </c>
      <c r="X25" s="2">
        <f>COUNTIFS('OB History S2'!$B:$B,$A$25,'OB History S2'!O:O, 1)</f>
        <v>0</v>
      </c>
      <c r="Y25" s="2">
        <f>COUNTIFS('OB History S2'!$B:$B,$A$25,'OB History S2'!P:P, 1)</f>
        <v>3</v>
      </c>
      <c r="Z25" s="2">
        <f>COUNTIFS('OB History S2'!$B:$B,$A$25,'OB History S2'!Q:Q, 1)</f>
        <v>0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3</v>
      </c>
      <c r="AI25" s="2">
        <f>COUNTIFS('OB History S2'!$B:$B,$A$25,'OB History S2'!Z:Z, 1)</f>
        <v>2</v>
      </c>
    </row>
    <row r="26" spans="1:35" x14ac:dyDescent="0.25">
      <c r="A26" s="1" t="s">
        <v>47</v>
      </c>
      <c r="B26" s="2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9</v>
      </c>
      <c r="I26" s="4">
        <f>AVERAGEIFS('OB History S2'!C:C,'OB History S2'!B:B,A26)</f>
        <v>9</v>
      </c>
      <c r="J26" s="35">
        <f t="array" ref="J26">MAX(IF('OB History S2'!B:B=A26, 'OB History S2'!C:C))</f>
        <v>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2</v>
      </c>
      <c r="O26" s="2">
        <f>SUMIFS('OB History S2'!E:E,'OB History S2'!B:B,A26)-N26</f>
        <v>3</v>
      </c>
      <c r="P26" s="88">
        <f>LOOKUP(2, 1/('OB History S2'!$B:$B=A26), 'OB History S2'!$AB:$AB)</f>
        <v>0.4</v>
      </c>
      <c r="Q26" s="34">
        <f>SUMIFS('OB History S2'!H:H,'OB History S2'!B:B,A26)</f>
        <v>10</v>
      </c>
      <c r="R26" s="2">
        <f>SUMIFS('OB History S2'!G:G,'OB History S2'!B:B,A26)-Q26</f>
        <v>11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1</v>
      </c>
      <c r="AG26" s="2">
        <f>COUNTIFS('OB History S2'!$B:$B,$A$26,'OB History S2'!X:X, 1)</f>
        <v>0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148</v>
      </c>
      <c r="B27" s="6" t="s">
        <v>79</v>
      </c>
      <c r="C27" s="6" t="s">
        <v>79</v>
      </c>
      <c r="D27" s="3">
        <v>4</v>
      </c>
      <c r="E27" s="6">
        <v>1</v>
      </c>
      <c r="F27" s="6"/>
      <c r="G27" s="6"/>
      <c r="H27" s="34">
        <f>SUMIFS('OB History S2'!C:C,'OB History S2'!B:B,A27)</f>
        <v>339</v>
      </c>
      <c r="I27" s="4">
        <f>AVERAGEIFS('OB History S2'!C:C,'OB History S2'!B:B,A27)</f>
        <v>13.56</v>
      </c>
      <c r="J27" s="35">
        <f t="array" ref="J27">MAX(IF('OB History S2'!B:B=A27, 'OB History S2'!C:C))</f>
        <v>23</v>
      </c>
      <c r="K27" s="34">
        <f>COUNTIFS('OB History S2'!B:B,A27,'OB History S2'!D:D, 1)</f>
        <v>16</v>
      </c>
      <c r="L27" s="2">
        <f>COUNTIFS('OB History S2'!B:B,A27,'OB History S2'!D:D, 0)</f>
        <v>9</v>
      </c>
      <c r="M27" s="88">
        <f>LOOKUP(2, 1/('OB History S2'!$B:$B=A27), 'OB History S2'!$AD:$AD)</f>
        <v>0.64</v>
      </c>
      <c r="N27" s="34">
        <f>SUMIFS('OB History S2'!F:F,'OB History S2'!B:B,A27)</f>
        <v>56</v>
      </c>
      <c r="O27" s="2">
        <f>SUMIFS('OB History S2'!E:E,'OB History S2'!B:B,A27)-N27</f>
        <v>43</v>
      </c>
      <c r="P27" s="88">
        <f>LOOKUP(2, 1/('OB History S2'!$B:$B=A27), 'OB History S2'!$AB:$AB)</f>
        <v>0.57999999999999996</v>
      </c>
      <c r="Q27" s="34">
        <f>SUMIFS('OB History S2'!H:H,'OB History S2'!B:B,A27)</f>
        <v>214</v>
      </c>
      <c r="R27" s="2">
        <f>SUMIFS('OB History S2'!G:G,'OB History S2'!B:B,A27)-Q27</f>
        <v>190</v>
      </c>
      <c r="S27" s="88">
        <f>LOOKUP(2, 1/('OB History S2'!$B:$B=A27), 'OB History S2'!$AC:$AC)</f>
        <v>0.53520000000000001</v>
      </c>
      <c r="T27" s="2">
        <f>COUNTIFS('OB History S2'!$B:$B,$A$27,'OB History S2'!K:K, 1)</f>
        <v>1</v>
      </c>
      <c r="U27" s="2">
        <f>COUNTIFS('OB History S2'!$B:$B,$A$27,'OB History S2'!L:L, 1)</f>
        <v>5</v>
      </c>
      <c r="V27" s="2">
        <f>COUNTIFS('OB History S2'!$B:$B,$A$27,'OB History S2'!M:M, 1)</f>
        <v>2</v>
      </c>
      <c r="W27" s="2">
        <f>COUNTIFS('OB History S2'!$B:$B,$A$27,'OB History S2'!N:N, 1)</f>
        <v>5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2</v>
      </c>
      <c r="AC27" s="2">
        <f>COUNTIFS('OB History S2'!$B:$B,$A$27,'OB History S2'!T:T, 1)</f>
        <v>2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3</v>
      </c>
      <c r="AG27" s="2">
        <f>COUNTIFS('OB History S2'!$B:$B,$A$27,'OB History S2'!X:X, 1)</f>
        <v>10</v>
      </c>
      <c r="AH27" s="2">
        <f>COUNTIFS('OB History S2'!$B:$B,$A$27,'OB History S2'!Y:Y, 1)</f>
        <v>6</v>
      </c>
      <c r="AI27" s="2">
        <f>COUNTIFS('OB History S2'!$B:$B,$A$27,'OB History S2'!Z:Z, 1)</f>
        <v>10</v>
      </c>
    </row>
    <row r="28" spans="1:35" x14ac:dyDescent="0.25">
      <c r="A28" s="2" t="s">
        <v>15</v>
      </c>
      <c r="B28" s="2" t="s">
        <v>79</v>
      </c>
      <c r="C28" s="2" t="s">
        <v>79</v>
      </c>
      <c r="D28" s="3">
        <v>3</v>
      </c>
      <c r="E28" s="2"/>
      <c r="F28" s="2"/>
      <c r="G28" s="2"/>
      <c r="H28" s="34">
        <f>SUMIFS('OB History S2'!C:C,'OB History S2'!B:B,A28)</f>
        <v>314</v>
      </c>
      <c r="I28" s="4">
        <f>AVERAGEIFS('OB History S2'!C:C,'OB History S2'!B:B,A28)</f>
        <v>22.428571428571427</v>
      </c>
      <c r="J28" s="35">
        <f t="array" ref="J28">MAX(IF('OB History S2'!B:B=A28, 'OB History S2'!C:C))</f>
        <v>39</v>
      </c>
      <c r="K28" s="34">
        <f>COUNTIFS('OB History S2'!B:B,A28,'OB History S2'!D:D, 1)</f>
        <v>8</v>
      </c>
      <c r="L28" s="2">
        <f>COUNTIFS('OB History S2'!B:B,A28,'OB History S2'!D:D, 0)</f>
        <v>6</v>
      </c>
      <c r="M28" s="88">
        <f>LOOKUP(2, 1/('OB History S2'!$B:$B=A28), 'OB History S2'!$AD:$AD)</f>
        <v>0.5714285714285714</v>
      </c>
      <c r="N28" s="34">
        <f>SUMIFS('OB History S2'!F:F,'OB History S2'!B:B,A28)</f>
        <v>32</v>
      </c>
      <c r="O28" s="2">
        <f>SUMIFS('OB History S2'!E:E,'OB History S2'!B:B,A28)-N28</f>
        <v>25</v>
      </c>
      <c r="P28" s="88">
        <f>LOOKUP(2, 1/('OB History S2'!$B:$B=A28), 'OB History S2'!$AB:$AB)</f>
        <v>0.58214285714285707</v>
      </c>
      <c r="Q28" s="34">
        <f>SUMIFS('OB History S2'!H:H,'OB History S2'!B:B,A28)</f>
        <v>128</v>
      </c>
      <c r="R28" s="2">
        <f>SUMIFS('OB History S2'!G:G,'OB History S2'!B:B,A28)-Q28</f>
        <v>109</v>
      </c>
      <c r="S28" s="88">
        <f>LOOKUP(2, 1/('OB History S2'!$B:$B=A28), 'OB History S2'!$AC:$AC)</f>
        <v>0.54928571428571427</v>
      </c>
      <c r="T28" s="2">
        <f>COUNTIFS('OB History S2'!$B:$B,$A$28,'OB History S2'!K:K, 1)</f>
        <v>2</v>
      </c>
      <c r="U28" s="2">
        <f>COUNTIFS('OB History S2'!$B:$B,$A$28,'OB History S2'!L:L, 1)</f>
        <v>3</v>
      </c>
      <c r="V28" s="2">
        <f>COUNTIFS('OB History S2'!$B:$B,$A$28,'OB History S2'!M:M, 1)</f>
        <v>0</v>
      </c>
      <c r="W28" s="2">
        <f>COUNTIFS('OB History S2'!$B:$B,$A$28,'OB History S2'!N:N, 1)</f>
        <v>4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1</v>
      </c>
      <c r="AB28" s="2">
        <f>COUNTIFS('OB History S2'!$B:$B,$A$28,'OB History S2'!S:S, 1)</f>
        <v>1</v>
      </c>
      <c r="AC28" s="2">
        <f>COUNTIFS('OB History S2'!$B:$B,$A$28,'OB History S2'!T:T, 1)</f>
        <v>1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1</v>
      </c>
      <c r="AG28" s="2">
        <f>COUNTIFS('OB History S2'!$B:$B,$A$28,'OB History S2'!X:X, 1)</f>
        <v>5</v>
      </c>
      <c r="AH28" s="2">
        <f>COUNTIFS('OB History S2'!$B:$B,$A$28,'OB History S2'!Y:Y, 1)</f>
        <v>3</v>
      </c>
      <c r="AI28" s="2">
        <f>COUNTIFS('OB History S2'!$B:$B,$A$28,'OB History S2'!Z:Z, 1)</f>
        <v>3</v>
      </c>
    </row>
    <row r="29" spans="1:35" x14ac:dyDescent="0.25">
      <c r="A29" s="2" t="s">
        <v>161</v>
      </c>
      <c r="B29" s="2" t="s">
        <v>79</v>
      </c>
      <c r="C29" s="2" t="s">
        <v>79</v>
      </c>
      <c r="D29" s="3"/>
      <c r="E29" s="2"/>
      <c r="F29" s="2"/>
      <c r="G29" s="2"/>
      <c r="H29" s="34">
        <f>SUMIFS('OB History S2'!C:C,'OB History S2'!B:B,A29)</f>
        <v>31</v>
      </c>
      <c r="I29" s="4">
        <f>AVERAGEIFS('OB History S2'!C:C,'OB History S2'!B:B,A29)</f>
        <v>15.5</v>
      </c>
      <c r="J29" s="35">
        <f t="array" ref="J29">MAX(IF('OB History S2'!B:B=A29, 'OB History S2'!C:C))</f>
        <v>16</v>
      </c>
      <c r="K29" s="34">
        <f>COUNTIFS('OB History S2'!B:B,A29,'OB History S2'!D:D, 1)</f>
        <v>0</v>
      </c>
      <c r="L29" s="2">
        <f>COUNTIFS('OB History S2'!B:B,A29,'OB History S2'!D:D, 0)</f>
        <v>2</v>
      </c>
      <c r="M29" s="88">
        <f>LOOKUP(2, 1/('OB History S2'!$B:$B=A29), 'OB History S2'!$AD:$AD)</f>
        <v>0</v>
      </c>
      <c r="N29" s="34">
        <f>SUMIFS('OB History S2'!F:F,'OB History S2'!B:B,A29)</f>
        <v>2</v>
      </c>
      <c r="O29" s="2">
        <f>SUMIFS('OB History S2'!E:E,'OB History S2'!B:B,A29)-N29</f>
        <v>6</v>
      </c>
      <c r="P29" s="88">
        <f>LOOKUP(2, 1/('OB History S2'!$B:$B=A29), 'OB History S2'!$AB:$AB)</f>
        <v>0.25</v>
      </c>
      <c r="Q29" s="34">
        <f>SUMIFS('OB History S2'!H:H,'OB History S2'!B:B,A29)</f>
        <v>16</v>
      </c>
      <c r="R29" s="2">
        <f>SUMIFS('OB History S2'!G:G,'OB History S2'!B:B,A29)-Q29</f>
        <v>22</v>
      </c>
      <c r="S29" s="88">
        <f>LOOKUP(2, 1/('OB History S2'!$B:$B=A29), 'OB History S2'!$AC:$AC)</f>
        <v>0.42</v>
      </c>
      <c r="T29" s="2">
        <f>COUNTIFS('OB History S2'!$B:$B,$A$29,'OB History S2'!K:K, 1)</f>
        <v>0</v>
      </c>
      <c r="U29" s="2">
        <f>COUNTIFS('OB History S2'!$B:$B,$A$29,'OB History S2'!L:L, 1)</f>
        <v>0</v>
      </c>
      <c r="V29" s="2">
        <f>COUNTIFS('OB History S2'!$B:$B,$A$29,'OB History S2'!M:M, 1)</f>
        <v>0</v>
      </c>
      <c r="W29" s="2">
        <f>COUNTIFS('OB History S2'!$B:$B,$A$29,'OB History S2'!N:N, 1)</f>
        <v>0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0</v>
      </c>
      <c r="AH29" s="2">
        <f>COUNTIFS('OB History S2'!$B:$B,$A$29,'OB History S2'!Y:Y, 1)</f>
        <v>1</v>
      </c>
      <c r="AI29" s="2">
        <f>COUNTIFS('OB History S2'!$B:$B,$A$29,'OB History S2'!Z:Z, 1)</f>
        <v>0</v>
      </c>
    </row>
    <row r="30" spans="1:35" x14ac:dyDescent="0.25">
      <c r="A30" s="2" t="s">
        <v>13</v>
      </c>
      <c r="B30" s="6" t="s">
        <v>124</v>
      </c>
      <c r="C30" s="6" t="s">
        <v>60</v>
      </c>
      <c r="D30" s="3">
        <v>6</v>
      </c>
      <c r="E30" s="6">
        <v>1</v>
      </c>
      <c r="F30" s="6">
        <v>1</v>
      </c>
      <c r="G30" s="6"/>
      <c r="H30" s="34">
        <f>SUMIFS('OB History S2'!C:C,'OB History S2'!B:B,A30)</f>
        <v>682</v>
      </c>
      <c r="I30" s="4">
        <f>AVERAGEIFS('OB History S2'!C:C,'OB History S2'!B:B,A30)</f>
        <v>25.25925925925926</v>
      </c>
      <c r="J30" s="35">
        <f t="array" ref="J30">MAX(IF('OB History S2'!B:B=A30, 'OB History S2'!C:C))</f>
        <v>58</v>
      </c>
      <c r="K30" s="34">
        <f>COUNTIFS('OB History S2'!B:B,A30,'OB History S2'!D:D, 1)</f>
        <v>17</v>
      </c>
      <c r="L30" s="2">
        <f>COUNTIFS('OB History S2'!B:B,A30,'OB History S2'!D:D, 0)</f>
        <v>10</v>
      </c>
      <c r="M30" s="88">
        <f>LOOKUP(2, 1/('OB History S2'!$B:$B=A30), 'OB History S2'!$AD:$AD)</f>
        <v>0.62962962962962965</v>
      </c>
      <c r="N30" s="34">
        <f>SUMIFS('OB History S2'!F:F,'OB History S2'!B:B,A30)</f>
        <v>63</v>
      </c>
      <c r="O30" s="2">
        <f>SUMIFS('OB History S2'!E:E,'OB History S2'!B:B,A30)-N30</f>
        <v>44</v>
      </c>
      <c r="P30" s="88">
        <f>LOOKUP(2, 1/('OB History S2'!$B:$B=A30), 'OB History S2'!$AB:$AB)</f>
        <v>0.61111111111111116</v>
      </c>
      <c r="Q30" s="34">
        <f>SUMIFS('OB History S2'!H:H,'OB History S2'!B:B,A30)</f>
        <v>244</v>
      </c>
      <c r="R30" s="2">
        <f>SUMIFS('OB History S2'!G:G,'OB History S2'!B:B,A30)-Q30</f>
        <v>192</v>
      </c>
      <c r="S30" s="88">
        <f>LOOKUP(2, 1/('OB History S2'!$B:$B=A30), 'OB History S2'!$AC:$AC)</f>
        <v>0.56740740740740736</v>
      </c>
      <c r="T30" s="2">
        <f>COUNTIFS('OB History S2'!$B:$B,$A$30,'OB History S2'!K:K, 1)</f>
        <v>4</v>
      </c>
      <c r="U30" s="2">
        <f>COUNTIFS('OB History S2'!$B:$B,$A$30,'OB History S2'!L:L, 1)</f>
        <v>4</v>
      </c>
      <c r="V30" s="2">
        <f>COUNTIFS('OB History S2'!$B:$B,$A$30,'OB History S2'!M:M, 1)</f>
        <v>1</v>
      </c>
      <c r="W30" s="2">
        <f>COUNTIFS('OB History S2'!$B:$B,$A$30,'OB History S2'!N:N, 1)</f>
        <v>6</v>
      </c>
      <c r="X30" s="2">
        <f>COUNTIFS('OB History S2'!$B:$B,$A$30,'OB History S2'!O:O, 1)</f>
        <v>0</v>
      </c>
      <c r="Y30" s="2">
        <f>COUNTIFS('OB History S2'!$B:$B,$A$30,'OB History S2'!P:P, 1)</f>
        <v>6</v>
      </c>
      <c r="Z30" s="2">
        <f>COUNTIFS('OB History S2'!$B:$B,$A$30,'OB History S2'!Q:Q, 1)</f>
        <v>1</v>
      </c>
      <c r="AA30" s="2">
        <f>COUNTIFS('OB History S2'!$B:$B,$A$30,'OB History S2'!R:R, 1)</f>
        <v>3</v>
      </c>
      <c r="AB30" s="2">
        <f>COUNTIFS('OB History S2'!$B:$B,$A$30,'OB History S2'!S:S, 1)</f>
        <v>1</v>
      </c>
      <c r="AC30" s="2">
        <f>COUNTIFS('OB History S2'!$B:$B,$A$30,'OB History S2'!T:T, 1)</f>
        <v>3</v>
      </c>
      <c r="AD30" s="2">
        <f>COUNTIFS('OB History S2'!$B:$B,$A$30,'OB History S2'!U:U, 1)</f>
        <v>1</v>
      </c>
      <c r="AE30" s="2">
        <f>COUNTIFS('OB History S2'!$B:$B,$A$30,'OB History S2'!V:V, 1)</f>
        <v>1</v>
      </c>
      <c r="AF30" s="2">
        <f>COUNTIFS('OB History S2'!$B:$B,$A$30,'OB History S2'!W:W, 1)</f>
        <v>5</v>
      </c>
      <c r="AG30" s="2">
        <f>COUNTIFS('OB History S2'!$B:$B,$A$30,'OB History S2'!X:X, 1)</f>
        <v>7</v>
      </c>
      <c r="AH30" s="2">
        <f>COUNTIFS('OB History S2'!$B:$B,$A$30,'OB History S2'!Y:Y, 1)</f>
        <v>11</v>
      </c>
      <c r="AI30" s="2">
        <f>COUNTIFS('OB History S2'!$B:$B,$A$30,'OB History S2'!Z:Z, 1)</f>
        <v>9</v>
      </c>
    </row>
    <row r="31" spans="1:35" x14ac:dyDescent="0.25">
      <c r="A31" s="2" t="s">
        <v>2</v>
      </c>
      <c r="B31" s="6" t="s">
        <v>60</v>
      </c>
      <c r="C31" s="6" t="s">
        <v>79</v>
      </c>
      <c r="D31" s="3"/>
      <c r="E31" s="6"/>
      <c r="F31" s="6"/>
      <c r="G31" s="6"/>
      <c r="H31" s="34">
        <f>SUMIFS('OB History S2'!C:C,'OB History S2'!B:B,A31)</f>
        <v>84</v>
      </c>
      <c r="I31" s="4">
        <f>AVERAGEIFS('OB History S2'!C:C,'OB History S2'!B:B,A31)</f>
        <v>28</v>
      </c>
      <c r="J31" s="35">
        <f t="array" ref="J31">MAX(IF('OB History S2'!B:B=A31, 'OB History S2'!C:C))</f>
        <v>52</v>
      </c>
      <c r="K31" s="34">
        <f>COUNTIFS('OB History S2'!B:B,A31,'OB History S2'!D:D, 1)</f>
        <v>2</v>
      </c>
      <c r="L31" s="2">
        <f>COUNTIFS('OB History S2'!B:B,A31,'OB History S2'!D:D, 0)</f>
        <v>1</v>
      </c>
      <c r="M31" s="88">
        <f>LOOKUP(2, 1/('OB History S2'!$B:$B=A31), 'OB History S2'!$AD:$AD)</f>
        <v>0.66666666666666663</v>
      </c>
      <c r="N31" s="34">
        <f>SUMIFS('OB History S2'!F:F,'OB History S2'!B:B,A31)</f>
        <v>8</v>
      </c>
      <c r="O31" s="2">
        <f>SUMIFS('OB History S2'!E:E,'OB History S2'!B:B,A31)-N31</f>
        <v>3</v>
      </c>
      <c r="P31" s="88">
        <f>LOOKUP(2, 1/('OB History S2'!$B:$B=A31), 'OB History S2'!$AB:$AB)</f>
        <v>0.79999999999999993</v>
      </c>
      <c r="Q31" s="34">
        <f>SUMIFS('OB History S2'!H:H,'OB History S2'!B:B,A31)</f>
        <v>28</v>
      </c>
      <c r="R31" s="2">
        <f>SUMIFS('OB History S2'!G:G,'OB History S2'!B:B,A31)-Q31</f>
        <v>22</v>
      </c>
      <c r="S31" s="88">
        <f>LOOKUP(2, 1/('OB History S2'!$B:$B=A31), 'OB History S2'!$AC:$AC)</f>
        <v>0.58666666666666656</v>
      </c>
      <c r="T31" s="2">
        <f>COUNTIFS('OB History S2'!$B:$B,$A$31,'OB History S2'!K:K, 1)</f>
        <v>0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2" t="s">
        <v>5</v>
      </c>
      <c r="B32" s="6" t="s">
        <v>124</v>
      </c>
      <c r="C32" s="1" t="s">
        <v>159</v>
      </c>
      <c r="D32" s="3">
        <v>1</v>
      </c>
      <c r="E32" s="6"/>
      <c r="F32" s="6"/>
      <c r="G32" s="6"/>
      <c r="H32" s="34">
        <f>SUMIFS('OB History S2'!C:C,'OB History S2'!B:B,A32)</f>
        <v>192</v>
      </c>
      <c r="I32" s="4">
        <f>AVERAGEIFS('OB History S2'!C:C,'OB History S2'!B:B,A32)</f>
        <v>27.428571428571427</v>
      </c>
      <c r="J32" s="35">
        <f t="array" ref="J32">MAX(IF('OB History S2'!B:B=A32, 'OB History S2'!C:C))</f>
        <v>51</v>
      </c>
      <c r="K32" s="34">
        <f>COUNTIFS('OB History S2'!B:B,A32,'OB History S2'!D:D, 1)</f>
        <v>4</v>
      </c>
      <c r="L32" s="2">
        <f>COUNTIFS('OB History S2'!B:B,A32,'OB History S2'!D:D, 0)</f>
        <v>3</v>
      </c>
      <c r="M32" s="88">
        <f>LOOKUP(2, 1/('OB History S2'!$B:$B=A32), 'OB History S2'!$AD:$AD)</f>
        <v>0.5714285714285714</v>
      </c>
      <c r="N32" s="34">
        <f>SUMIFS('OB History S2'!F:F,'OB History S2'!B:B,A32)</f>
        <v>15</v>
      </c>
      <c r="O32" s="2">
        <f>SUMIFS('OB History S2'!E:E,'OB History S2'!B:B,A32)-N32</f>
        <v>14</v>
      </c>
      <c r="P32" s="88">
        <f>LOOKUP(2, 1/('OB History S2'!$B:$B=A32), 'OB History S2'!$AB:$AB)</f>
        <v>0.51428571428571435</v>
      </c>
      <c r="Q32" s="34">
        <f>SUMIFS('OB History S2'!H:H,'OB History S2'!B:B,A32)</f>
        <v>61</v>
      </c>
      <c r="R32" s="2">
        <f>SUMIFS('OB History S2'!G:G,'OB History S2'!B:B,A32)-Q32</f>
        <v>57</v>
      </c>
      <c r="S32" s="88">
        <f>LOOKUP(2, 1/('OB History S2'!$B:$B=A32), 'OB History S2'!$AC:$AC)</f>
        <v>0.50857142857142856</v>
      </c>
      <c r="T32" s="2">
        <f>COUNTIFS('OB History S2'!$B:$B,$A$32,'OB History S2'!K:K, 1)</f>
        <v>1</v>
      </c>
      <c r="U32" s="2">
        <f>COUNTIFS('OB History S2'!$B:$B,$A$32,'OB History S2'!L:L, 1)</f>
        <v>3</v>
      </c>
      <c r="V32" s="2">
        <f>COUNTIFS('OB History S2'!$B:$B,$A$32,'OB History S2'!M:M, 1)</f>
        <v>1</v>
      </c>
      <c r="W32" s="2">
        <f>COUNTIFS('OB History S2'!$B:$B,$A$32,'OB History S2'!N:N, 1)</f>
        <v>2</v>
      </c>
      <c r="X32" s="2">
        <f>COUNTIFS('OB History S2'!$B:$B,$A$32,'OB History S2'!O:O, 1)</f>
        <v>2</v>
      </c>
      <c r="Y32" s="2">
        <f>COUNTIFS('OB History S2'!$B:$B,$A$32,'OB History S2'!P:P, 1)</f>
        <v>2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38</v>
      </c>
      <c r="B33" s="6" t="s">
        <v>79</v>
      </c>
      <c r="C33" s="6" t="s">
        <v>79</v>
      </c>
      <c r="D33" s="3">
        <v>1</v>
      </c>
      <c r="E33" s="6"/>
      <c r="F33" s="6"/>
      <c r="G33" s="6"/>
      <c r="H33" s="34">
        <f>SUMIFS('OB History S2'!C:C,'OB History S2'!B:B,A33)</f>
        <v>81</v>
      </c>
      <c r="I33" s="4">
        <f>AVERAGEIFS('OB History S2'!C:C,'OB History S2'!B:B,A33)</f>
        <v>11.571428571428571</v>
      </c>
      <c r="J33" s="35">
        <f t="array" ref="J33">MAX(IF('OB History S2'!B:B=A33, 'OB History S2'!C:C))</f>
        <v>28</v>
      </c>
      <c r="K33" s="34">
        <f>COUNTIFS('OB History S2'!B:B,A33,'OB History S2'!D:D, 1)</f>
        <v>4</v>
      </c>
      <c r="L33" s="2">
        <f>COUNTIFS('OB History S2'!B:B,A33,'OB History S2'!D:D, 0)</f>
        <v>3</v>
      </c>
      <c r="M33" s="88">
        <f>LOOKUP(2, 1/('OB History S2'!$B:$B=A33), 'OB History S2'!$AD:$AD)</f>
        <v>0.5714285714285714</v>
      </c>
      <c r="N33" s="34">
        <f>SUMIFS('OB History S2'!F:F,'OB History S2'!B:B,A33)</f>
        <v>15</v>
      </c>
      <c r="O33" s="2">
        <f>SUMIFS('OB History S2'!E:E,'OB History S2'!B:B,A33)-N33</f>
        <v>15</v>
      </c>
      <c r="P33" s="88">
        <f>LOOKUP(2, 1/('OB History S2'!$B:$B=A33), 'OB History S2'!$AB:$AB)</f>
        <v>0.47857142857142859</v>
      </c>
      <c r="Q33" s="34">
        <f>SUMIFS('OB History S2'!H:H,'OB History S2'!B:B,A33)</f>
        <v>61</v>
      </c>
      <c r="R33" s="2">
        <f>SUMIFS('OB History S2'!G:G,'OB History S2'!B:B,A33)-Q33</f>
        <v>62</v>
      </c>
      <c r="S33" s="88">
        <f>LOOKUP(2, 1/('OB History S2'!$B:$B=A33), 'OB History S2'!$AC:$AC)</f>
        <v>0.48571428571428571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2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2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141</v>
      </c>
      <c r="B34" s="2" t="s">
        <v>79</v>
      </c>
      <c r="C34" s="2" t="s">
        <v>79</v>
      </c>
      <c r="D34" s="3">
        <v>1</v>
      </c>
      <c r="E34" s="2"/>
      <c r="F34" s="2"/>
      <c r="G34" s="2"/>
      <c r="H34" s="34">
        <f>SUMIFS('OB History S2'!C:C,'OB History S2'!B:B,A34)</f>
        <v>101</v>
      </c>
      <c r="I34" s="4">
        <f>AVERAGEIFS('OB History S2'!C:C,'OB History S2'!B:B,A34)</f>
        <v>16.833333333333332</v>
      </c>
      <c r="J34" s="35">
        <f t="array" ref="J34">MAX(IF('OB History S2'!B:B=A34, 'OB History S2'!C:C))</f>
        <v>24</v>
      </c>
      <c r="K34" s="34">
        <f>COUNTIFS('OB History S2'!B:B,A34,'OB History S2'!D:D, 1)</f>
        <v>1</v>
      </c>
      <c r="L34" s="2">
        <f>COUNTIFS('OB History S2'!B:B,A34,'OB History S2'!D:D, 0)</f>
        <v>5</v>
      </c>
      <c r="M34" s="88">
        <f>LOOKUP(2, 1/('OB History S2'!$B:$B=A34), 'OB History S2'!$AD:$AD)</f>
        <v>0.16666666666666666</v>
      </c>
      <c r="N34" s="34">
        <f>SUMIFS('OB History S2'!F:F,'OB History S2'!B:B,A34)</f>
        <v>9</v>
      </c>
      <c r="O34" s="2">
        <f>SUMIFS('OB History S2'!E:E,'OB History S2'!B:B,A34)-N34</f>
        <v>15</v>
      </c>
      <c r="P34" s="88">
        <f>LOOKUP(2, 1/('OB History S2'!$B:$B=A34), 'OB History S2'!$AB:$AB)</f>
        <v>0.3833333333333333</v>
      </c>
      <c r="Q34" s="34">
        <f>SUMIFS('OB History S2'!H:H,'OB History S2'!B:B,A34)</f>
        <v>44</v>
      </c>
      <c r="R34" s="2">
        <f>SUMIFS('OB History S2'!G:G,'OB History S2'!B:B,A34)-Q34</f>
        <v>59</v>
      </c>
      <c r="S34" s="88">
        <f>LOOKUP(2, 1/('OB History S2'!$B:$B=A34), 'OB History S2'!$AC:$AC)</f>
        <v>0.43166666666666664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0</v>
      </c>
      <c r="X34" s="2">
        <f>COUNTIFS('OB History S2'!$B:$B,$A$34,'OB History S2'!O:O, 1)</f>
        <v>0</v>
      </c>
      <c r="Y34" s="2">
        <f>COUNTIFS('OB History S2'!$B:$B,$A$34,'OB History S2'!P:P, 1)</f>
        <v>1</v>
      </c>
      <c r="Z34" s="2">
        <f>COUNTIFS('OB History S2'!$B:$B,$A$34,'OB History S2'!Q:Q, 1)</f>
        <v>1</v>
      </c>
      <c r="AA34" s="2">
        <f>COUNTIFS('OB History S2'!$B:$B,$A$34,'OB History S2'!R:R, 1)</f>
        <v>0</v>
      </c>
      <c r="AB34" s="2">
        <f>COUNTIFS('OB History S2'!$B:$B,$A$34,'OB History S2'!S:S, 1)</f>
        <v>0</v>
      </c>
      <c r="AC34" s="2">
        <f>COUNTIFS('OB History S2'!$B:$B,$A$34,'OB History S2'!T:T, 1)</f>
        <v>1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1</v>
      </c>
      <c r="AH34" s="2">
        <f>COUNTIFS('OB History S2'!$B:$B,$A$34,'OB History S2'!Y:Y, 1)</f>
        <v>1</v>
      </c>
      <c r="AI34" s="2">
        <f>COUNTIFS('OB History S2'!$B:$B,$A$34,'OB History S2'!Z:Z, 1)</f>
        <v>1</v>
      </c>
    </row>
    <row r="35" spans="1:35" x14ac:dyDescent="0.25">
      <c r="A35" s="2" t="s">
        <v>40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205</v>
      </c>
      <c r="I35" s="4">
        <f>AVERAGEIFS('OB History S2'!C:C,'OB History S2'!B:B,A35)</f>
        <v>18.636363636363637</v>
      </c>
      <c r="J35" s="35">
        <f t="array" ref="J35">MAX(IF('OB History S2'!B:B=A35, 'OB History S2'!C:C))</f>
        <v>28</v>
      </c>
      <c r="K35" s="34">
        <f>COUNTIFS('OB History S2'!B:B,A35,'OB History S2'!D:D, 1)</f>
        <v>5</v>
      </c>
      <c r="L35" s="2">
        <f>COUNTIFS('OB History S2'!B:B,A35,'OB History S2'!D:D, 0)</f>
        <v>6</v>
      </c>
      <c r="M35" s="88">
        <f>LOOKUP(2, 1/('OB History S2'!$B:$B=A35), 'OB History S2'!$AD:$AD)</f>
        <v>0.45454545454545453</v>
      </c>
      <c r="N35" s="34">
        <f>SUMIFS('OB History S2'!F:F,'OB History S2'!B:B,A35)</f>
        <v>24</v>
      </c>
      <c r="O35" s="2">
        <f>SUMIFS('OB History S2'!E:E,'OB History S2'!B:B,A35)-N35</f>
        <v>23</v>
      </c>
      <c r="P35" s="88">
        <f>LOOKUP(2, 1/('OB History S2'!$B:$B=A35), 'OB History S2'!$AB:$AB)</f>
        <v>0.52727272727272723</v>
      </c>
      <c r="Q35" s="34">
        <f>SUMIFS('OB History S2'!H:H,'OB History S2'!B:B,A35)</f>
        <v>94</v>
      </c>
      <c r="R35" s="2">
        <f>SUMIFS('OB History S2'!G:G,'OB History S2'!B:B,A35)-Q35</f>
        <v>97</v>
      </c>
      <c r="S35" s="88">
        <f>LOOKUP(2, 1/('OB History S2'!$B:$B=A35), 'OB History S2'!$AC:$AC)</f>
        <v>0.49272727272727274</v>
      </c>
      <c r="T35" s="2">
        <f>COUNTIFS('OB History S2'!$B:$B,$A$35,'OB History S2'!K:K, 1)</f>
        <v>2</v>
      </c>
      <c r="U35" s="2">
        <f>COUNTIFS('OB History S2'!$B:$B,$A$35,'OB History S2'!L:L, 1)</f>
        <v>2</v>
      </c>
      <c r="V35" s="2">
        <f>COUNTIFS('OB History S2'!$B:$B,$A$35,'OB History S2'!M:M, 1)</f>
        <v>2</v>
      </c>
      <c r="W35" s="2">
        <f>COUNTIFS('OB History S2'!$B:$B,$A$35,'OB History S2'!N:N, 1)</f>
        <v>1</v>
      </c>
      <c r="X35" s="2">
        <f>COUNTIFS('OB History S2'!$B:$B,$A$35,'OB History S2'!O:O, 1)</f>
        <v>1</v>
      </c>
      <c r="Y35" s="2">
        <f>COUNTIFS('OB History S2'!$B:$B,$A$35,'OB History S2'!P:P, 1)</f>
        <v>2</v>
      </c>
      <c r="Z35" s="2">
        <f>COUNTIFS('OB History S2'!$B:$B,$A$35,'OB History S2'!Q:Q, 1)</f>
        <v>2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4</v>
      </c>
      <c r="AH35" s="2">
        <f>COUNTIFS('OB History S2'!$B:$B,$A$35,'OB History S2'!Y:Y, 1)</f>
        <v>3</v>
      </c>
      <c r="AI35" s="2">
        <f>COUNTIFS('OB History S2'!$B:$B,$A$35,'OB History S2'!Z:Z, 1)</f>
        <v>3</v>
      </c>
    </row>
    <row r="36" spans="1:35" x14ac:dyDescent="0.25">
      <c r="A36" s="2" t="s">
        <v>147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110</v>
      </c>
      <c r="I36" s="4">
        <f>AVERAGEIFS('OB History S2'!C:C,'OB History S2'!B:B,A36)</f>
        <v>15.714285714285714</v>
      </c>
      <c r="J36" s="35">
        <f t="array" ref="J36">MAX(IF('OB History S2'!B:B=A36, 'OB History S2'!C:C))</f>
        <v>34</v>
      </c>
      <c r="K36" s="34">
        <f>COUNTIFS('OB History S2'!B:B,A36,'OB History S2'!D:D, 1)</f>
        <v>2</v>
      </c>
      <c r="L36" s="2">
        <f>COUNTIFS('OB History S2'!B:B,A36,'OB History S2'!D:D, 0)</f>
        <v>5</v>
      </c>
      <c r="M36" s="88">
        <f>LOOKUP(2, 1/('OB History S2'!$B:$B=A36), 'OB History S2'!$AD:$AD)</f>
        <v>0.2857142857142857</v>
      </c>
      <c r="N36" s="34">
        <f>SUMIFS('OB History S2'!F:F,'OB History S2'!B:B,A36)</f>
        <v>8</v>
      </c>
      <c r="O36" s="2">
        <f>SUMIFS('OB History S2'!E:E,'OB History S2'!B:B,A36)-N36</f>
        <v>16</v>
      </c>
      <c r="P36" s="88">
        <f>LOOKUP(2, 1/('OB History S2'!$B:$B=A36), 'OB History S2'!$AB:$AB)</f>
        <v>0.30714285714285711</v>
      </c>
      <c r="Q36" s="34">
        <f>SUMIFS('OB History S2'!H:H,'OB History S2'!B:B,A36)</f>
        <v>43</v>
      </c>
      <c r="R36" s="2">
        <f>SUMIFS('OB History S2'!G:G,'OB History S2'!B:B,A36)-Q36</f>
        <v>57</v>
      </c>
      <c r="S36" s="88">
        <f>LOOKUP(2, 1/('OB History S2'!$B:$B=A36), 'OB History S2'!$AC:$AC)</f>
        <v>0.41714285714285715</v>
      </c>
      <c r="T36" s="2">
        <f>COUNTIFS('OB History S2'!$B:$B,$A$36,'OB History S2'!K:K, 1)</f>
        <v>1</v>
      </c>
      <c r="U36" s="2">
        <f>COUNTIFS('OB History S2'!$B:$B,$A$36,'OB History S2'!L:L, 1)</f>
        <v>1</v>
      </c>
      <c r="V36" s="2">
        <f>COUNTIFS('OB History S2'!$B:$B,$A$36,'OB History S2'!M:M, 1)</f>
        <v>1</v>
      </c>
      <c r="W36" s="2">
        <f>COUNTIFS('OB History S2'!$B:$B,$A$36,'OB History S2'!N:N, 1)</f>
        <v>1</v>
      </c>
      <c r="X36" s="2">
        <f>COUNTIFS('OB History S2'!$B:$B,$A$36,'OB History S2'!O:O, 1)</f>
        <v>0</v>
      </c>
      <c r="Y36" s="2">
        <f>COUNTIFS('OB History S2'!$B:$B,$A$36,'OB History S2'!P:P, 1)</f>
        <v>1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1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1</v>
      </c>
    </row>
    <row r="37" spans="1:35" x14ac:dyDescent="0.25">
      <c r="A37" s="2" t="s">
        <v>17</v>
      </c>
      <c r="B37" s="2" t="s">
        <v>79</v>
      </c>
      <c r="C37" s="2" t="s">
        <v>79</v>
      </c>
      <c r="D37" s="3">
        <v>11</v>
      </c>
      <c r="E37" s="2">
        <v>3</v>
      </c>
      <c r="F37" s="2"/>
      <c r="G37" s="2"/>
      <c r="H37" s="34">
        <f>SUMIFS('OB History S2'!C:C,'OB History S2'!B:B,A37)</f>
        <v>512</v>
      </c>
      <c r="I37" s="4">
        <f>AVERAGEIFS('OB History S2'!C:C,'OB History S2'!B:B,A37)</f>
        <v>23.272727272727273</v>
      </c>
      <c r="J37" s="35">
        <f t="array" ref="J37">MAX(IF('OB History S2'!B:B=A37, 'OB History S2'!C:C))</f>
        <v>58</v>
      </c>
      <c r="K37" s="34">
        <f>COUNTIFS('OB History S2'!B:B,A37,'OB History S2'!D:D, 1)</f>
        <v>11</v>
      </c>
      <c r="L37" s="2">
        <f>COUNTIFS('OB History S2'!B:B,A37,'OB History S2'!D:D, 0)</f>
        <v>11</v>
      </c>
      <c r="M37" s="88">
        <f>LOOKUP(2, 1/('OB History S2'!$B:$B=A37), 'OB History S2'!$AD:$AD)</f>
        <v>0.5</v>
      </c>
      <c r="N37" s="34">
        <f>SUMIFS('OB History S2'!F:F,'OB History S2'!B:B,A37)</f>
        <v>41</v>
      </c>
      <c r="O37" s="2">
        <f>SUMIFS('OB History S2'!E:E,'OB History S2'!B:B,A37)-N37</f>
        <v>46</v>
      </c>
      <c r="P37" s="88">
        <f>LOOKUP(2, 1/('OB History S2'!$B:$B=A37), 'OB History S2'!$AB:$AB)</f>
        <v>0.46136363636363636</v>
      </c>
      <c r="Q37" s="34">
        <f>SUMIFS('OB History S2'!H:H,'OB History S2'!B:B,A37)</f>
        <v>176</v>
      </c>
      <c r="R37" s="2">
        <f>SUMIFS('OB History S2'!G:G,'OB History S2'!B:B,A37)-Q37</f>
        <v>181</v>
      </c>
      <c r="S37" s="88">
        <f>LOOKUP(2, 1/('OB History S2'!$B:$B=A37), 'OB History S2'!$AC:$AC)</f>
        <v>0.49136363636363622</v>
      </c>
      <c r="T37" s="2">
        <f>COUNTIFS('OB History S2'!$B:$B,$A$37,'OB History S2'!K:K, 1)</f>
        <v>1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0</v>
      </c>
      <c r="Z37" s="2">
        <f>COUNTIFS('OB History S2'!$B:$B,$A$37,'OB History S2'!Q:Q, 1)</f>
        <v>3</v>
      </c>
      <c r="AA37" s="2">
        <f>COUNTIFS('OB History S2'!$B:$B,$A$37,'OB History S2'!R:R, 1)</f>
        <v>4</v>
      </c>
      <c r="AB37" s="2">
        <f>COUNTIFS('OB History S2'!$B:$B,$A$37,'OB History S2'!S:S, 1)</f>
        <v>0</v>
      </c>
      <c r="AC37" s="2">
        <f>COUNTIFS('OB History S2'!$B:$B,$A$37,'OB History S2'!T:T, 1)</f>
        <v>2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11</v>
      </c>
      <c r="AH37" s="2">
        <f>COUNTIFS('OB History S2'!$B:$B,$A$37,'OB History S2'!Y:Y, 1)</f>
        <v>3</v>
      </c>
      <c r="AI37" s="2">
        <f>COUNTIFS('OB History S2'!$B:$B,$A$37,'OB History S2'!Z:Z, 1)</f>
        <v>7</v>
      </c>
    </row>
    <row r="38" spans="1:35" x14ac:dyDescent="0.25">
      <c r="A38" s="2" t="s">
        <v>167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29</v>
      </c>
      <c r="I38" s="4">
        <f>AVERAGEIFS('OB History S2'!C:C,'OB History S2'!B:B,A38)</f>
        <v>14.5</v>
      </c>
      <c r="J38" s="35">
        <f t="array" ref="J38">MAX(IF('OB History S2'!B:B=A38, 'OB History S2'!C:C))</f>
        <v>18</v>
      </c>
      <c r="K38" s="34">
        <f>COUNTIFS('OB History S2'!B:B,A38,'OB History S2'!D:D, 1)</f>
        <v>0</v>
      </c>
      <c r="L38" s="2">
        <f>COUNTIFS('OB History S2'!B:B,A38,'OB History S2'!D:D, 0)</f>
        <v>2</v>
      </c>
      <c r="M38" s="88">
        <f>LOOKUP(2, 1/('OB History S2'!$B:$B=A38), 'OB History S2'!$AD:$AD)</f>
        <v>0</v>
      </c>
      <c r="N38" s="34">
        <f>SUMIFS('OB History S2'!F:F,'OB History S2'!B:B,A38)</f>
        <v>0</v>
      </c>
      <c r="O38" s="2">
        <f>SUMIFS('OB History S2'!E:E,'OB History S2'!B:B,A38)-N38</f>
        <v>6</v>
      </c>
      <c r="P38" s="88">
        <f>LOOKUP(2, 1/('OB History S2'!$B:$B=A38), 'OB History S2'!$AB:$AB)</f>
        <v>0</v>
      </c>
      <c r="Q38" s="34">
        <f>SUMIFS('OB History S2'!H:H,'OB History S2'!B:B,A38)</f>
        <v>7</v>
      </c>
      <c r="R38" s="2">
        <f>SUMIFS('OB History S2'!G:G,'OB History S2'!B:B,A38)-Q38</f>
        <v>18</v>
      </c>
      <c r="S38" s="88">
        <f>LOOKUP(2, 1/('OB History S2'!$B:$B=A38), 'OB History S2'!$AC:$AC)</f>
        <v>0.28000000000000003</v>
      </c>
      <c r="T38" s="2">
        <f>COUNTIFS('OB History S2'!$B:$B,$A$38,'OB History S2'!K:K, 1)</f>
        <v>0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155</v>
      </c>
      <c r="B39" s="2" t="s">
        <v>60</v>
      </c>
      <c r="C39" s="2" t="s">
        <v>79</v>
      </c>
      <c r="D39" s="3">
        <v>6</v>
      </c>
      <c r="E39" s="3">
        <v>1</v>
      </c>
      <c r="F39" s="3"/>
      <c r="G39" s="3"/>
      <c r="H39" s="34">
        <f>SUMIFS('OB History S2'!C:C,'OB History S2'!B:B,A39)</f>
        <v>373</v>
      </c>
      <c r="I39" s="4">
        <f>AVERAGEIFS('OB History S2'!C:C,'OB History S2'!B:B,A39)</f>
        <v>17.761904761904763</v>
      </c>
      <c r="J39" s="35">
        <f t="array" ref="J39">MAX(IF('OB History S2'!B:B=A39, 'OB History S2'!C:C))</f>
        <v>43</v>
      </c>
      <c r="K39" s="34">
        <f>COUNTIFS('OB History S2'!B:B,A39,'OB History S2'!D:D, 1)</f>
        <v>6</v>
      </c>
      <c r="L39" s="2">
        <f>COUNTIFS('OB History S2'!B:B,A39,'OB History S2'!D:D, 0)</f>
        <v>15</v>
      </c>
      <c r="M39" s="88">
        <f>LOOKUP(2, 1/('OB History S2'!$B:$B=A39), 'OB History S2'!$AD:$AD)</f>
        <v>0.2857142857142857</v>
      </c>
      <c r="N39" s="34">
        <f>SUMIFS('OB History S2'!F:F,'OB History S2'!B:B,A39)</f>
        <v>34</v>
      </c>
      <c r="O39" s="2">
        <f>SUMIFS('OB History S2'!E:E,'OB History S2'!B:B,A39)-N39</f>
        <v>55</v>
      </c>
      <c r="P39" s="88">
        <f>LOOKUP(2, 1/('OB History S2'!$B:$B=A39), 'OB History S2'!$AB:$AB)</f>
        <v>0.3619047619047619</v>
      </c>
      <c r="Q39" s="34">
        <f>SUMIFS('OB History S2'!H:H,'OB History S2'!B:B,A39)</f>
        <v>165</v>
      </c>
      <c r="R39" s="2">
        <f>SUMIFS('OB History S2'!G:G,'OB History S2'!B:B,A39)-Q39</f>
        <v>196</v>
      </c>
      <c r="S39" s="88">
        <f>LOOKUP(2, 1/('OB History S2'!$B:$B=A39), 'OB History S2'!$AC:$AC)</f>
        <v>0.44238095238095243</v>
      </c>
      <c r="T39" s="2">
        <f>COUNTIFS('OB History S2'!$B:$B,$A$39,'OB History S2'!K:K, 1)</f>
        <v>2</v>
      </c>
      <c r="U39" s="2">
        <f>COUNTIFS('OB History S2'!$B:$B,$A$39,'OB History S2'!L:L, 1)</f>
        <v>1</v>
      </c>
      <c r="V39" s="2">
        <f>COUNTIFS('OB History S2'!$B:$B,$A$39,'OB History S2'!M:M, 1)</f>
        <v>2</v>
      </c>
      <c r="W39" s="2">
        <f>COUNTIFS('OB History S2'!$B:$B,$A$39,'OB History S2'!N:N, 1)</f>
        <v>5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3</v>
      </c>
      <c r="AD39" s="2">
        <f>COUNTIFS('OB History S2'!$B:$B,$A$39,'OB History S2'!U:U, 1)</f>
        <v>0</v>
      </c>
      <c r="AE39" s="2">
        <f>COUNTIFS('OB History S2'!$B:$B,$A$39,'OB History S2'!V:V, 1)</f>
        <v>1</v>
      </c>
      <c r="AF39" s="2">
        <f>COUNTIFS('OB History S2'!$B:$B,$A$39,'OB History S2'!W:W, 1)</f>
        <v>2</v>
      </c>
      <c r="AG39" s="2">
        <f>COUNTIFS('OB History S2'!$B:$B,$A$39,'OB History S2'!X:X, 1)</f>
        <v>4</v>
      </c>
      <c r="AH39" s="2">
        <f>COUNTIFS('OB History S2'!$B:$B,$A$39,'OB History S2'!Y:Y, 1)</f>
        <v>4</v>
      </c>
      <c r="AI39" s="2">
        <f>COUNTIFS('OB History S2'!$B:$B,$A$39,'OB History S2'!Z:Z, 1)</f>
        <v>3</v>
      </c>
    </row>
    <row r="40" spans="1:35" x14ac:dyDescent="0.25">
      <c r="A40" s="2" t="s">
        <v>6</v>
      </c>
      <c r="B40" s="2" t="s">
        <v>60</v>
      </c>
      <c r="C40" s="2" t="s">
        <v>79</v>
      </c>
      <c r="D40" s="3"/>
      <c r="E40" s="2"/>
      <c r="F40" s="2"/>
      <c r="G40" s="2"/>
      <c r="H40" s="34">
        <f>SUMIFS('OB History S2'!C:C,'OB History S2'!B:B,A40)</f>
        <v>231</v>
      </c>
      <c r="I40" s="4">
        <f>AVERAGEIFS('OB History S2'!C:C,'OB History S2'!B:B,A40)</f>
        <v>23.1</v>
      </c>
      <c r="J40" s="35">
        <f t="array" ref="J40">MAX(IF('OB History S2'!B:B=A40, 'OB History S2'!C:C))</f>
        <v>51</v>
      </c>
      <c r="K40" s="34">
        <f>COUNTIFS('OB History S2'!B:B,A40,'OB History S2'!D:D, 1)</f>
        <v>6</v>
      </c>
      <c r="L40" s="2">
        <f>COUNTIFS('OB History S2'!B:B,A40,'OB History S2'!D:D, 0)</f>
        <v>4</v>
      </c>
      <c r="M40" s="88">
        <f>LOOKUP(2, 1/('OB History S2'!$B:$B=A40), 'OB History S2'!$AD:$AD)</f>
        <v>0.6</v>
      </c>
      <c r="N40" s="34">
        <f>SUMIFS('OB History S2'!F:F,'OB History S2'!B:B,A40)</f>
        <v>24</v>
      </c>
      <c r="O40" s="2">
        <f>SUMIFS('OB History S2'!E:E,'OB History S2'!B:B,A40)-N40</f>
        <v>15</v>
      </c>
      <c r="P40" s="88">
        <f>LOOKUP(2, 1/('OB History S2'!$B:$B=A40), 'OB History S2'!$AB:$AB)</f>
        <v>0.65500000000000003</v>
      </c>
      <c r="Q40" s="34">
        <f>SUMIFS('OB History S2'!H:H,'OB History S2'!B:B,A40)</f>
        <v>94</v>
      </c>
      <c r="R40" s="2">
        <f>SUMIFS('OB History S2'!G:G,'OB History S2'!B:B,A40)-Q40</f>
        <v>71</v>
      </c>
      <c r="S40" s="88">
        <f>LOOKUP(2, 1/('OB History S2'!$B:$B=A40), 'OB History S2'!$AC:$AC)</f>
        <v>0.58499999999999996</v>
      </c>
      <c r="T40" s="2">
        <f>COUNTIFS('OB History S2'!$B:$B,$A$40,'OB History S2'!K:K, 1)</f>
        <v>1</v>
      </c>
      <c r="U40" s="2">
        <f>COUNTIFS('OB History S2'!$B:$B,$A$40,'OB History S2'!L:L, 1)</f>
        <v>1</v>
      </c>
      <c r="V40" s="2">
        <f>COUNTIFS('OB History S2'!$B:$B,$A$40,'OB History S2'!M:M, 1)</f>
        <v>4</v>
      </c>
      <c r="W40" s="2">
        <f>COUNTIFS('OB History S2'!$B:$B,$A$40,'OB History S2'!N:N, 1)</f>
        <v>2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2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1</v>
      </c>
      <c r="AH40" s="2">
        <f>COUNTIFS('OB History S2'!$B:$B,$A$40,'OB History S2'!Y:Y, 1)</f>
        <v>4</v>
      </c>
      <c r="AI40" s="2">
        <f>COUNTIFS('OB History S2'!$B:$B,$A$40,'OB History S2'!Z:Z, 1)</f>
        <v>3</v>
      </c>
    </row>
    <row r="41" spans="1:35" x14ac:dyDescent="0.25">
      <c r="A41" s="2" t="s">
        <v>18</v>
      </c>
      <c r="B41" s="2" t="s">
        <v>60</v>
      </c>
      <c r="C41" s="2" t="s">
        <v>79</v>
      </c>
      <c r="D41" s="3">
        <v>4</v>
      </c>
      <c r="E41" s="2">
        <v>4</v>
      </c>
      <c r="F41" s="2"/>
      <c r="G41" s="2">
        <v>1</v>
      </c>
      <c r="H41" s="34">
        <f>SUMIFS('OB History S2'!C:C,'OB History S2'!B:B,A41)</f>
        <v>379</v>
      </c>
      <c r="I41" s="4">
        <f>AVERAGEIFS('OB History S2'!C:C,'OB History S2'!B:B,A41)</f>
        <v>27.071428571428573</v>
      </c>
      <c r="J41" s="35">
        <f t="array" ref="J41">MAX(IF('OB History S2'!B:B=A41, 'OB History S2'!C:C))</f>
        <v>55</v>
      </c>
      <c r="K41" s="34">
        <f>COUNTIFS('OB History S2'!B:B,A41,'OB History S2'!D:D, 1)</f>
        <v>8</v>
      </c>
      <c r="L41" s="2">
        <f>COUNTIFS('OB History S2'!B:B,A41,'OB History S2'!D:D, 0)</f>
        <v>6</v>
      </c>
      <c r="M41" s="88">
        <f>LOOKUP(2, 1/('OB History S2'!$B:$B=A41), 'OB History S2'!$AD:$AD)</f>
        <v>0.5714285714285714</v>
      </c>
      <c r="N41" s="34">
        <f>SUMIFS('OB History S2'!F:F,'OB History S2'!B:B,A41)</f>
        <v>29</v>
      </c>
      <c r="O41" s="2">
        <f>SUMIFS('OB History S2'!E:E,'OB History S2'!B:B,A41)-N41</f>
        <v>27</v>
      </c>
      <c r="P41" s="88">
        <f>LOOKUP(2, 1/('OB History S2'!$B:$B=A41), 'OB History S2'!$AB:$AB)</f>
        <v>0.50714285714285712</v>
      </c>
      <c r="Q41" s="34">
        <f>SUMIFS('OB History S2'!H:H,'OB History S2'!B:B,A41)</f>
        <v>117</v>
      </c>
      <c r="R41" s="2">
        <f>SUMIFS('OB History S2'!G:G,'OB History S2'!B:B,A41)-Q41</f>
        <v>114</v>
      </c>
      <c r="S41" s="88">
        <f>LOOKUP(2, 1/('OB History S2'!$B:$B=A41), 'OB History S2'!$AC:$AC)</f>
        <v>0.51</v>
      </c>
      <c r="T41" s="2">
        <f>COUNTIFS('OB History S2'!$B:$B,$A$41,'OB History S2'!K:K, 1)</f>
        <v>1</v>
      </c>
      <c r="U41" s="2">
        <f>COUNTIFS('OB History S2'!$B:$B,$A$41,'OB History S2'!L:L, 1)</f>
        <v>3</v>
      </c>
      <c r="V41" s="2">
        <f>COUNTIFS('OB History S2'!$B:$B,$A$41,'OB History S2'!M:M, 1)</f>
        <v>1</v>
      </c>
      <c r="W41" s="2">
        <f>COUNTIFS('OB History S2'!$B:$B,$A$41,'OB History S2'!N:N, 1)</f>
        <v>4</v>
      </c>
      <c r="X41" s="2">
        <f>COUNTIFS('OB History S2'!$B:$B,$A$41,'OB History S2'!O:O, 1)</f>
        <v>2</v>
      </c>
      <c r="Y41" s="2">
        <f>COUNTIFS('OB History S2'!$B:$B,$A$41,'OB History S2'!P:P, 1)</f>
        <v>3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1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3</v>
      </c>
      <c r="AI41" s="2">
        <f>COUNTIFS('OB History S2'!$B:$B,$A$41,'OB History S2'!Z:Z, 1)</f>
        <v>3</v>
      </c>
    </row>
    <row r="42" spans="1:35" x14ac:dyDescent="0.25">
      <c r="A42" s="2" t="s">
        <v>113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213</v>
      </c>
      <c r="I42" s="4">
        <f>AVERAGEIFS('OB History S2'!C:C,'OB History S2'!B:B,A42)</f>
        <v>19.363636363636363</v>
      </c>
      <c r="J42" s="35">
        <f t="array" ref="J42">MAX(IF('OB History S2'!B:B=A42, 'OB History S2'!C:C))</f>
        <v>49</v>
      </c>
      <c r="K42" s="34">
        <f>COUNTIFS('OB History S2'!B:B,A42,'OB History S2'!D:D, 1)</f>
        <v>8</v>
      </c>
      <c r="L42" s="2">
        <f>COUNTIFS('OB History S2'!B:B,A42,'OB History S2'!D:D, 0)</f>
        <v>3</v>
      </c>
      <c r="M42" s="88">
        <f>LOOKUP(2, 1/('OB History S2'!$B:$B=A42), 'OB History S2'!$AD:$AD)</f>
        <v>0.72727272727272729</v>
      </c>
      <c r="N42" s="34">
        <f>SUMIFS('OB History S2'!F:F,'OB History S2'!B:B,A42)</f>
        <v>26</v>
      </c>
      <c r="O42" s="2">
        <f>SUMIFS('OB History S2'!E:E,'OB History S2'!B:B,A42)-N42</f>
        <v>14</v>
      </c>
      <c r="P42" s="88">
        <f>LOOKUP(2, 1/('OB History S2'!$B:$B=A42), 'OB History S2'!$AB:$AB)</f>
        <v>0.65909090909090906</v>
      </c>
      <c r="Q42" s="34">
        <f>SUMIFS('OB History S2'!H:H,'OB History S2'!B:B,A42)</f>
        <v>93</v>
      </c>
      <c r="R42" s="2">
        <f>SUMIFS('OB History S2'!G:G,'OB History S2'!B:B,A42)-Q42</f>
        <v>74</v>
      </c>
      <c r="S42" s="88">
        <f>LOOKUP(2, 1/('OB History S2'!$B:$B=A42), 'OB History S2'!$AC:$AC)</f>
        <v>0.55363636363636359</v>
      </c>
      <c r="T42" s="2">
        <f>COUNTIFS('OB History S2'!$B:$B,$A$42,'OB History S2'!K:K, 1)</f>
        <v>0</v>
      </c>
      <c r="U42" s="2">
        <f>COUNTIFS('OB History S2'!$B:$B,$A$42,'OB History S2'!L:L, 1)</f>
        <v>5</v>
      </c>
      <c r="V42" s="2">
        <f>COUNTIFS('OB History S2'!$B:$B,$A$42,'OB History S2'!M:M, 1)</f>
        <v>1</v>
      </c>
      <c r="W42" s="2">
        <f>COUNTIFS('OB History S2'!$B:$B,$A$42,'OB History S2'!N:N, 1)</f>
        <v>2</v>
      </c>
      <c r="X42" s="2">
        <f>COUNTIFS('OB History S2'!$B:$B,$A$42,'OB History S2'!O:O, 1)</f>
        <v>0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2</v>
      </c>
      <c r="AG42" s="2">
        <f>COUNTIFS('OB History S2'!$B:$B,$A$42,'OB History S2'!X:X, 1)</f>
        <v>4</v>
      </c>
      <c r="AH42" s="2">
        <f>COUNTIFS('OB History S2'!$B:$B,$A$42,'OB History S2'!Y:Y, 1)</f>
        <v>3</v>
      </c>
      <c r="AI42" s="2">
        <f>COUNTIFS('OB History S2'!$B:$B,$A$42,'OB History S2'!Z:Z, 1)</f>
        <v>4</v>
      </c>
    </row>
    <row r="43" spans="1:35" x14ac:dyDescent="0.25">
      <c r="A43" s="2" t="s">
        <v>170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2</v>
      </c>
      <c r="I43" s="4">
        <f>AVERAGEIFS('OB History S2'!C:C,'OB History S2'!B:B,A43)</f>
        <v>2</v>
      </c>
      <c r="J43" s="35">
        <f t="array" ref="J43">MAX(IF('OB History S2'!B:B=A43, 'OB History S2'!C:C))</f>
        <v>2</v>
      </c>
      <c r="K43" s="34">
        <f>COUNTIFS('OB History S2'!B:B,A43,'OB History S2'!D:D, 1)</f>
        <v>0</v>
      </c>
      <c r="L43" s="2">
        <f>COUNTIFS('OB History S2'!B:B,A43,'OB History S2'!D:D, 0)</f>
        <v>1</v>
      </c>
      <c r="M43" s="88">
        <f>LOOKUP(2, 1/('OB History S2'!$B:$B=A43), 'OB History S2'!$AD:$AD)</f>
        <v>0</v>
      </c>
      <c r="N43" s="34">
        <f>SUMIFS('OB History S2'!F:F,'OB History S2'!B:B,A43)</f>
        <v>2</v>
      </c>
      <c r="O43" s="2">
        <f>SUMIFS('OB History S2'!E:E,'OB History S2'!B:B,A43)-N43</f>
        <v>3</v>
      </c>
      <c r="P43" s="88">
        <f>LOOKUP(2, 1/('OB History S2'!$B:$B=A43), 'OB History S2'!$AB:$AB)</f>
        <v>0.4</v>
      </c>
      <c r="Q43" s="34">
        <f>SUMIFS('OB History S2'!H:H,'OB History S2'!B:B,A43)</f>
        <v>6</v>
      </c>
      <c r="R43" s="2">
        <f>SUMIFS('OB History S2'!G:G,'OB History S2'!B:B,A43)-Q43</f>
        <v>14</v>
      </c>
      <c r="S43" s="88">
        <f>LOOKUP(2, 1/('OB History S2'!$B:$B=A43), 'OB History S2'!$AC:$AC)</f>
        <v>0.3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0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0</v>
      </c>
      <c r="AH43" s="2">
        <f>COUNTIFS('OB History S2'!$B:$B,$A$43,'OB History S2'!Y:Y, 1)</f>
        <v>1</v>
      </c>
      <c r="AI43" s="2">
        <f>COUNTIFS('OB History S2'!$B:$B,$A$43,'OB History S2'!Z:Z, 1)</f>
        <v>0</v>
      </c>
    </row>
    <row r="44" spans="1:35" x14ac:dyDescent="0.25">
      <c r="A44" s="2" t="s">
        <v>14</v>
      </c>
      <c r="B44" s="6" t="s">
        <v>124</v>
      </c>
      <c r="C44" s="6" t="s">
        <v>124</v>
      </c>
      <c r="D44" s="3">
        <v>4</v>
      </c>
      <c r="E44" s="6">
        <v>1</v>
      </c>
      <c r="F44" s="6"/>
      <c r="G44" s="6"/>
      <c r="H44" s="34">
        <f>SUMIFS('OB History S2'!C:C,'OB History S2'!B:B,A44)</f>
        <v>391</v>
      </c>
      <c r="I44" s="4">
        <f>AVERAGEIFS('OB History S2'!C:C,'OB History S2'!B:B,A44)</f>
        <v>23</v>
      </c>
      <c r="J44" s="35">
        <f t="array" ref="J44">MAX(IF('OB History S2'!B:B=A44, 'OB History S2'!C:C))</f>
        <v>51</v>
      </c>
      <c r="K44" s="34">
        <f>COUNTIFS('OB History S2'!B:B,A44,'OB History S2'!D:D, 1)</f>
        <v>4</v>
      </c>
      <c r="L44" s="2">
        <f>COUNTIFS('OB History S2'!B:B,A44,'OB History S2'!D:D, 0)</f>
        <v>13</v>
      </c>
      <c r="M44" s="88">
        <f>LOOKUP(2, 1/('OB History S2'!$B:$B=A44), 'OB History S2'!$AD:$AD)</f>
        <v>0.23529411764705882</v>
      </c>
      <c r="N44" s="34">
        <f>SUMIFS('OB History S2'!F:F,'OB History S2'!B:B,A44)</f>
        <v>24</v>
      </c>
      <c r="O44" s="2">
        <f>SUMIFS('OB History S2'!E:E,'OB History S2'!B:B,A44)-N44</f>
        <v>44</v>
      </c>
      <c r="P44" s="88">
        <f>LOOKUP(2, 1/('OB History S2'!$B:$B=A44), 'OB History S2'!$AB:$AB)</f>
        <v>0.32647058823529412</v>
      </c>
      <c r="Q44" s="34">
        <f>SUMIFS('OB History S2'!H:H,'OB History S2'!B:B,A44)</f>
        <v>117</v>
      </c>
      <c r="R44" s="2">
        <f>SUMIFS('OB History S2'!G:G,'OB History S2'!B:B,A44)-Q44</f>
        <v>162</v>
      </c>
      <c r="S44" s="88">
        <f>LOOKUP(2, 1/('OB History S2'!$B:$B=A44), 'OB History S2'!$AC:$AC)</f>
        <v>0.42117647058823526</v>
      </c>
      <c r="T44" s="2">
        <f>COUNTIFS('OB History S2'!$B:$B,$A$44,'OB History S2'!K:K, 1)</f>
        <v>1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1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7</v>
      </c>
      <c r="AH44" s="2">
        <f>COUNTIFS('OB History S2'!$B:$B,$A$44,'OB History S2'!Y:Y, 1)</f>
        <v>2</v>
      </c>
      <c r="AI44" s="2">
        <f>COUNTIFS('OB History S2'!$B:$B,$A$44,'OB History S2'!Z:Z, 1)</f>
        <v>2</v>
      </c>
    </row>
    <row r="45" spans="1:35" x14ac:dyDescent="0.25">
      <c r="A45" s="2" t="s">
        <v>70</v>
      </c>
      <c r="B45" s="6" t="s">
        <v>79</v>
      </c>
      <c r="C45" s="6" t="s">
        <v>79</v>
      </c>
      <c r="D45" s="3"/>
      <c r="E45" s="6"/>
      <c r="F45" s="6"/>
      <c r="G45" s="6"/>
      <c r="H45" s="34">
        <f>SUMIFS('OB History S2'!C:C,'OB History S2'!B:B,A45)</f>
        <v>53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27</v>
      </c>
      <c r="K45" s="34">
        <f>COUNTIFS('OB History S2'!B:B,A45,'OB History S2'!D:D, 1)</f>
        <v>2</v>
      </c>
      <c r="L45" s="2">
        <f>COUNTIFS('OB History S2'!B:B,A45,'OB History S2'!D:D, 0)</f>
        <v>1</v>
      </c>
      <c r="M45" s="88">
        <f>LOOKUP(2, 1/('OB History S2'!$B:$B=A45), 'OB History S2'!$AD:$AD)</f>
        <v>0.66666666666666663</v>
      </c>
      <c r="N45" s="34">
        <f>SUMIFS('OB History S2'!F:F,'OB History S2'!B:B,A45)</f>
        <v>8</v>
      </c>
      <c r="O45" s="2">
        <f>SUMIFS('OB History S2'!E:E,'OB History S2'!B:B,A45)-N45</f>
        <v>5</v>
      </c>
      <c r="P45" s="88">
        <f>LOOKUP(2, 1/('OB History S2'!$B:$B=A45), 'OB History S2'!$AB:$AB)</f>
        <v>0.66666666666666663</v>
      </c>
      <c r="Q45" s="34">
        <f>SUMIFS('OB History S2'!H:H,'OB History S2'!B:B,A45)</f>
        <v>31</v>
      </c>
      <c r="R45" s="2">
        <f>SUMIFS('OB History S2'!G:G,'OB History S2'!B:B,A45)-Q45</f>
        <v>27</v>
      </c>
      <c r="S45" s="88">
        <f>LOOKUP(2, 1/('OB History S2'!$B:$B=A45), 'OB History S2'!$AC:$AC)</f>
        <v>0.54666666666666663</v>
      </c>
      <c r="T45" s="2">
        <f>COUNTIFS('OB History S2'!$B:$B,$A$45,'OB History S2'!K:K, 1)</f>
        <v>1</v>
      </c>
      <c r="U45" s="2">
        <f>COUNTIFS('OB History S2'!$B:$B,$A$45,'OB History S2'!L:L, 1)</f>
        <v>0</v>
      </c>
      <c r="V45" s="2">
        <f>COUNTIFS('OB History S2'!$B:$B,$A$45,'OB History S2'!M:M, 1)</f>
        <v>0</v>
      </c>
      <c r="W45" s="2">
        <f>COUNTIFS('OB History S2'!$B:$B,$A$45,'OB History S2'!N:N, 1)</f>
        <v>0</v>
      </c>
      <c r="X45" s="2">
        <f>COUNTIFS('OB History S2'!$B:$B,$A$45,'OB History S2'!O:O, 1)</f>
        <v>1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1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3</v>
      </c>
      <c r="AH45" s="2">
        <f>COUNTIFS('OB History S2'!$B:$B,$A$45,'OB History S2'!Y:Y, 1)</f>
        <v>0</v>
      </c>
      <c r="AI45" s="2">
        <f>COUNTIFS('OB History S2'!$B:$B,$A$45,'OB History S2'!Z:Z, 1)</f>
        <v>2</v>
      </c>
    </row>
    <row r="46" spans="1:35" x14ac:dyDescent="0.25">
      <c r="A46" s="2" t="s">
        <v>4</v>
      </c>
      <c r="B46" s="2" t="s">
        <v>79</v>
      </c>
      <c r="C46" s="2" t="s">
        <v>79</v>
      </c>
      <c r="D46" s="3">
        <v>1</v>
      </c>
      <c r="E46" s="2"/>
      <c r="F46" s="2"/>
      <c r="G46" s="2"/>
      <c r="H46" s="34">
        <f>SUMIFS('OB History S2'!C:C,'OB History S2'!B:B,A46)</f>
        <v>201</v>
      </c>
      <c r="I46" s="4">
        <f>AVERAGEIFS('OB History S2'!C:C,'OB History S2'!B:B,A46)</f>
        <v>25.125</v>
      </c>
      <c r="J46" s="35">
        <f t="array" ref="J46">MAX(IF('OB History S2'!B:B=A46, 'OB History S2'!C:C))</f>
        <v>46</v>
      </c>
      <c r="K46" s="34">
        <f>COUNTIFS('OB History S2'!B:B,A46,'OB History S2'!D:D, 1)</f>
        <v>4</v>
      </c>
      <c r="L46" s="2">
        <f>COUNTIFS('OB History S2'!B:B,A46,'OB History S2'!D:D, 0)</f>
        <v>4</v>
      </c>
      <c r="M46" s="88">
        <f>LOOKUP(2, 1/('OB History S2'!$B:$B=A46), 'OB History S2'!$AD:$AD)</f>
        <v>0.5</v>
      </c>
      <c r="N46" s="34">
        <f>SUMIFS('OB History S2'!F:F,'OB History S2'!B:B,A46)</f>
        <v>15</v>
      </c>
      <c r="O46" s="2">
        <f>SUMIFS('OB History S2'!E:E,'OB History S2'!B:B,A46)-N46</f>
        <v>18</v>
      </c>
      <c r="P46" s="88">
        <f>LOOKUP(2, 1/('OB History S2'!$B:$B=A46), 'OB History S2'!$AB:$AB)</f>
        <v>0.43125000000000002</v>
      </c>
      <c r="Q46" s="34">
        <f>SUMIFS('OB History S2'!H:H,'OB History S2'!B:B,A46)</f>
        <v>66</v>
      </c>
      <c r="R46" s="2">
        <f>SUMIFS('OB History S2'!G:G,'OB History S2'!B:B,A46)-Q46</f>
        <v>72</v>
      </c>
      <c r="S46" s="88">
        <f>LOOKUP(2, 1/('OB History S2'!$B:$B=A46), 'OB History S2'!$AC:$AC)</f>
        <v>0.45374999999999999</v>
      </c>
      <c r="T46" s="2">
        <f>COUNTIFS('OB History S2'!$B:$B,$A$46,'OB History S2'!K:K, 1)</f>
        <v>1</v>
      </c>
      <c r="U46" s="2">
        <f>COUNTIFS('OB History S2'!$B:$B,$A$46,'OB History S2'!L:L, 1)</f>
        <v>4</v>
      </c>
      <c r="V46" s="2">
        <f>COUNTIFS('OB History S2'!$B:$B,$A$46,'OB History S2'!M:M, 1)</f>
        <v>1</v>
      </c>
      <c r="W46" s="2">
        <f>COUNTIFS('OB History S2'!$B:$B,$A$46,'OB History S2'!N:N, 1)</f>
        <v>1</v>
      </c>
      <c r="X46" s="2">
        <f>COUNTIFS('OB History S2'!$B:$B,$A$46,'OB History S2'!O:O, 1)</f>
        <v>2</v>
      </c>
      <c r="Y46" s="2">
        <f>COUNTIFS('OB History S2'!$B:$B,$A$46,'OB History S2'!P:P, 1)</f>
        <v>1</v>
      </c>
      <c r="Z46" s="2">
        <f>COUNTIFS('OB History S2'!$B:$B,$A$46,'OB History S2'!Q:Q, 1)</f>
        <v>1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2</v>
      </c>
      <c r="AH46" s="2">
        <f>COUNTIFS('OB History S2'!$B:$B,$A$46,'OB History S2'!Y:Y, 1)</f>
        <v>1</v>
      </c>
      <c r="AI46" s="2">
        <f>COUNTIFS('OB History S2'!$B:$B,$A$46,'OB History S2'!Z:Z, 1)</f>
        <v>1</v>
      </c>
    </row>
    <row r="47" spans="1:35" x14ac:dyDescent="0.25">
      <c r="A47" s="2" t="s">
        <v>55</v>
      </c>
      <c r="B47" s="2" t="s">
        <v>79</v>
      </c>
      <c r="C47" s="2" t="s">
        <v>79</v>
      </c>
      <c r="D47" s="2"/>
      <c r="E47" s="2"/>
      <c r="F47" s="2"/>
      <c r="G47" s="2"/>
      <c r="H47" s="34">
        <f>SUMIFS('OB History S2'!C:C,'OB History S2'!B:B,A47)</f>
        <v>65</v>
      </c>
      <c r="I47" s="4">
        <f>AVERAGEIFS('OB History S2'!C:C,'OB History S2'!B:B,A47)</f>
        <v>10.833333333333334</v>
      </c>
      <c r="J47" s="35">
        <f t="array" ref="J47">MAX(IF('OB History S2'!B:B=A47, 'OB History S2'!C:C))</f>
        <v>20</v>
      </c>
      <c r="K47" s="34">
        <f>COUNTIFS('OB History S2'!B:B,A47,'OB History S2'!D:D, 1)</f>
        <v>4</v>
      </c>
      <c r="L47" s="2">
        <f>COUNTIFS('OB History S2'!B:B,A47,'OB History S2'!D:D, 0)</f>
        <v>2</v>
      </c>
      <c r="M47" s="88">
        <f>LOOKUP(2, 1/('OB History S2'!$B:$B=A47), 'OB History S2'!$AD:$AD)</f>
        <v>0.66666666666666663</v>
      </c>
      <c r="N47" s="34">
        <f>SUMIFS('OB History S2'!F:F,'OB History S2'!B:B,A47)</f>
        <v>15</v>
      </c>
      <c r="O47" s="2">
        <f>SUMIFS('OB History S2'!E:E,'OB History S2'!B:B,A47)-N47</f>
        <v>8</v>
      </c>
      <c r="P47" s="88">
        <f>LOOKUP(2, 1/('OB History S2'!$B:$B=A47), 'OB History S2'!$AB:$AB)</f>
        <v>0.69166666666666676</v>
      </c>
      <c r="Q47" s="34">
        <f>SUMIFS('OB History S2'!H:H,'OB History S2'!B:B,A47)</f>
        <v>57</v>
      </c>
      <c r="R47" s="2">
        <f>SUMIFS('OB History S2'!G:G,'OB History S2'!B:B,A47)-Q47</f>
        <v>38</v>
      </c>
      <c r="S47" s="88">
        <f>LOOKUP(2, 1/('OB History S2'!$B:$B=A47), 'OB History S2'!$AC:$AC)</f>
        <v>0.61666666666666659</v>
      </c>
      <c r="T47" s="2">
        <f>COUNTIFS('OB History S2'!$B:$B,$A$47,'OB History S2'!K:K, 1)</f>
        <v>1</v>
      </c>
      <c r="U47" s="2">
        <f>COUNTIFS('OB History S2'!$B:$B,$A$47,'OB History S2'!L:L, 1)</f>
        <v>1</v>
      </c>
      <c r="V47" s="2">
        <f>COUNTIFS('OB History S2'!$B:$B,$A$47,'OB History S2'!M:M, 1)</f>
        <v>0</v>
      </c>
      <c r="W47" s="2">
        <f>COUNTIFS('OB History S2'!$B:$B,$A$47,'OB History S2'!N:N, 1)</f>
        <v>2</v>
      </c>
      <c r="X47" s="2">
        <f>COUNTIFS('OB History S2'!$B:$B,$A$47,'OB History S2'!O:O, 1)</f>
        <v>0</v>
      </c>
      <c r="Y47" s="2">
        <f>COUNTIFS('OB History S2'!$B:$B,$A$47,'OB History S2'!P:P, 1)</f>
        <v>0</v>
      </c>
      <c r="Z47" s="2">
        <f>COUNTIFS('OB History S2'!$B:$B,$A$47,'OB History S2'!Q:Q, 1)</f>
        <v>1</v>
      </c>
      <c r="AA47" s="2">
        <f>COUNTIFS('OB History S2'!$B:$B,$A$47,'OB History S2'!R:R, 1)</f>
        <v>1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0</v>
      </c>
      <c r="AG47" s="2">
        <f>COUNTIFS('OB History S2'!$B:$B,$A$47,'OB History S2'!X:X, 1)</f>
        <v>4</v>
      </c>
      <c r="AH47" s="2">
        <f>COUNTIFS('OB History S2'!$B:$B,$A$47,'OB History S2'!Y:Y, 1)</f>
        <v>2</v>
      </c>
      <c r="AI47" s="2">
        <f>COUNTIFS('OB History S2'!$B:$B,$A$47,'OB History S2'!Z:Z, 1)</f>
        <v>2</v>
      </c>
    </row>
  </sheetData>
  <autoFilter ref="A1:AI46" xr:uid="{EEC03B8F-669F-4FC0-BA62-50F3D395660C}">
    <sortState xmlns:xlrd2="http://schemas.microsoft.com/office/spreadsheetml/2017/richdata2" ref="A2:AI47">
      <sortCondition ref="A1:A4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6"/>
  <sheetViews>
    <sheetView workbookViewId="0">
      <pane ySplit="1" topLeftCell="A359" activePane="bottomLeft" state="frozen"/>
      <selection pane="bottomLeft" activeCell="AA395" sqref="AA39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180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180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15.75</v>
      </c>
      <c r="AB385" s="86">
        <f>AVERAGEIFS($I$2:I385, $B$2:B385, B385)</f>
        <v>0.38750000000000001</v>
      </c>
      <c r="AC385" s="86">
        <f>AVERAGEIFS($J$2:J385, $B$2:B385, B385)</f>
        <v>0.42749999999999999</v>
      </c>
      <c r="AD385" s="86">
        <f>AVERAGEIFS($D$2:D385, $B$2:B385, B385)</f>
        <v>0.25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180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</sheetData>
  <autoFilter ref="A1:AD47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History'!$AJ:$AJ)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History'!$AH:$AH)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History'!$AI:$AI)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History'!$AJ:$AJ)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History'!$AH:$AH)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History'!$AI:$AI)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844</v>
      </c>
      <c r="G9" s="66">
        <f>AVERAGEIFS('BA History'!C:C,'BA History'!B:B,A9)</f>
        <v>18.347826086956523</v>
      </c>
      <c r="H9" s="35">
        <f t="array" ref="H9">MAX(IF('BA History'!B:B=A9, 'BA History'!C:C))</f>
        <v>40</v>
      </c>
      <c r="I9" s="34">
        <f>COUNTIFS('BA History'!B:B,A9,'BA History'!D:D, 1)</f>
        <v>21</v>
      </c>
      <c r="J9" s="2">
        <f>COUNTIFS('BA History'!B:B,A9,'BA History'!D:D, 0)</f>
        <v>25</v>
      </c>
      <c r="K9" s="75">
        <f>LOOKUP(2, 1/('BA History'!$B:$B=A9), 'BA History'!$AJ:$AJ)</f>
        <v>0.45652173913043476</v>
      </c>
      <c r="L9" s="34">
        <f>SUMIFS('BA History'!F:F,'BA History'!B:B,A9)</f>
        <v>85</v>
      </c>
      <c r="M9" s="2">
        <f>SUMIFS('BA History'!E:E,'BA History'!B:B,A9)-L9</f>
        <v>102</v>
      </c>
      <c r="N9" s="75">
        <f>LOOKUP(2, 1/('BA History'!$B:$B=A9), 'BA History'!$AH:$AH)</f>
        <v>0.44239130434782614</v>
      </c>
      <c r="O9" s="34">
        <f>SUMIFS('BA History'!H:H,'BA History'!B:B,A9)</f>
        <v>355</v>
      </c>
      <c r="P9" s="2">
        <f>SUMIFS('BA History'!G:G,'BA History'!B:B,A9)-O9</f>
        <v>414</v>
      </c>
      <c r="Q9" s="89">
        <f>LOOKUP(2, 1/('BA History'!$B:$B=A9), 'BA History'!$AI:$AI)</f>
        <v>0.45065217391304324</v>
      </c>
      <c r="R9" s="2">
        <f>COUNTIFS('BA History'!$B:$B,$A$9,'BA History'!K:K, 1)</f>
        <v>4</v>
      </c>
      <c r="S9" s="2">
        <f>COUNTIFS('BA History'!$B:$B,$A$9,'BA History'!L:L, 1)</f>
        <v>6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11</v>
      </c>
      <c r="AJ9" s="2">
        <f>COUNTIFS('BA History'!$B:$B,$A$9,'BA History'!AC:AC, 1)</f>
        <v>3</v>
      </c>
      <c r="AK9" s="2">
        <f>COUNTIFS('BA History'!$B:$B,$A$9,'BA History'!AD:AD, 1)</f>
        <v>9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114</v>
      </c>
      <c r="G13" s="66">
        <f>AVERAGEIFS('BA History'!C:C,'BA History'!B:B,A13)</f>
        <v>11.4</v>
      </c>
      <c r="H13" s="35">
        <f t="array" ref="H13">MAX(IF('BA History'!B:B=A13, 'BA History'!C:C))</f>
        <v>20</v>
      </c>
      <c r="I13" s="34">
        <f>COUNTIFS('BA History'!B:B,A13,'BA History'!D:D, 1)</f>
        <v>3</v>
      </c>
      <c r="J13" s="2">
        <f>COUNTIFS('BA History'!B:B,A13,'BA History'!D:D, 0)</f>
        <v>7</v>
      </c>
      <c r="K13" s="75">
        <f>LOOKUP(2, 1/('BA History'!$B:$B=A13), 'BA History'!$AJ:$AJ)</f>
        <v>0.3</v>
      </c>
      <c r="L13" s="34">
        <f>SUMIFS('BA History'!F:F,'BA History'!B:B,A13)</f>
        <v>17</v>
      </c>
      <c r="M13" s="2">
        <f>SUMIFS('BA History'!E:E,'BA History'!B:B,A13)-L13</f>
        <v>25</v>
      </c>
      <c r="N13" s="75">
        <f>LOOKUP(2, 1/('BA History'!$B:$B=A13), 'BA History'!$AH:$AH)</f>
        <v>0.4</v>
      </c>
      <c r="O13" s="34">
        <f>SUMIFS('BA History'!H:H,'BA History'!B:B,A13)</f>
        <v>72</v>
      </c>
      <c r="P13" s="2">
        <f>SUMIFS('BA History'!G:G,'BA History'!B:B,A13)-O13</f>
        <v>102</v>
      </c>
      <c r="Q13" s="89">
        <f>LOOKUP(2, 1/('BA History'!$B:$B=A13), 'BA History'!$AI:$AI)</f>
        <v>0.39800000000000002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1</v>
      </c>
      <c r="AI13" s="2">
        <f>COUNTIFS('BA History'!$B:$B,$A$13,'BA History'!AB:AB, 1)</f>
        <v>4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1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65</v>
      </c>
      <c r="G15" s="66">
        <f>AVERAGEIFS('BA History'!C:C,'BA History'!B:B,A15)</f>
        <v>13</v>
      </c>
      <c r="H15" s="35">
        <f t="array" ref="H15">MAX(IF('BA History'!B:B=A15, 'BA History'!C:C))</f>
        <v>19</v>
      </c>
      <c r="I15" s="34">
        <f>COUNTIFS('BA History'!B:B,A15,'BA History'!D:D, 1)</f>
        <v>2</v>
      </c>
      <c r="J15" s="2">
        <f>COUNTIFS('BA History'!B:B,A15,'BA History'!D:D, 0)</f>
        <v>3</v>
      </c>
      <c r="K15" s="75">
        <f>LOOKUP(2, 1/('BA History'!$B:$B=A15), 'BA History'!$AJ:$AJ)</f>
        <v>0.4</v>
      </c>
      <c r="L15" s="34">
        <f>SUMIFS('BA History'!F:F,'BA History'!B:B,A15)</f>
        <v>11</v>
      </c>
      <c r="M15" s="2">
        <f>SUMIFS('BA History'!E:E,'BA History'!B:B,A15)-L15</f>
        <v>11</v>
      </c>
      <c r="N15" s="75">
        <f>LOOKUP(2, 1/('BA History'!$B:$B=A15), 'BA History'!$AH:$AH)</f>
        <v>0.49000000000000005</v>
      </c>
      <c r="O15" s="34">
        <f>SUMIFS('BA History'!H:H,'BA History'!B:B,A15)</f>
        <v>47</v>
      </c>
      <c r="P15" s="2">
        <f>SUMIFS('BA History'!G:G,'BA History'!B:B,A15)-O15</f>
        <v>46</v>
      </c>
      <c r="Q15" s="89">
        <f>LOOKUP(2, 1/('BA History'!$B:$B=A15), 'BA History'!$AI:$AI)</f>
        <v>0.5</v>
      </c>
      <c r="R15" s="2">
        <f>COUNTIFS('BA History'!$B:$B,$A$15,'BA History'!K:K, 1)</f>
        <v>1</v>
      </c>
      <c r="S15" s="2">
        <f>COUNTIFS('BA History'!$B:$B,$A$15,'BA History'!L:L, 1)</f>
        <v>0</v>
      </c>
      <c r="T15" s="2">
        <f>COUNTIFS('BA History'!$B:$B,$A$15,'BA History'!M:M, 1)</f>
        <v>2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1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2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>
        <v>1</v>
      </c>
      <c r="E18" s="2"/>
      <c r="F18" s="34">
        <f>SUMIFS('BA History'!C:C,'BA History'!B:B,A18)</f>
        <v>751</v>
      </c>
      <c r="G18" s="66">
        <f>AVERAGEIFS('BA History'!C:C,'BA History'!B:B,A18)</f>
        <v>17.88095238095238</v>
      </c>
      <c r="H18" s="35">
        <f t="array" ref="H18">MAX(IF('BA History'!B:B=A18, 'BA History'!C:C))</f>
        <v>31</v>
      </c>
      <c r="I18" s="34">
        <f>COUNTIFS('BA History'!B:B,A18,'BA History'!D:D, 1)</f>
        <v>21</v>
      </c>
      <c r="J18" s="2">
        <f>COUNTIFS('BA History'!B:B,A18,'BA History'!D:D, 0)</f>
        <v>21</v>
      </c>
      <c r="K18" s="75">
        <f>LOOKUP(2, 1/('BA History'!$B:$B=A18), 'BA History'!$AJ:$AJ)</f>
        <v>0.5</v>
      </c>
      <c r="L18" s="34">
        <f>SUMIFS('BA History'!F:F,'BA History'!B:B,A18)</f>
        <v>85</v>
      </c>
      <c r="M18" s="2">
        <f>SUMIFS('BA History'!E:E,'BA History'!B:B,A18)-L18</f>
        <v>85</v>
      </c>
      <c r="N18" s="75">
        <f>LOOKUP(2, 1/('BA History'!$B:$B=A18), 'BA History'!$AH:$AH)</f>
        <v>0.50547619047619052</v>
      </c>
      <c r="O18" s="34">
        <f>SUMIFS('BA History'!H:H,'BA History'!B:B,A18)</f>
        <v>359</v>
      </c>
      <c r="P18" s="2">
        <f>SUMIFS('BA History'!G:G,'BA History'!B:B,A18)-O18</f>
        <v>354</v>
      </c>
      <c r="Q18" s="89">
        <f>LOOKUP(2, 1/('BA History'!$B:$B=A18), 'BA History'!$AI:$AI)</f>
        <v>0.51380952380952372</v>
      </c>
      <c r="R18" s="2">
        <f>COUNTIFS('BA History'!$B:$B,$A$18,'BA History'!K:K, 1)</f>
        <v>3</v>
      </c>
      <c r="S18" s="2">
        <f>COUNTIFS('BA History'!$B:$B,$A$18,'BA History'!L:L, 1)</f>
        <v>7</v>
      </c>
      <c r="T18" s="2">
        <f>COUNTIFS('BA History'!$B:$B,$A$18,'BA History'!M:M, 1)</f>
        <v>5</v>
      </c>
      <c r="U18" s="2">
        <f>COUNTIFS('BA History'!$B:$B,$A$18,'BA History'!N:N, 1)</f>
        <v>8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11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2</v>
      </c>
      <c r="AM18" s="2">
        <f>COUNTIFS('BA History'!$B:$B,$A$18,'BA History'!AF:AF, 1)</f>
        <v>3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731</v>
      </c>
      <c r="G20" s="66">
        <f>AVERAGEIFS('BA History'!C:C,'BA History'!B:B,A20)</f>
        <v>16.613636363636363</v>
      </c>
      <c r="H20" s="35">
        <f t="array" ref="H20">MAX(IF('BA History'!B:B=A20, 'BA History'!C:C))</f>
        <v>36</v>
      </c>
      <c r="I20" s="34">
        <f>COUNTIFS('BA History'!B:B,A20,'BA History'!D:D, 1)</f>
        <v>28</v>
      </c>
      <c r="J20" s="2">
        <f>COUNTIFS('BA History'!B:B,A20,'BA History'!D:D, 0)</f>
        <v>16</v>
      </c>
      <c r="K20" s="75">
        <f>LOOKUP(2, 1/('BA History'!$B:$B=A20), 'BA History'!$AJ:$AJ)</f>
        <v>0.63636363636363635</v>
      </c>
      <c r="L20" s="34">
        <f>SUMIFS('BA History'!F:F,'BA History'!B:B,A20)</f>
        <v>97</v>
      </c>
      <c r="M20" s="2">
        <f>SUMIFS('BA History'!E:E,'BA History'!B:B,A20)-L20</f>
        <v>81</v>
      </c>
      <c r="N20" s="75">
        <f>LOOKUP(2, 1/('BA History'!$B:$B=A20), 'BA History'!$AH:$AH)</f>
        <v>0.53863636363636358</v>
      </c>
      <c r="O20" s="34">
        <f>SUMIFS('BA History'!H:H,'BA History'!B:B,A20)</f>
        <v>394</v>
      </c>
      <c r="P20" s="2">
        <f>SUMIFS('BA History'!G:G,'BA History'!B:B,A20)-O20</f>
        <v>349</v>
      </c>
      <c r="Q20" s="89">
        <f>LOOKUP(2, 1/('BA History'!$B:$B=A20), 'BA History'!$AI:$AI)</f>
        <v>0.53772727272727272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3</v>
      </c>
      <c r="AI20" s="2">
        <f>COUNTIFS('BA History'!$B:$B,$A$20,'BA History'!AB:AB, 1)</f>
        <v>11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9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1036</v>
      </c>
      <c r="G22" s="66">
        <f>AVERAGEIFS('BA History'!C:C,'BA History'!B:B,A22)</f>
        <v>27.263157894736842</v>
      </c>
      <c r="H22" s="35">
        <f t="array" ref="H22">MAX(IF('BA History'!B:B=A22, 'BA History'!C:C))</f>
        <v>50</v>
      </c>
      <c r="I22" s="34">
        <f>COUNTIFS('BA History'!B:B,A22,'BA History'!D:D, 1)</f>
        <v>19</v>
      </c>
      <c r="J22" s="2">
        <f>COUNTIFS('BA History'!B:B,A22,'BA History'!D:D, 0)</f>
        <v>19</v>
      </c>
      <c r="K22" s="75">
        <f>LOOKUP(2, 1/('BA History'!$B:$B=A22), 'BA History'!$AJ:$AJ)</f>
        <v>0.5</v>
      </c>
      <c r="L22" s="34">
        <f>SUMIFS('BA History'!F:F,'BA History'!B:B,A22)</f>
        <v>75</v>
      </c>
      <c r="M22" s="2">
        <f>SUMIFS('BA History'!E:E,'BA History'!B:B,A22)-L22</f>
        <v>78</v>
      </c>
      <c r="N22" s="75">
        <f>LOOKUP(2, 1/('BA History'!$B:$B=A22), 'BA History'!$AH:$AH)</f>
        <v>0.48289473684210532</v>
      </c>
      <c r="O22" s="34">
        <f>SUMIFS('BA History'!H:H,'BA History'!B:B,A22)</f>
        <v>310</v>
      </c>
      <c r="P22" s="2">
        <f>SUMIFS('BA History'!G:G,'BA History'!B:B,A22)-O22</f>
        <v>319</v>
      </c>
      <c r="Q22" s="89">
        <f>LOOKUP(2, 1/('BA History'!$B:$B=A22), 'BA History'!$AI:$AI)</f>
        <v>0.4944736842105264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6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6</v>
      </c>
      <c r="AJ22" s="2">
        <f>COUNTIFS('BA History'!$B:$B,$A$22,'BA History'!AC:AC, 1)</f>
        <v>4</v>
      </c>
      <c r="AK22" s="2">
        <f>COUNTIFS('BA History'!$B:$B,$A$22,'BA History'!AD:AD, 1)</f>
        <v>9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328</v>
      </c>
      <c r="G24" s="66">
        <f>AVERAGEIFS('BA History'!C:C,'BA History'!B:B,A24)</f>
        <v>17.263157894736842</v>
      </c>
      <c r="H24" s="35">
        <f t="array" ref="H24">MAX(IF('BA History'!B:B=A24, 'BA History'!C:C))</f>
        <v>30</v>
      </c>
      <c r="I24" s="34">
        <f>COUNTIFS('BA History'!B:B,A24,'BA History'!D:D, 1)</f>
        <v>12</v>
      </c>
      <c r="J24" s="2">
        <f>COUNTIFS('BA History'!B:B,A24,'BA History'!D:D, 0)</f>
        <v>7</v>
      </c>
      <c r="K24" s="75">
        <f>LOOKUP(2, 1/('BA History'!$B:$B=A24), 'BA History'!$AJ:$AJ)</f>
        <v>0.63157894736842102</v>
      </c>
      <c r="L24" s="34">
        <f>SUMIFS('BA History'!F:F,'BA History'!B:B,A24)</f>
        <v>47</v>
      </c>
      <c r="M24" s="2">
        <f>SUMIFS('BA History'!E:E,'BA History'!B:B,A24)-L24</f>
        <v>31</v>
      </c>
      <c r="N24" s="75">
        <f>LOOKUP(2, 1/('BA History'!$B:$B=A24), 'BA History'!$AH:$AH)</f>
        <v>0.62894736842105259</v>
      </c>
      <c r="O24" s="34">
        <f>SUMIFS('BA History'!H:H,'BA History'!B:B,A24)</f>
        <v>176</v>
      </c>
      <c r="P24" s="2">
        <f>SUMIFS('BA History'!G:G,'BA History'!B:B,A24)-O24</f>
        <v>138</v>
      </c>
      <c r="Q24" s="89">
        <f>LOOKUP(2, 1/('BA History'!$B:$B=A24), 'BA History'!$AI:$AI)</f>
        <v>0.58105263157894749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6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2</v>
      </c>
      <c r="AD24" s="2">
        <f>COUNTIFS('BA History'!$B:$B,$A$24,'BA History'!W:W, 1)</f>
        <v>3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8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398</v>
      </c>
      <c r="G26" s="66">
        <f>AVERAGEIFS('BA History'!C:C,'BA History'!B:B,A26)</f>
        <v>13.724137931034482</v>
      </c>
      <c r="H26" s="35">
        <f t="array" ref="H26">MAX(IF('BA History'!B:B=A26, 'BA History'!C:C))</f>
        <v>25</v>
      </c>
      <c r="I26" s="34">
        <f>COUNTIFS('BA History'!B:B,A26,'BA History'!D:D, 1)</f>
        <v>12</v>
      </c>
      <c r="J26" s="2">
        <f>COUNTIFS('BA History'!B:B,A26,'BA History'!D:D, 0)</f>
        <v>17</v>
      </c>
      <c r="K26" s="75">
        <f>LOOKUP(2, 1/('BA History'!$B:$B=A26), 'BA History'!$AJ:$AJ)</f>
        <v>0.41379310344827586</v>
      </c>
      <c r="L26" s="34">
        <f>SUMIFS('BA History'!F:F,'BA History'!B:B,A26)</f>
        <v>49</v>
      </c>
      <c r="M26" s="2">
        <f>SUMIFS('BA History'!E:E,'BA History'!B:B,A26)-L26</f>
        <v>61</v>
      </c>
      <c r="N26" s="75">
        <f>LOOKUP(2, 1/('BA History'!$B:$B=A26), 'BA History'!$AH:$AH)</f>
        <v>0.44413793103448274</v>
      </c>
      <c r="O26" s="34">
        <f>SUMIFS('BA History'!H:H,'BA History'!B:B,A26)</f>
        <v>210</v>
      </c>
      <c r="P26" s="2">
        <f>SUMIFS('BA History'!G:G,'BA History'!B:B,A26)-O26</f>
        <v>236</v>
      </c>
      <c r="Q26" s="89">
        <f>LOOKUP(2, 1/('BA History'!$B:$B=A26), 'BA History'!$AI:$AI)</f>
        <v>0.46379310344827579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1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4</v>
      </c>
      <c r="AJ26" s="2">
        <f>COUNTIFS('BA History'!$B:$B,$A$26,'BA History'!AC:AC, 1)</f>
        <v>3</v>
      </c>
      <c r="AK26" s="2">
        <f>COUNTIFS('BA History'!$B:$B,$A$26,'BA History'!AD:AD, 1)</f>
        <v>5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413</v>
      </c>
      <c r="G27" s="66">
        <f>AVERAGEIFS('BA History'!C:C,'BA History'!B:B,A27)</f>
        <v>14.75</v>
      </c>
      <c r="H27" s="35">
        <f t="array" ref="H27">MAX(IF('BA History'!B:B=A27, 'BA History'!C:C))</f>
        <v>36</v>
      </c>
      <c r="I27" s="34">
        <f>COUNTIFS('BA History'!B:B,A27,'BA History'!D:D, 1)</f>
        <v>11</v>
      </c>
      <c r="J27" s="2">
        <f>COUNTIFS('BA History'!B:B,A27,'BA History'!D:D, 0)</f>
        <v>17</v>
      </c>
      <c r="K27" s="75">
        <f>LOOKUP(2, 1/('BA History'!$B:$B=A27), 'BA History'!$AJ:$AJ)</f>
        <v>0.39285714285714285</v>
      </c>
      <c r="L27" s="34">
        <f>SUMIFS('BA History'!F:F,'BA History'!B:B,A27)</f>
        <v>51</v>
      </c>
      <c r="M27" s="2">
        <f>SUMIFS('BA History'!E:E,'BA History'!B:B,A27)-L27</f>
        <v>56</v>
      </c>
      <c r="N27" s="75">
        <f>LOOKUP(2, 1/('BA History'!$B:$B=A27), 'BA History'!$AH:$AH)</f>
        <v>0.49464285714285722</v>
      </c>
      <c r="O27" s="34">
        <f>SUMIFS('BA History'!H:H,'BA History'!B:B,A27)</f>
        <v>212</v>
      </c>
      <c r="P27" s="2">
        <f>SUMIFS('BA History'!G:G,'BA History'!B:B,A27)-O27</f>
        <v>224</v>
      </c>
      <c r="Q27" s="89">
        <f>LOOKUP(2, 1/('BA History'!$B:$B=A27), 'BA History'!$AI:$AI)</f>
        <v>0.49392857142857149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7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1</v>
      </c>
      <c r="AI27" s="2">
        <f>COUNTIFS('BA History'!$B:$B,$A$27,'BA History'!AB:AB, 1)</f>
        <v>8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1</v>
      </c>
      <c r="AM27" s="2">
        <f>COUNTIFS('BA History'!$B:$B,$A$27,'BA History'!AF:AF, 1)</f>
        <v>3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85</v>
      </c>
      <c r="G32" s="66">
        <f>AVERAGEIFS('BA History'!C:C,'BA History'!B:B,A32)</f>
        <v>9.4444444444444446</v>
      </c>
      <c r="H32" s="35">
        <f t="array" ref="H32">MAX(IF('BA History'!B:B=A32, 'BA History'!C:C))</f>
        <v>24</v>
      </c>
      <c r="I32" s="34">
        <f>COUNTIFS('BA History'!B:B,A32,'BA History'!D:D, 1)</f>
        <v>5</v>
      </c>
      <c r="J32" s="2">
        <f>COUNTIFS('BA History'!B:B,A32,'BA History'!D:D, 0)</f>
        <v>4</v>
      </c>
      <c r="K32" s="75">
        <f>LOOKUP(2, 1/('BA History'!$B:$B=A32), 'BA History'!$AJ:$AJ)</f>
        <v>0.55555555555555558</v>
      </c>
      <c r="L32" s="34">
        <f>SUMIFS('BA History'!F:F,'BA History'!B:B,A32)</f>
        <v>21</v>
      </c>
      <c r="M32" s="2">
        <f>SUMIFS('BA History'!E:E,'BA History'!B:B,A32)-L32</f>
        <v>16</v>
      </c>
      <c r="N32" s="75">
        <f>LOOKUP(2, 1/('BA History'!$B:$B=A32), 'BA History'!$AH:$AH)</f>
        <v>0.58888888888888891</v>
      </c>
      <c r="O32" s="34">
        <f>SUMIFS('BA History'!H:H,'BA History'!B:B,A32)</f>
        <v>81</v>
      </c>
      <c r="P32" s="2">
        <f>SUMIFS('BA History'!G:G,'BA History'!B:B,A32)-O32</f>
        <v>76</v>
      </c>
      <c r="Q32" s="89">
        <f>LOOKUP(2, 1/('BA History'!$B:$B=A32), 'BA History'!$AI:$AI)</f>
        <v>0.53111111111111109</v>
      </c>
      <c r="R32" s="2">
        <f>COUNTIFS('BA History'!$B:$B,$A$32,'BA History'!K:K, 1)</f>
        <v>1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3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1</v>
      </c>
      <c r="AM32" s="2">
        <f>COUNTIFS('BA History'!$B:$B,$A$32,'BA History'!AF:AF, 1)</f>
        <v>2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240</v>
      </c>
      <c r="G36" s="66">
        <f>AVERAGEIFS('BA History'!C:C,'BA History'!B:B,A36)</f>
        <v>14.117647058823529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10</v>
      </c>
      <c r="K36" s="75">
        <f>LOOKUP(2, 1/('BA History'!$B:$B=A36), 'BA History'!$AJ:$AJ)</f>
        <v>0.41176470588235292</v>
      </c>
      <c r="L36" s="34">
        <f>SUMIFS('BA History'!F:F,'BA History'!B:B,A36)</f>
        <v>32</v>
      </c>
      <c r="M36" s="2">
        <f>SUMIFS('BA History'!E:E,'BA History'!B:B,A36)-L36</f>
        <v>34</v>
      </c>
      <c r="N36" s="75">
        <f>LOOKUP(2, 1/('BA History'!$B:$B=A36), 'BA History'!$AH:$AH)</f>
        <v>0.49705882352941172</v>
      </c>
      <c r="O36" s="34">
        <f>SUMIFS('BA History'!H:H,'BA History'!B:B,A36)</f>
        <v>134</v>
      </c>
      <c r="P36" s="2">
        <f>SUMIFS('BA History'!G:G,'BA History'!B:B,A36)-O36</f>
        <v>146</v>
      </c>
      <c r="Q36" s="89">
        <f>LOOKUP(2, 1/('BA History'!$B:$B=A36), 'BA History'!$AI:$AI)</f>
        <v>0.49705882352941172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1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918</v>
      </c>
      <c r="G37" s="66">
        <f>AVERAGEIFS('BA History'!C:C,'BA History'!B:B,A37)</f>
        <v>22.390243902439025</v>
      </c>
      <c r="H37" s="35">
        <f t="array" ref="H37">MAX(IF('BA History'!B:B=A37, 'BA History'!C:C))</f>
        <v>43</v>
      </c>
      <c r="I37" s="34">
        <f>COUNTIFS('BA History'!B:B,A37,'BA History'!D:D, 1)</f>
        <v>21</v>
      </c>
      <c r="J37" s="2">
        <f>COUNTIFS('BA History'!B:B,A37,'BA History'!D:D, 0)</f>
        <v>20</v>
      </c>
      <c r="K37" s="75">
        <f>LOOKUP(2, 1/('BA History'!$B:$B=A37), 'BA History'!$AJ:$AJ)</f>
        <v>0.51219512195121952</v>
      </c>
      <c r="L37" s="34">
        <f>SUMIFS('BA History'!F:F,'BA History'!B:B,A37)</f>
        <v>83</v>
      </c>
      <c r="M37" s="2">
        <f>SUMIFS('BA History'!E:E,'BA History'!B:B,A37)-L37</f>
        <v>76</v>
      </c>
      <c r="N37" s="75">
        <f>LOOKUP(2, 1/('BA History'!$B:$B=A37), 'BA History'!$AH:$AH)</f>
        <v>0.52756097560975601</v>
      </c>
      <c r="O37" s="34">
        <f>SUMIFS('BA History'!H:H,'BA History'!B:B,A37)</f>
        <v>349</v>
      </c>
      <c r="P37" s="2">
        <f>SUMIFS('BA History'!G:G,'BA History'!B:B,A37)-O37</f>
        <v>312</v>
      </c>
      <c r="Q37" s="89">
        <f>LOOKUP(2, 1/('BA History'!$B:$B=A37), 'BA History'!$AI:$AI)</f>
        <v>0.53756097560975613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9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2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15</v>
      </c>
      <c r="AJ37" s="2">
        <f>COUNTIFS('BA History'!$B:$B,$A$37,'BA History'!AC:AC, 1)</f>
        <v>5</v>
      </c>
      <c r="AK37" s="2">
        <f>COUNTIFS('BA History'!$B:$B,$A$37,'BA History'!AD:AD, 1)</f>
        <v>7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3</v>
      </c>
      <c r="D38" s="2">
        <v>1</v>
      </c>
      <c r="E38" s="2"/>
      <c r="F38" s="34">
        <f>SUMIFS('BA History'!C:C,'BA History'!B:B,A38)</f>
        <v>1375</v>
      </c>
      <c r="G38" s="66">
        <f>AVERAGEIFS('BA History'!C:C,'BA History'!B:B,A38)</f>
        <v>23.706896551724139</v>
      </c>
      <c r="H38" s="35">
        <f t="array" ref="H38">MAX(IF('BA History'!B:B=A38, 'BA History'!C:C))</f>
        <v>47</v>
      </c>
      <c r="I38" s="34">
        <f>COUNTIFS('BA History'!B:B,A38,'BA History'!D:D, 1)</f>
        <v>32</v>
      </c>
      <c r="J38" s="2">
        <f>COUNTIFS('BA History'!B:B,A38,'BA History'!D:D, 0)</f>
        <v>26</v>
      </c>
      <c r="K38" s="75">
        <f>LOOKUP(2, 1/('BA History'!$B:$B=A38), 'BA History'!$AJ:$AJ)</f>
        <v>0.55172413793103448</v>
      </c>
      <c r="L38" s="34">
        <f>SUMIFS('BA History'!F:F,'BA History'!B:B,A38)</f>
        <v>124</v>
      </c>
      <c r="M38" s="2">
        <f>SUMIFS('BA History'!E:E,'BA History'!B:B,A38)-L38</f>
        <v>109</v>
      </c>
      <c r="N38" s="75">
        <f>LOOKUP(2, 1/('BA History'!$B:$B=A38), 'BA History'!$AH:$AH)</f>
        <v>0.53482758620689663</v>
      </c>
      <c r="O38" s="34">
        <f>SUMIFS('BA History'!H:H,'BA History'!B:B,A38)</f>
        <v>494</v>
      </c>
      <c r="P38" s="2">
        <f>SUMIFS('BA History'!G:G,'BA History'!B:B,A38)-O38</f>
        <v>471</v>
      </c>
      <c r="Q38" s="89">
        <f>LOOKUP(2, 1/('BA History'!$B:$B=A38), 'BA History'!$AI:$AI)</f>
        <v>0.51344827586206887</v>
      </c>
      <c r="R38" s="2">
        <f>COUNTIFS('BA History'!$B:$B,$A$38,'BA History'!K:K, 1)</f>
        <v>5</v>
      </c>
      <c r="S38" s="2">
        <f>COUNTIFS('BA History'!$B:$B,$A$38,'BA History'!L:L, 1)</f>
        <v>10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15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7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612</v>
      </c>
      <c r="G39" s="66">
        <f>AVERAGEIFS('BA History'!C:C,'BA History'!B:B,A39)</f>
        <v>19.741935483870968</v>
      </c>
      <c r="H39" s="35">
        <f t="array" ref="H39">MAX(IF('BA History'!B:B=A39, 'BA History'!C:C))</f>
        <v>37</v>
      </c>
      <c r="I39" s="34">
        <f>COUNTIFS('BA History'!B:B,A39,'BA History'!D:D, 1)</f>
        <v>22</v>
      </c>
      <c r="J39" s="2">
        <f>COUNTIFS('BA History'!B:B,A39,'BA History'!D:D, 0)</f>
        <v>9</v>
      </c>
      <c r="K39" s="75">
        <f>LOOKUP(2, 1/('BA History'!$B:$B=A39), 'BA History'!$AJ:$AJ)</f>
        <v>0.70967741935483875</v>
      </c>
      <c r="L39" s="34">
        <f>SUMIFS('BA History'!F:F,'BA History'!B:B,A39)</f>
        <v>74</v>
      </c>
      <c r="M39" s="2">
        <f>SUMIFS('BA History'!E:E,'BA History'!B:B,A39)-L39</f>
        <v>49</v>
      </c>
      <c r="N39" s="75">
        <f>LOOKUP(2, 1/('BA History'!$B:$B=A39), 'BA History'!$AH:$AH)</f>
        <v>0.61193548387096774</v>
      </c>
      <c r="O39" s="34">
        <f>SUMIFS('BA History'!H:H,'BA History'!B:B,A39)</f>
        <v>282</v>
      </c>
      <c r="P39" s="2">
        <f>SUMIFS('BA History'!G:G,'BA History'!B:B,A39)-O39</f>
        <v>236</v>
      </c>
      <c r="Q39" s="89">
        <f>LOOKUP(2, 1/('BA History'!$B:$B=A39), 'BA History'!$AI:$AI)</f>
        <v>0.55322580645161312</v>
      </c>
      <c r="R39" s="2">
        <f>COUNTIFS('BA History'!$B:$B,$A$39,'BA History'!K:K, 1)</f>
        <v>2</v>
      </c>
      <c r="S39" s="2">
        <f>COUNTIFS('BA History'!$B:$B,$A$39,'BA History'!L:L, 1)</f>
        <v>7</v>
      </c>
      <c r="T39" s="2">
        <f>COUNTIFS('BA History'!$B:$B,$A$39,'BA History'!M:M, 1)</f>
        <v>6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6</v>
      </c>
      <c r="AH39" s="2">
        <f>COUNTIFS('BA History'!$B:$B,$A$39,'BA History'!AA:AA, 1)</f>
        <v>4</v>
      </c>
      <c r="AI39" s="2">
        <f>COUNTIFS('BA History'!$B:$B,$A$39,'BA History'!AB:AB, 1)</f>
        <v>10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3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197</v>
      </c>
      <c r="G41" s="66">
        <f>AVERAGEIFS('BA History'!C:C,'BA History'!B:B,A41)</f>
        <v>14.071428571428571</v>
      </c>
      <c r="H41" s="35">
        <f t="array" ref="H41">MAX(IF('BA History'!B:B=A41, 'BA History'!C:C))</f>
        <v>22</v>
      </c>
      <c r="I41" s="34">
        <f>COUNTIFS('BA History'!B:B,A41,'BA History'!D:D, 1)</f>
        <v>8</v>
      </c>
      <c r="J41" s="2">
        <f>COUNTIFS('BA History'!B:B,A41,'BA History'!D:D, 0)</f>
        <v>6</v>
      </c>
      <c r="K41" s="75">
        <f>LOOKUP(2, 1/('BA History'!$B:$B=A41), 'BA History'!$AJ:$AJ)</f>
        <v>0.5714285714285714</v>
      </c>
      <c r="L41" s="34">
        <f>SUMIFS('BA History'!F:F,'BA History'!B:B,A41)</f>
        <v>27</v>
      </c>
      <c r="M41" s="2">
        <f>SUMIFS('BA History'!E:E,'BA History'!B:B,A41)-L41</f>
        <v>28</v>
      </c>
      <c r="N41" s="75">
        <f>LOOKUP(2, 1/('BA History'!$B:$B=A41), 'BA History'!$AH:$AH)</f>
        <v>0.46785714285714286</v>
      </c>
      <c r="O41" s="34">
        <f>SUMIFS('BA History'!H:H,'BA History'!B:B,A41)</f>
        <v>114</v>
      </c>
      <c r="P41" s="2">
        <f>SUMIFS('BA History'!G:G,'BA History'!B:B,A41)-O41</f>
        <v>113</v>
      </c>
      <c r="Q41" s="89">
        <f>LOOKUP(2, 1/('BA History'!$B:$B=A41), 'BA History'!$AI:$AI)</f>
        <v>0.49857142857142867</v>
      </c>
      <c r="R41" s="2">
        <f>COUNTIFS('BA History'!$B:$B,$A$41,'BA History'!K:K, 1)</f>
        <v>3</v>
      </c>
      <c r="S41" s="2">
        <f>COUNTIFS('BA History'!$B:$B,$A$41,'BA History'!L:L, 1)</f>
        <v>2</v>
      </c>
      <c r="T41" s="2">
        <f>COUNTIFS('BA History'!$B:$B,$A$41,'BA History'!M:M, 1)</f>
        <v>2</v>
      </c>
      <c r="U41" s="2">
        <f>COUNTIFS('BA History'!$B:$B,$A$41,'BA History'!N:N, 1)</f>
        <v>3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1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1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</v>
      </c>
      <c r="AK41" s="2">
        <f>COUNTIFS('BA History'!$B:$B,$A$41,'BA History'!AD:AD, 1)</f>
        <v>4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1165</v>
      </c>
      <c r="G43" s="66">
        <f>AVERAGEIFS('BA History'!C:C,'BA History'!B:B,A43)</f>
        <v>18.79032258064516</v>
      </c>
      <c r="H43" s="35">
        <f t="array" ref="H43">MAX(IF('BA History'!B:B=A43, 'BA History'!C:C))</f>
        <v>37</v>
      </c>
      <c r="I43" s="34">
        <f>COUNTIFS('BA History'!B:B,A43,'BA History'!D:D, 1)</f>
        <v>27</v>
      </c>
      <c r="J43" s="2">
        <f>COUNTIFS('BA History'!B:B,A43,'BA History'!D:D, 0)</f>
        <v>35</v>
      </c>
      <c r="K43" s="75">
        <f>LOOKUP(2, 1/('BA History'!$B:$B=A43), 'BA History'!$AJ:$AJ)</f>
        <v>0.43548387096774194</v>
      </c>
      <c r="L43" s="34">
        <f>SUMIFS('BA History'!F:F,'BA History'!B:B,A43)</f>
        <v>124</v>
      </c>
      <c r="M43" s="2">
        <f>SUMIFS('BA History'!E:E,'BA History'!B:B,A43)-L43</f>
        <v>132</v>
      </c>
      <c r="N43" s="75">
        <f>LOOKUP(2, 1/('BA History'!$B:$B=A43), 'BA History'!$AH:$AH)</f>
        <v>0.49032258064516115</v>
      </c>
      <c r="O43" s="34">
        <f>SUMIFS('BA History'!H:H,'BA History'!B:B,A43)</f>
        <v>518</v>
      </c>
      <c r="P43" s="2">
        <f>SUMIFS('BA History'!G:G,'BA History'!B:B,A43)-O43</f>
        <v>538</v>
      </c>
      <c r="Q43" s="89">
        <f>LOOKUP(2, 1/('BA History'!$B:$B=A43), 'BA History'!$AI:$AI)</f>
        <v>0.48806451612903234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14</v>
      </c>
      <c r="U43" s="2">
        <f>COUNTIFS('BA History'!$B:$B,$A$43,'BA History'!N:N, 1)</f>
        <v>15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2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7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11</v>
      </c>
      <c r="AH43" s="2">
        <f>COUNTIFS('BA History'!$B:$B,$A$43,'BA History'!AA:AA, 1)</f>
        <v>1</v>
      </c>
      <c r="AI43" s="2">
        <f>COUNTIFS('BA History'!$B:$B,$A$43,'BA History'!AB:AB, 1)</f>
        <v>6</v>
      </c>
      <c r="AJ43" s="2">
        <f>COUNTIFS('BA History'!$B:$B,$A$43,'BA History'!AC:AC, 1)</f>
        <v>7</v>
      </c>
      <c r="AK43" s="2">
        <f>COUNTIFS('BA History'!$B:$B,$A$43,'BA History'!AD:AD, 1)</f>
        <v>15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369</v>
      </c>
      <c r="G45" s="66">
        <f>AVERAGEIFS('BA History'!C:C,'BA History'!B:B,A45)</f>
        <v>12.724137931034482</v>
      </c>
      <c r="H45" s="35">
        <f t="array" ref="H45">MAX(IF('BA History'!B:B=A45, 'BA History'!C:C))</f>
        <v>33</v>
      </c>
      <c r="I45" s="34">
        <f>COUNTIFS('BA History'!B:B,A45,'BA History'!D:D, 1)</f>
        <v>14</v>
      </c>
      <c r="J45" s="2">
        <f>COUNTIFS('BA History'!B:B,A45,'BA History'!D:D, 0)</f>
        <v>15</v>
      </c>
      <c r="K45" s="75">
        <f>LOOKUP(2, 1/('BA History'!$B:$B=A45), 'BA History'!$AJ:$AJ)</f>
        <v>0.48275862068965519</v>
      </c>
      <c r="L45" s="34">
        <f>SUMIFS('BA History'!F:F,'BA History'!B:B,A45)</f>
        <v>60</v>
      </c>
      <c r="M45" s="2">
        <f>SUMIFS('BA History'!E:E,'BA History'!B:B,A45)-L45</f>
        <v>57</v>
      </c>
      <c r="N45" s="75">
        <f>LOOKUP(2, 1/('BA History'!$B:$B=A45), 'BA History'!$AH:$AH)</f>
        <v>0.53448275862068961</v>
      </c>
      <c r="O45" s="34">
        <f>SUMIFS('BA History'!H:H,'BA History'!B:B,A45)</f>
        <v>245</v>
      </c>
      <c r="P45" s="2">
        <f>SUMIFS('BA History'!G:G,'BA History'!B:B,A45)-O45</f>
        <v>236</v>
      </c>
      <c r="Q45" s="89">
        <f>LOOKUP(2, 1/('BA History'!$B:$B=A45), 'BA History'!$AI:$AI)</f>
        <v>0.52448275862068972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7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1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10</v>
      </c>
      <c r="AJ45" s="2">
        <f>COUNTIFS('BA History'!$B:$B,$A$45,'BA History'!AC:AC, 1)</f>
        <v>0</v>
      </c>
      <c r="AK45" s="2">
        <f>COUNTIFS('BA History'!$B:$B,$A$45,'BA History'!AD:AD, 1)</f>
        <v>3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>
        <v>1</v>
      </c>
      <c r="D46" s="2">
        <v>1</v>
      </c>
      <c r="E46" s="2"/>
      <c r="F46" s="34">
        <f>SUMIFS('BA History'!C:C,'BA History'!B:B,A46)</f>
        <v>777</v>
      </c>
      <c r="G46" s="66">
        <f>AVERAGEIFS('BA History'!C:C,'BA History'!B:B,A46)</f>
        <v>19.923076923076923</v>
      </c>
      <c r="H46" s="35">
        <f t="array" ref="H46">MAX(IF('BA History'!B:B=A46, 'BA History'!C:C))</f>
        <v>32</v>
      </c>
      <c r="I46" s="34">
        <f>COUNTIFS('BA History'!B:B,A46,'BA History'!D:D, 1)</f>
        <v>22</v>
      </c>
      <c r="J46" s="2">
        <f>COUNTIFS('BA History'!B:B,A46,'BA History'!D:D, 0)</f>
        <v>17</v>
      </c>
      <c r="K46" s="75">
        <f>LOOKUP(2, 1/('BA History'!$B:$B=A46), 'BA History'!$AJ:$AJ)</f>
        <v>0.5641025641025641</v>
      </c>
      <c r="L46" s="34">
        <f>SUMIFS('BA History'!F:F,'BA History'!B:B,A46)</f>
        <v>83</v>
      </c>
      <c r="M46" s="2">
        <f>SUMIFS('BA History'!E:E,'BA History'!B:B,A46)-L46</f>
        <v>73</v>
      </c>
      <c r="N46" s="75">
        <f>LOOKUP(2, 1/('BA History'!$B:$B=A46), 'BA History'!$AH:$AH)</f>
        <v>0.53641025641025641</v>
      </c>
      <c r="O46" s="34">
        <f>SUMIFS('BA History'!H:H,'BA History'!B:B,A46)</f>
        <v>325</v>
      </c>
      <c r="P46" s="2">
        <f>SUMIFS('BA History'!G:G,'BA History'!B:B,A46)-O46</f>
        <v>319</v>
      </c>
      <c r="Q46" s="89">
        <f>LOOKUP(2, 1/('BA History'!$B:$B=A46), 'BA History'!$AI:$AI)</f>
        <v>0.49871794871794878</v>
      </c>
      <c r="R46" s="2">
        <f>COUNTIFS('BA History'!$B:$B,$A$46,'BA History'!K:K, 1)</f>
        <v>6</v>
      </c>
      <c r="S46" s="2">
        <f>COUNTIFS('BA History'!$B:$B,$A$46,'BA History'!L:L, 1)</f>
        <v>3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2</v>
      </c>
      <c r="AI46" s="2">
        <f>COUNTIFS('BA History'!$B:$B,$A$46,'BA History'!AB:AB, 1)</f>
        <v>11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2</v>
      </c>
      <c r="AM46" s="2">
        <f>COUNTIFS('BA History'!$B:$B,$A$46,'BA History'!AF:AF, 1)</f>
        <v>5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1451</v>
      </c>
      <c r="G50" s="66">
        <f>AVERAGEIFS('BA History'!C:C,'BA History'!B:B,A50)</f>
        <v>22.323076923076922</v>
      </c>
      <c r="H50" s="35">
        <f t="array" ref="H50">MAX(IF('BA History'!B:B=A50, 'BA History'!C:C))</f>
        <v>37</v>
      </c>
      <c r="I50" s="34">
        <f>COUNTIFS('BA History'!B:B,A50,'BA History'!D:D, 1)</f>
        <v>39</v>
      </c>
      <c r="J50" s="2">
        <f>COUNTIFS('BA History'!B:B,A50,'BA History'!D:D, 0)</f>
        <v>26</v>
      </c>
      <c r="K50" s="75">
        <f>LOOKUP(2, 1/('BA History'!$B:$B=A50), 'BA History'!$AJ:$AJ)</f>
        <v>0.6</v>
      </c>
      <c r="L50" s="34">
        <f>SUMIFS('BA History'!F:F,'BA History'!B:B,A50)</f>
        <v>140</v>
      </c>
      <c r="M50" s="2">
        <f>SUMIFS('BA History'!E:E,'BA History'!B:B,A50)-L50</f>
        <v>120</v>
      </c>
      <c r="N50" s="75">
        <f>LOOKUP(2, 1/('BA History'!$B:$B=A50), 'BA History'!$AH:$AH)</f>
        <v>0.53353846153846163</v>
      </c>
      <c r="O50" s="34">
        <f>SUMIFS('BA History'!H:H,'BA History'!B:B,A50)</f>
        <v>564</v>
      </c>
      <c r="P50" s="2">
        <f>SUMIFS('BA History'!G:G,'BA History'!B:B,A50)-O50</f>
        <v>516</v>
      </c>
      <c r="Q50" s="89">
        <f>LOOKUP(2, 1/('BA History'!$B:$B=A50), 'BA History'!$AI:$AI)</f>
        <v>0.51984615384615385</v>
      </c>
      <c r="R50" s="2">
        <f>COUNTIFS('BA History'!$B:$B,$A$50,'BA History'!K:K, 1)</f>
        <v>7</v>
      </c>
      <c r="S50" s="2">
        <f>COUNTIFS('BA History'!$B:$B,$A$50,'BA History'!L:L, 1)</f>
        <v>6</v>
      </c>
      <c r="T50" s="2">
        <f>COUNTIFS('BA History'!$B:$B,$A$50,'BA History'!M:M, 1)</f>
        <v>13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10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19</v>
      </c>
      <c r="AH50" s="2">
        <f>COUNTIFS('BA History'!$B:$B,$A$50,'BA History'!AA:AA, 1)</f>
        <v>2</v>
      </c>
      <c r="AI50" s="2">
        <f>COUNTIFS('BA History'!$B:$B,$A$50,'BA History'!AB:AB, 1)</f>
        <v>17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2</v>
      </c>
      <c r="AM50" s="2">
        <f>COUNTIFS('BA History'!$B:$B,$A$50,'BA History'!AF:AF, 1)</f>
        <v>10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26</v>
      </c>
      <c r="G52" s="66">
        <f>AVERAGEIFS('BA History'!C:C,'BA History'!B:B,A52)</f>
        <v>13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2</v>
      </c>
      <c r="K52" s="75">
        <f>LOOKUP(2, 1/('BA History'!$B:$B=A52), 'BA History'!$AJ:$AJ)</f>
        <v>0</v>
      </c>
      <c r="L52" s="34">
        <f>SUMIFS('BA History'!F:F,'BA History'!B:B,A52)</f>
        <v>3</v>
      </c>
      <c r="M52" s="2">
        <f>SUMIFS('BA History'!E:E,'BA History'!B:B,A52)-L52</f>
        <v>6</v>
      </c>
      <c r="N52" s="75">
        <f>LOOKUP(2, 1/('BA History'!$B:$B=A52), 'BA History'!$AH:$AH)</f>
        <v>0.32500000000000001</v>
      </c>
      <c r="O52" s="34">
        <f>SUMIFS('BA History'!H:H,'BA History'!B:B,A52)</f>
        <v>19</v>
      </c>
      <c r="P52" s="2">
        <f>SUMIFS('BA History'!G:G,'BA History'!B:B,A52)-O52</f>
        <v>22</v>
      </c>
      <c r="Q52" s="89">
        <f>LOOKUP(2, 1/('BA History'!$B:$B=A52), 'BA History'!$AI:$AI)</f>
        <v>0.46499999999999997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1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696</v>
      </c>
      <c r="G53" s="66">
        <f>AVERAGEIFS('BA History'!C:C,'BA History'!B:B,A53)</f>
        <v>17.846153846153847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19</v>
      </c>
      <c r="K53" s="75">
        <f>LOOKUP(2, 1/('BA History'!$B:$B=A53), 'BA History'!$AJ:$AJ)</f>
        <v>0.51282051282051277</v>
      </c>
      <c r="L53" s="34">
        <f>SUMIFS('BA History'!F:F,'BA History'!B:B,A53)</f>
        <v>83</v>
      </c>
      <c r="M53" s="2">
        <f>SUMIFS('BA History'!E:E,'BA History'!B:B,A53)-L53</f>
        <v>72</v>
      </c>
      <c r="N53" s="75">
        <f>LOOKUP(2, 1/('BA History'!$B:$B=A53), 'BA History'!$AH:$AH)</f>
        <v>0.55128205128205121</v>
      </c>
      <c r="O53" s="34">
        <f>SUMIFS('BA History'!H:H,'BA History'!B:B,A53)</f>
        <v>325</v>
      </c>
      <c r="P53" s="2">
        <f>SUMIFS('BA History'!G:G,'BA History'!B:B,A53)-O53</f>
        <v>306</v>
      </c>
      <c r="Q53" s="89">
        <f>LOOKUP(2, 1/('BA History'!$B:$B=A53), 'BA History'!$AI:$AI)</f>
        <v>0.52487179487179503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89</v>
      </c>
      <c r="G55" s="66">
        <f>AVERAGEIFS('BA History'!C:C,'BA History'!B:B,A55)</f>
        <v>11.125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3</v>
      </c>
      <c r="K55" s="75">
        <f>LOOKUP(2, 1/('BA History'!$B:$B=A55), 'BA History'!$AJ:$AJ)</f>
        <v>0.625</v>
      </c>
      <c r="L55" s="34">
        <f>SUMIFS('BA History'!F:F,'BA History'!B:B,A55)</f>
        <v>17</v>
      </c>
      <c r="M55" s="2">
        <f>SUMIFS('BA History'!E:E,'BA History'!B:B,A55)-L55</f>
        <v>16</v>
      </c>
      <c r="N55" s="75">
        <f>LOOKUP(2, 1/('BA History'!$B:$B=A55), 'BA History'!$AH:$AH)</f>
        <v>0.50625000000000009</v>
      </c>
      <c r="O55" s="34">
        <f>SUMIFS('BA History'!H:H,'BA History'!B:B,A55)</f>
        <v>70</v>
      </c>
      <c r="P55" s="2">
        <f>SUMIFS('BA History'!G:G,'BA History'!B:B,A55)-O55</f>
        <v>68</v>
      </c>
      <c r="Q55" s="89">
        <f>LOOKUP(2, 1/('BA History'!$B:$B=A55), 'BA History'!$AI:$AI)</f>
        <v>0.50624999999999998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4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>
        <v>1</v>
      </c>
      <c r="E56" s="1"/>
      <c r="F56" s="34">
        <f>SUMIFS('BA History'!C:C,'BA History'!B:B,A56)</f>
        <v>862</v>
      </c>
      <c r="G56" s="66">
        <f>AVERAGEIFS('BA History'!C:C,'BA History'!B:B,A56)</f>
        <v>24.62857142857143</v>
      </c>
      <c r="H56" s="35">
        <f t="array" ref="H56">MAX(IF('BA History'!B:B=A56, 'BA History'!C:C))</f>
        <v>41</v>
      </c>
      <c r="I56" s="34">
        <f>COUNTIFS('BA History'!B:B,A56,'BA History'!D:D, 1)</f>
        <v>12</v>
      </c>
      <c r="J56" s="2">
        <f>COUNTIFS('BA History'!B:B,A56,'BA History'!D:D, 0)</f>
        <v>23</v>
      </c>
      <c r="K56" s="75">
        <f>LOOKUP(2, 1/('BA History'!$B:$B=A56), 'BA History'!$AJ:$AJ)</f>
        <v>0.34285714285714286</v>
      </c>
      <c r="L56" s="34">
        <f>SUMIFS('BA History'!F:F,'BA History'!B:B,A56)</f>
        <v>63</v>
      </c>
      <c r="M56" s="2">
        <f>SUMIFS('BA History'!E:E,'BA History'!B:B,A56)-L56</f>
        <v>82</v>
      </c>
      <c r="N56" s="75">
        <f>LOOKUP(2, 1/('BA History'!$B:$B=A56), 'BA History'!$AH:$AH)</f>
        <v>0.43428571428571427</v>
      </c>
      <c r="O56" s="34">
        <f>SUMIFS('BA History'!H:H,'BA History'!B:B,A56)</f>
        <v>279</v>
      </c>
      <c r="P56" s="2">
        <f>SUMIFS('BA History'!G:G,'BA History'!B:B,A56)-O56</f>
        <v>322</v>
      </c>
      <c r="Q56" s="89">
        <f>LOOKUP(2, 1/('BA History'!$B:$B=A56), 'BA History'!$AI:$AI)</f>
        <v>0.4588571428571428</v>
      </c>
      <c r="R56" s="2">
        <f>COUNTIFS('BA History'!$B:$B,$A$56,'BA History'!K:K, 1)</f>
        <v>3</v>
      </c>
      <c r="S56" s="2">
        <f>COUNTIFS('BA History'!$B:$B,$A$56,'BA History'!L:L, 1)</f>
        <v>7</v>
      </c>
      <c r="T56" s="2">
        <f>COUNTIFS('BA History'!$B:$B,$A$56,'BA History'!M:M, 1)</f>
        <v>6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1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9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1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706</v>
      </c>
      <c r="G57" s="66">
        <f>AVERAGEIFS('BA History'!C:C,'BA History'!B:B,A57)</f>
        <v>16.045454545454547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19</v>
      </c>
      <c r="K57" s="75">
        <f>LOOKUP(2, 1/('BA History'!$B:$B=A57), 'BA History'!$AJ:$AJ)</f>
        <v>0.56818181818181823</v>
      </c>
      <c r="L57" s="34">
        <f>SUMIFS('BA History'!F:F,'BA History'!B:B,A57)</f>
        <v>92</v>
      </c>
      <c r="M57" s="2">
        <f>SUMIFS('BA History'!E:E,'BA History'!B:B,A57)-L57</f>
        <v>85</v>
      </c>
      <c r="N57" s="75">
        <f>LOOKUP(2, 1/('BA History'!$B:$B=A57), 'BA History'!$AH:$AH)</f>
        <v>0.51022727272727275</v>
      </c>
      <c r="O57" s="34">
        <f>SUMIFS('BA History'!H:H,'BA History'!B:B,A57)</f>
        <v>381</v>
      </c>
      <c r="P57" s="2">
        <f>SUMIFS('BA History'!G:G,'BA History'!B:B,A57)-O57</f>
        <v>352</v>
      </c>
      <c r="Q57" s="89">
        <f>LOOKUP(2, 1/('BA History'!$B:$B=A57), 'BA History'!$AI:$AI)</f>
        <v>0.51545454545454539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1015"/>
  <sheetViews>
    <sheetView workbookViewId="0">
      <pane xSplit="2" ySplit="1" topLeftCell="C973" activePane="bottomRight" state="frozen"/>
      <selection pane="topRight" activeCell="C1" sqref="C1"/>
      <selection pane="bottomLeft" activeCell="A2" sqref="A2"/>
      <selection pane="bottomRight" activeCell="A1004" sqref="A1004:AF101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  <row r="966" spans="1:36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1</v>
      </c>
      <c r="AB966">
        <v>1</v>
      </c>
      <c r="AC966">
        <v>0</v>
      </c>
      <c r="AD966">
        <v>0</v>
      </c>
      <c r="AE966">
        <v>0</v>
      </c>
      <c r="AF966">
        <v>1</v>
      </c>
      <c r="AG966" s="86">
        <f>AVERAGEIFS($C$2:C966, $B$2:B966, B966)</f>
        <v>20.103448275862068</v>
      </c>
      <c r="AH966" s="86">
        <f>AVERAGEIFS($I$2:I966, $B$2:B966, B966)</f>
        <v>0.60241379310344823</v>
      </c>
      <c r="AI966" s="86">
        <f>AVERAGEIFS($J$2:J966, $B$2:B966, B966)</f>
        <v>0.5475862068965518</v>
      </c>
      <c r="AJ966" s="86">
        <f>AVERAGEIFS($D$2:D966, $B$2:B966, B966)</f>
        <v>0.68965517241379315</v>
      </c>
    </row>
    <row r="967" spans="1:36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</v>
      </c>
      <c r="AB967">
        <v>1</v>
      </c>
      <c r="AC967">
        <v>0</v>
      </c>
      <c r="AD967">
        <v>0</v>
      </c>
      <c r="AE967">
        <v>0</v>
      </c>
      <c r="AF967">
        <v>1</v>
      </c>
      <c r="AG967" s="86">
        <f>AVERAGEIFS($C$2:C967, $B$2:B967, B967)</f>
        <v>16.613636363636363</v>
      </c>
      <c r="AH967" s="86">
        <f>AVERAGEIFS($I$2:I967, $B$2:B967, B967)</f>
        <v>0.53863636363636358</v>
      </c>
      <c r="AI967" s="86">
        <f>AVERAGEIFS($J$2:J967, $B$2:B967, B967)</f>
        <v>0.53772727272727272</v>
      </c>
      <c r="AJ967" s="86">
        <f>AVERAGEIFS($D$2:D967, $B$2:B967, B967)</f>
        <v>0.63636363636363635</v>
      </c>
    </row>
    <row r="968" spans="1:36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1</v>
      </c>
      <c r="AC968">
        <v>0</v>
      </c>
      <c r="AD968">
        <v>0</v>
      </c>
      <c r="AE968">
        <v>0</v>
      </c>
      <c r="AF968">
        <v>1</v>
      </c>
      <c r="AG968" s="86">
        <f>AVERAGEIFS($C$2:C968, $B$2:B968, B968)</f>
        <v>22.158730158730158</v>
      </c>
      <c r="AH968" s="86">
        <f>AVERAGEIFS($I$2:I968, $B$2:B968, B968)</f>
        <v>0.53460317460317475</v>
      </c>
      <c r="AI968" s="86">
        <f>AVERAGEIFS($J$2:J968, $B$2:B968, B968)</f>
        <v>0.52126984126984122</v>
      </c>
      <c r="AJ968" s="86">
        <f>AVERAGEIFS($D$2:D968, $B$2:B968, B968)</f>
        <v>0.60317460317460314</v>
      </c>
    </row>
    <row r="969" spans="1:36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1</v>
      </c>
      <c r="AC969">
        <v>0</v>
      </c>
      <c r="AD969">
        <v>0</v>
      </c>
      <c r="AE969">
        <v>0</v>
      </c>
      <c r="AF969">
        <v>1</v>
      </c>
      <c r="AG969" s="86">
        <f>AVERAGEIFS($C$2:C969, $B$2:B969, B969)</f>
        <v>11.4</v>
      </c>
      <c r="AH969" s="86">
        <f>AVERAGEIFS($I$2:I969, $B$2:B969, B969)</f>
        <v>0.4</v>
      </c>
      <c r="AI969" s="86">
        <f>AVERAGEIFS($J$2:J969, $B$2:B969, B969)</f>
        <v>0.39800000000000002</v>
      </c>
      <c r="AJ969" s="86">
        <f>AVERAGEIFS($D$2:D969, $B$2:B969, B969)</f>
        <v>0.3</v>
      </c>
    </row>
    <row r="970" spans="1:36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1</v>
      </c>
      <c r="AB970">
        <v>1</v>
      </c>
      <c r="AC970">
        <v>0</v>
      </c>
      <c r="AD970">
        <v>0</v>
      </c>
      <c r="AE970">
        <v>0</v>
      </c>
      <c r="AF970">
        <v>1</v>
      </c>
      <c r="AG970" s="86">
        <f>AVERAGEIFS($C$2:C970, $B$2:B970, B970)</f>
        <v>14.555555555555555</v>
      </c>
      <c r="AH970" s="86">
        <f>AVERAGEIFS($I$2:I970, $B$2:B970, B970)</f>
        <v>0.50370370370370376</v>
      </c>
      <c r="AI970" s="86">
        <f>AVERAGEIFS($J$2:J970, $B$2:B970, B970)</f>
        <v>0.49925925925925935</v>
      </c>
      <c r="AJ970" s="86">
        <f>AVERAGEIFS($D$2:D970, $B$2:B970, B970)</f>
        <v>0.40740740740740738</v>
      </c>
    </row>
    <row r="971" spans="1:36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</v>
      </c>
      <c r="AB971">
        <v>1</v>
      </c>
      <c r="AC971">
        <v>0</v>
      </c>
      <c r="AD971">
        <v>0</v>
      </c>
      <c r="AE971">
        <v>0</v>
      </c>
      <c r="AF971">
        <v>1</v>
      </c>
      <c r="AG971" s="86">
        <f>AVERAGEIFS($C$2:C971, $B$2:B971, B971)</f>
        <v>19.918918918918919</v>
      </c>
      <c r="AH971" s="86">
        <f>AVERAGEIFS($I$2:I971, $B$2:B971, B971)</f>
        <v>0.53837837837837843</v>
      </c>
      <c r="AI971" s="86">
        <f>AVERAGEIFS($J$2:J971, $B$2:B971, B971)</f>
        <v>0.49810810810810813</v>
      </c>
      <c r="AJ971" s="86">
        <f>AVERAGEIFS($D$2:D971, $B$2:B971, B971)</f>
        <v>0.56756756756756754</v>
      </c>
    </row>
    <row r="972" spans="1:36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 s="86">
        <f>AVERAGEIFS($C$2:C972, $B$2:B972, B972)</f>
        <v>22.274999999999999</v>
      </c>
      <c r="AH972" s="86">
        <f>AVERAGEIFS($I$2:I972, $B$2:B972, B972)</f>
        <v>0.52199999999999991</v>
      </c>
      <c r="AI972" s="86">
        <f>AVERAGEIFS($J$2:J972, $B$2:B972, B972)</f>
        <v>0.53475000000000006</v>
      </c>
      <c r="AJ972" s="86">
        <f>AVERAGEIFS($D$2:D972, $B$2:B972, B972)</f>
        <v>0.5</v>
      </c>
    </row>
    <row r="973" spans="1:36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s="86">
        <f>AVERAGEIFS($C$2:C973, $B$2:B973, B973)</f>
        <v>23.842105263157894</v>
      </c>
      <c r="AH973" s="86">
        <f>AVERAGEIFS($I$2:I973, $B$2:B973, B973)</f>
        <v>0.53105263157894744</v>
      </c>
      <c r="AI973" s="86">
        <f>AVERAGEIFS($J$2:J973, $B$2:B973, B973)</f>
        <v>0.51070175438596488</v>
      </c>
      <c r="AJ973" s="86">
        <f>AVERAGEIFS($D$2:D973, $B$2:B973, B973)</f>
        <v>0.54385964912280704</v>
      </c>
    </row>
    <row r="974" spans="1:36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s="86">
        <f>AVERAGEIFS($C$2:C974, $B$2:B974, B974)</f>
        <v>18.372093023255815</v>
      </c>
      <c r="AH974" s="86">
        <f>AVERAGEIFS($I$2:I974, $B$2:B974, B974)</f>
        <v>0.44418604651162796</v>
      </c>
      <c r="AI974" s="86">
        <f>AVERAGEIFS($J$2:J974, $B$2:B974, B974)</f>
        <v>0.44999999999999984</v>
      </c>
      <c r="AJ974" s="86">
        <f>AVERAGEIFS($D$2:D974, $B$2:B974, B974)</f>
        <v>0.46511627906976744</v>
      </c>
    </row>
    <row r="975" spans="1:36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s="86">
        <f>AVERAGEIFS($C$2:C975, $B$2:B975, B975)</f>
        <v>17.846153846153847</v>
      </c>
      <c r="AH975" s="86">
        <f>AVERAGEIFS($I$2:I975, $B$2:B975, B975)</f>
        <v>0.55128205128205121</v>
      </c>
      <c r="AI975" s="86">
        <f>AVERAGEIFS($J$2:J975, $B$2:B975, B975)</f>
        <v>0.52487179487179503</v>
      </c>
      <c r="AJ975" s="86">
        <f>AVERAGEIFS($D$2:D975, $B$2:B975, B975)</f>
        <v>0.51282051282051277</v>
      </c>
    </row>
    <row r="976" spans="1:36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s="86">
        <f>AVERAGEIFS($C$2:C976, $B$2:B976, B976)</f>
        <v>16.045454545454547</v>
      </c>
      <c r="AH976" s="86">
        <f>AVERAGEIFS($I$2:I976, $B$2:B976, B976)</f>
        <v>0.51022727272727275</v>
      </c>
      <c r="AI976" s="86">
        <f>AVERAGEIFS($J$2:J976, $B$2:B976, B976)</f>
        <v>0.51545454545454539</v>
      </c>
      <c r="AJ976" s="86">
        <f>AVERAGEIFS($D$2:D976, $B$2:B976, B976)</f>
        <v>0.56818181818181823</v>
      </c>
    </row>
    <row r="977" spans="1:36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 s="86">
        <f>AVERAGEIFS($C$2:C977, $B$2:B977, B977)</f>
        <v>12.275862068965518</v>
      </c>
      <c r="AH977" s="86">
        <f>AVERAGEIFS($I$2:I977, $B$2:B977, B977)</f>
        <v>0.44482758620689655</v>
      </c>
      <c r="AI977" s="86">
        <f>AVERAGEIFS($J$2:J977, $B$2:B977, B977)</f>
        <v>0.46827586206896543</v>
      </c>
      <c r="AJ977" s="86">
        <f>AVERAGEIFS($D$2:D977, $B$2:B977, B977)</f>
        <v>0.48275862068965519</v>
      </c>
    </row>
    <row r="978" spans="1:36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s="86">
        <f>AVERAGEIFS($C$2:C978, $B$2:B978, B978)</f>
        <v>13.066666666666666</v>
      </c>
      <c r="AH978" s="86">
        <f>AVERAGEIFS($I$2:I978, $B$2:B978, B978)</f>
        <v>0.51</v>
      </c>
      <c r="AI978" s="86">
        <f>AVERAGEIFS($J$2:J978, $B$2:B978, B978)</f>
        <v>0.50266666666666671</v>
      </c>
      <c r="AJ978" s="86">
        <f>AVERAGEIFS($D$2:D978, $B$2:B978, B978)</f>
        <v>0.53333333333333333</v>
      </c>
    </row>
    <row r="979" spans="1:36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s="86">
        <f>AVERAGEIFS($C$2:C979, $B$2:B979, B979)</f>
        <v>22.296875</v>
      </c>
      <c r="AH979" s="86">
        <f>AVERAGEIFS($I$2:I979, $B$2:B979, B979)</f>
        <v>0.53796875000000011</v>
      </c>
      <c r="AI979" s="86">
        <f>AVERAGEIFS($J$2:J979, $B$2:B979, B979)</f>
        <v>0.52249999999999996</v>
      </c>
      <c r="AJ979" s="86">
        <f>AVERAGEIFS($D$2:D979, $B$2:B979, B979)</f>
        <v>0.609375</v>
      </c>
    </row>
    <row r="980" spans="1:36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s="86">
        <f>AVERAGEIFS($C$2:C980, $B$2:B980, B980)</f>
        <v>19.866666666666667</v>
      </c>
      <c r="AH980" s="86">
        <f>AVERAGEIFS($I$2:I980, $B$2:B980, B980)</f>
        <v>0.60733333333333328</v>
      </c>
      <c r="AI980" s="86">
        <f>AVERAGEIFS($J$2:J980, $B$2:B980, B980)</f>
        <v>0.54933333333333345</v>
      </c>
      <c r="AJ980" s="86">
        <f>AVERAGEIFS($D$2:D980, $B$2:B980, B980)</f>
        <v>0.7</v>
      </c>
    </row>
    <row r="981" spans="1:36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s="86">
        <f>AVERAGEIFS($C$2:C981, $B$2:B981, B981)</f>
        <v>17.444444444444443</v>
      </c>
      <c r="AH981" s="86">
        <f>AVERAGEIFS($I$2:I981, $B$2:B981, B981)</f>
        <v>0.64999999999999991</v>
      </c>
      <c r="AI981" s="86">
        <f>AVERAGEIFS($J$2:J981, $B$2:B981, B981)</f>
        <v>0.5950000000000002</v>
      </c>
      <c r="AJ981" s="86">
        <f>AVERAGEIFS($D$2:D981, $B$2:B981, B981)</f>
        <v>0.66666666666666663</v>
      </c>
    </row>
    <row r="982" spans="1:36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 s="86">
        <f>AVERAGEIFS($C$2:C982, $B$2:B982, B982)</f>
        <v>18.655737704918032</v>
      </c>
      <c r="AH982" s="86">
        <f>AVERAGEIFS($I$2:I982, $B$2:B982, B982)</f>
        <v>0.48606557377049164</v>
      </c>
      <c r="AI982" s="86">
        <f>AVERAGEIFS($J$2:J982, $B$2:B982, B982)</f>
        <v>0.48540983606557386</v>
      </c>
      <c r="AJ982" s="86">
        <f>AVERAGEIFS($D$2:D982, $B$2:B982, B982)</f>
        <v>0.42622950819672129</v>
      </c>
    </row>
    <row r="983" spans="1:36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s="86">
        <f>AVERAGEIFS($C$2:C983, $B$2:B983, B983)</f>
        <v>12.5</v>
      </c>
      <c r="AH983" s="86">
        <f>AVERAGEIFS($I$2:I983, $B$2:B983, B983)</f>
        <v>0.45500000000000002</v>
      </c>
      <c r="AI983" s="86">
        <f>AVERAGEIFS($J$2:J983, $B$2:B983, B983)</f>
        <v>0.47266666666666662</v>
      </c>
      <c r="AJ983" s="86">
        <f>AVERAGEIFS($D$2:D983, $B$2:B983, B983)</f>
        <v>0.5</v>
      </c>
    </row>
    <row r="984" spans="1:36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s="86">
        <f>AVERAGEIFS($C$2:C984, $B$2:B984, B984)</f>
        <v>12.814814814814815</v>
      </c>
      <c r="AH984" s="86">
        <f>AVERAGEIFS($I$2:I984, $B$2:B984, B984)</f>
        <v>0.53703703703703709</v>
      </c>
      <c r="AI984" s="86">
        <f>AVERAGEIFS($J$2:J984, $B$2:B984, B984)</f>
        <v>0.52703703703703708</v>
      </c>
      <c r="AJ984" s="86">
        <f>AVERAGEIFS($D$2:D984, $B$2:B984, B984)</f>
        <v>0.48148148148148145</v>
      </c>
    </row>
    <row r="985" spans="1:36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s="86">
        <f>AVERAGEIFS($C$2:C985, $B$2:B985, B985)</f>
        <v>27.081081081081081</v>
      </c>
      <c r="AH985" s="86">
        <f>AVERAGEIFS($I$2:I985, $B$2:B985, B985)</f>
        <v>0.4756756756756757</v>
      </c>
      <c r="AI985" s="86">
        <f>AVERAGEIFS($J$2:J985, $B$2:B985, B985)</f>
        <v>0.49027027027027037</v>
      </c>
      <c r="AJ985" s="86">
        <f>AVERAGEIFS($D$2:D985, $B$2:B985, B985)</f>
        <v>0.48648648648648651</v>
      </c>
    </row>
    <row r="986" spans="1:36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s="86">
        <f>AVERAGEIFS($C$2:C986, $B$2:B986, B986)</f>
        <v>17.975000000000001</v>
      </c>
      <c r="AH986" s="86">
        <f>AVERAGEIFS($I$2:I986, $B$2:B986, B986)</f>
        <v>0.50575000000000014</v>
      </c>
      <c r="AI986" s="86">
        <f>AVERAGEIFS($J$2:J986, $B$2:B986, B986)</f>
        <v>0.5139999999999999</v>
      </c>
      <c r="AJ986" s="86">
        <f>AVERAGEIFS($D$2:D986, $B$2:B986, B986)</f>
        <v>0.5</v>
      </c>
    </row>
    <row r="987" spans="1:36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 s="86">
        <f>AVERAGEIFS($C$2:C987, $B$2:B987, B987)</f>
        <v>18.613636363636363</v>
      </c>
      <c r="AH987" s="86">
        <f>AVERAGEIFS($I$2:I987, $B$2:B987, B987)</f>
        <v>0.43977272727272732</v>
      </c>
      <c r="AI987" s="86">
        <f>AVERAGEIFS($J$2:J987, $B$2:B987, B987)</f>
        <v>0.44886363636363619</v>
      </c>
      <c r="AJ987" s="86">
        <f>AVERAGEIFS($D$2:D987, $B$2:B987, B987)</f>
        <v>0.45454545454545453</v>
      </c>
    </row>
    <row r="988" spans="1:36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s="86">
        <f>AVERAGEIFS($C$2:C988, $B$2:B988, B988)</f>
        <v>13.916666666666666</v>
      </c>
      <c r="AH988" s="86">
        <f>AVERAGEIFS($I$2:I988, $B$2:B988, B988)</f>
        <v>0.46249999999999997</v>
      </c>
      <c r="AI988" s="86">
        <f>AVERAGEIFS($J$2:J988, $B$2:B988, B988)</f>
        <v>0.50000000000000011</v>
      </c>
      <c r="AJ988" s="86">
        <f>AVERAGEIFS($D$2:D988, $B$2:B988, B988)</f>
        <v>0.58333333333333337</v>
      </c>
    </row>
    <row r="989" spans="1:36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s="86">
        <f>AVERAGEIFS($C$2:C989, $B$2:B989, B989)</f>
        <v>11.125</v>
      </c>
      <c r="AH989" s="86">
        <f>AVERAGEIFS($I$2:I989, $B$2:B989, B989)</f>
        <v>0.50625000000000009</v>
      </c>
      <c r="AI989" s="86">
        <f>AVERAGEIFS($J$2:J989, $B$2:B989, B989)</f>
        <v>0.50624999999999998</v>
      </c>
      <c r="AJ989" s="86">
        <f>AVERAGEIFS($D$2:D989, $B$2:B989, B989)</f>
        <v>0.625</v>
      </c>
    </row>
    <row r="990" spans="1:36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1</v>
      </c>
      <c r="AE990">
        <v>0</v>
      </c>
      <c r="AF990">
        <v>0</v>
      </c>
      <c r="AG990" s="86">
        <f>AVERAGEIFS($C$2:C990, $B$2:B990, B990)</f>
        <v>27.263157894736842</v>
      </c>
      <c r="AH990" s="86">
        <f>AVERAGEIFS($I$2:I990, $B$2:B990, B990)</f>
        <v>0.48289473684210532</v>
      </c>
      <c r="AI990" s="86">
        <f>AVERAGEIFS($J$2:J990, $B$2:B990, B990)</f>
        <v>0.4944736842105264</v>
      </c>
      <c r="AJ990" s="86">
        <f>AVERAGEIFS($D$2:D990, $B$2:B990, B990)</f>
        <v>0.5</v>
      </c>
    </row>
    <row r="991" spans="1:36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1</v>
      </c>
      <c r="AE991">
        <v>0</v>
      </c>
      <c r="AF991">
        <v>0</v>
      </c>
      <c r="AG991" s="86">
        <f>AVERAGEIFS($C$2:C991, $B$2:B991, B991)</f>
        <v>22.390243902439025</v>
      </c>
      <c r="AH991" s="86">
        <f>AVERAGEIFS($I$2:I991, $B$2:B991, B991)</f>
        <v>0.52756097560975601</v>
      </c>
      <c r="AI991" s="86">
        <f>AVERAGEIFS($J$2:J991, $B$2:B991, B991)</f>
        <v>0.53756097560975613</v>
      </c>
      <c r="AJ991" s="86">
        <f>AVERAGEIFS($D$2:D991, $B$2:B991, B991)</f>
        <v>0.51219512195121952</v>
      </c>
    </row>
    <row r="992" spans="1:36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</v>
      </c>
      <c r="AC992">
        <v>0</v>
      </c>
      <c r="AD992">
        <v>1</v>
      </c>
      <c r="AE992">
        <v>0</v>
      </c>
      <c r="AF992">
        <v>0</v>
      </c>
      <c r="AG992" s="86">
        <f>AVERAGEIFS($C$2:C992, $B$2:B992, B992)</f>
        <v>18.79032258064516</v>
      </c>
      <c r="AH992" s="86">
        <f>AVERAGEIFS($I$2:I992, $B$2:B992, B992)</f>
        <v>0.49032258064516115</v>
      </c>
      <c r="AI992" s="86">
        <f>AVERAGEIFS($J$2:J992, $B$2:B992, B992)</f>
        <v>0.48806451612903234</v>
      </c>
      <c r="AJ992" s="86">
        <f>AVERAGEIFS($D$2:D992, $B$2:B992, B992)</f>
        <v>0.43548387096774194</v>
      </c>
    </row>
    <row r="993" spans="1:36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1</v>
      </c>
      <c r="AE993">
        <v>0</v>
      </c>
      <c r="AF993">
        <v>0</v>
      </c>
      <c r="AG993" s="86">
        <f>AVERAGEIFS($C$2:C993, $B$2:B993, B993)</f>
        <v>18.533333333333335</v>
      </c>
      <c r="AH993" s="86">
        <f>AVERAGEIFS($I$2:I993, $B$2:B993, B993)</f>
        <v>0.44666666666666671</v>
      </c>
      <c r="AI993" s="86">
        <f>AVERAGEIFS($J$2:J993, $B$2:B993, B993)</f>
        <v>0.45333333333333314</v>
      </c>
      <c r="AJ993" s="86">
        <f>AVERAGEIFS($D$2:D993, $B$2:B993, B993)</f>
        <v>0.46666666666666667</v>
      </c>
    </row>
    <row r="994" spans="1:36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 s="86">
        <f>AVERAGEIFS($C$2:C994, $B$2:B994, B994)</f>
        <v>12.678571428571429</v>
      </c>
      <c r="AH994" s="86">
        <f>AVERAGEIFS($I$2:I994, $B$2:B994, B994)</f>
        <v>0.5446428571428571</v>
      </c>
      <c r="AI994" s="86">
        <f>AVERAGEIFS($J$2:J994, $B$2:B994, B994)</f>
        <v>0.53142857142857147</v>
      </c>
      <c r="AJ994" s="86">
        <f>AVERAGEIFS($D$2:D994, $B$2:B994, B994)</f>
        <v>0.5</v>
      </c>
    </row>
    <row r="995" spans="1:36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1</v>
      </c>
      <c r="AE995">
        <v>0</v>
      </c>
      <c r="AF995">
        <v>0</v>
      </c>
      <c r="AG995" s="86">
        <f>AVERAGEIFS($C$2:C995, $B$2:B995, B995)</f>
        <v>13.724137931034482</v>
      </c>
      <c r="AH995" s="86">
        <f>AVERAGEIFS($I$2:I995, $B$2:B995, B995)</f>
        <v>0.44413793103448274</v>
      </c>
      <c r="AI995" s="86">
        <f>AVERAGEIFS($J$2:J995, $B$2:B995, B995)</f>
        <v>0.46379310344827579</v>
      </c>
      <c r="AJ995" s="86">
        <f>AVERAGEIFS($D$2:D995, $B$2:B995, B995)</f>
        <v>0.41379310344827586</v>
      </c>
    </row>
    <row r="996" spans="1:36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1</v>
      </c>
      <c r="AE996">
        <v>0</v>
      </c>
      <c r="AF996">
        <v>0</v>
      </c>
      <c r="AG996" s="86">
        <f>AVERAGEIFS($C$2:C996, $B$2:B996, B996)</f>
        <v>14</v>
      </c>
      <c r="AH996" s="86">
        <f>AVERAGEIFS($I$2:I996, $B$2:B996, B996)</f>
        <v>0.48461538461538461</v>
      </c>
      <c r="AI996" s="86">
        <f>AVERAGEIFS($J$2:J996, $B$2:B996, B996)</f>
        <v>0.51153846153846161</v>
      </c>
      <c r="AJ996" s="86">
        <f>AVERAGEIFS($D$2:D996, $B$2:B996, B996)</f>
        <v>0.61538461538461542</v>
      </c>
    </row>
    <row r="997" spans="1:36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1</v>
      </c>
      <c r="AF997">
        <v>0</v>
      </c>
      <c r="AG997" s="86">
        <f>AVERAGEIFS($C$2:C997, $B$2:B997, B997)</f>
        <v>24.941176470588236</v>
      </c>
      <c r="AH997" s="86">
        <f>AVERAGEIFS($I$2:I997, $B$2:B997, B997)</f>
        <v>0.43970588235294117</v>
      </c>
      <c r="AI997" s="86">
        <f>AVERAGEIFS($J$2:J997, $B$2:B997, B997)</f>
        <v>0.46264705882352936</v>
      </c>
      <c r="AJ997" s="86">
        <f>AVERAGEIFS($D$2:D997, $B$2:B997, B997)</f>
        <v>0.35294117647058826</v>
      </c>
    </row>
    <row r="998" spans="1:36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1</v>
      </c>
      <c r="AF998">
        <v>0</v>
      </c>
      <c r="AG998" s="86">
        <f>AVERAGEIFS($C$2:C998, $B$2:B998, B998)</f>
        <v>22.323076923076922</v>
      </c>
      <c r="AH998" s="86">
        <f>AVERAGEIFS($I$2:I998, $B$2:B998, B998)</f>
        <v>0.53353846153846163</v>
      </c>
      <c r="AI998" s="86">
        <f>AVERAGEIFS($J$2:J998, $B$2:B998, B998)</f>
        <v>0.51984615384615385</v>
      </c>
      <c r="AJ998" s="86">
        <f>AVERAGEIFS($D$2:D998, $B$2:B998, B998)</f>
        <v>0.6</v>
      </c>
    </row>
    <row r="999" spans="1:36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 s="86">
        <f>AVERAGEIFS($C$2:C999, $B$2:B999, B999)</f>
        <v>14.75</v>
      </c>
      <c r="AH999" s="86">
        <f>AVERAGEIFS($I$2:I999, $B$2:B999, B999)</f>
        <v>0.49464285714285722</v>
      </c>
      <c r="AI999" s="86">
        <f>AVERAGEIFS($J$2:J999, $B$2:B999, B999)</f>
        <v>0.49392857142857149</v>
      </c>
      <c r="AJ999" s="86">
        <f>AVERAGEIFS($D$2:D999, $B$2:B999, B999)</f>
        <v>0.39285714285714285</v>
      </c>
    </row>
    <row r="1000" spans="1:36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 s="86">
        <f>AVERAGEIFS($C$2:C1000, $B$2:B1000, B1000)</f>
        <v>9</v>
      </c>
      <c r="AH1000" s="86">
        <f>AVERAGEIFS($I$2:I1000, $B$2:B1000, B1000)</f>
        <v>0.56874999999999998</v>
      </c>
      <c r="AI1000" s="86">
        <f>AVERAGEIFS($J$2:J1000, $B$2:B1000, B1000)</f>
        <v>0.51374999999999993</v>
      </c>
      <c r="AJ1000" s="86">
        <f>AVERAGEIFS($D$2:D1000, $B$2:B1000, B1000)</f>
        <v>0.5</v>
      </c>
    </row>
    <row r="1001" spans="1:36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 s="86">
        <f>AVERAGEIFS($C$2:C1001, $B$2:B1001, B1001)</f>
        <v>14.117647058823529</v>
      </c>
      <c r="AH1001" s="86">
        <f>AVERAGEIFS($I$2:I1001, $B$2:B1001, B1001)</f>
        <v>0.49705882352941172</v>
      </c>
      <c r="AI1001" s="86">
        <f>AVERAGEIFS($J$2:J1001, $B$2:B1001, B1001)</f>
        <v>0.49705882352941172</v>
      </c>
      <c r="AJ1001" s="86">
        <f>AVERAGEIFS($D$2:D1001, $B$2:B1001, B1001)</f>
        <v>0.41176470588235292</v>
      </c>
    </row>
    <row r="1002" spans="1:36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 s="86">
        <f>AVERAGEIFS($C$2:C1002, $B$2:B1002, B1002)</f>
        <v>19.710526315789473</v>
      </c>
      <c r="AH1002" s="86">
        <f>AVERAGEIFS($I$2:I1002, $B$2:B1002, B1002)</f>
        <v>0.53078947368421059</v>
      </c>
      <c r="AI1002" s="86">
        <f>AVERAGEIFS($J$2:J1002, $B$2:B1002, B1002)</f>
        <v>0.49421052631578949</v>
      </c>
      <c r="AJ1002" s="86">
        <f>AVERAGEIFS($D$2:D1002, $B$2:B1002, B1002)</f>
        <v>0.55263157894736847</v>
      </c>
    </row>
    <row r="1003" spans="1:36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 s="86">
        <f>AVERAGEIFS($C$2:C1003, $B$2:B1003, B1003)</f>
        <v>17.902439024390244</v>
      </c>
      <c r="AH1003" s="86">
        <f>AVERAGEIFS($I$2:I1003, $B$2:B1003, B1003)</f>
        <v>0.49951219512195133</v>
      </c>
      <c r="AI1003" s="86">
        <f>AVERAGEIFS($J$2:J1003, $B$2:B1003, B1003)</f>
        <v>0.5099999999999999</v>
      </c>
      <c r="AJ1003" s="86">
        <f>AVERAGEIFS($D$2:D1003, $B$2:B1003, B1003)</f>
        <v>0.48780487804878048</v>
      </c>
    </row>
    <row r="1004" spans="1:36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1</v>
      </c>
      <c r="AC1004">
        <v>0</v>
      </c>
      <c r="AD1004">
        <v>0</v>
      </c>
      <c r="AE1004">
        <v>0</v>
      </c>
      <c r="AF1004">
        <v>1</v>
      </c>
      <c r="AG1004" s="86">
        <f>AVERAGEIFS($C$2:C1004, $B$2:B1004, B1004)</f>
        <v>19.923076923076923</v>
      </c>
      <c r="AH1004" s="86">
        <f>AVERAGEIFS($I$2:I1004, $B$2:B1004, B1004)</f>
        <v>0.53641025641025641</v>
      </c>
      <c r="AI1004" s="86">
        <f>AVERAGEIFS($J$2:J1004, $B$2:B1004, B1004)</f>
        <v>0.49871794871794878</v>
      </c>
      <c r="AJ1004" s="86">
        <f>AVERAGEIFS($D$2:D1004, $B$2:B1004, B1004)</f>
        <v>0.5641025641025641</v>
      </c>
    </row>
    <row r="1005" spans="1:36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1</v>
      </c>
      <c r="AC1005">
        <v>0</v>
      </c>
      <c r="AD1005">
        <v>0</v>
      </c>
      <c r="AE1005">
        <v>0</v>
      </c>
      <c r="AF1005">
        <v>1</v>
      </c>
      <c r="AG1005" s="86">
        <f>AVERAGEIFS($C$2:C1005, $B$2:B1005, B1005)</f>
        <v>17.88095238095238</v>
      </c>
      <c r="AH1005" s="86">
        <f>AVERAGEIFS($I$2:I1005, $B$2:B1005, B1005)</f>
        <v>0.50547619047619052</v>
      </c>
      <c r="AI1005" s="86">
        <f>AVERAGEIFS($J$2:J1005, $B$2:B1005, B1005)</f>
        <v>0.51380952380952372</v>
      </c>
      <c r="AJ1005" s="86">
        <f>AVERAGEIFS($D$2:D1005, $B$2:B1005, B1005)</f>
        <v>0.5</v>
      </c>
    </row>
    <row r="1006" spans="1:36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1</v>
      </c>
      <c r="AC1006">
        <v>0</v>
      </c>
      <c r="AD1006">
        <v>0</v>
      </c>
      <c r="AE1006">
        <v>0</v>
      </c>
      <c r="AF1006">
        <v>1</v>
      </c>
      <c r="AG1006" s="86">
        <f>AVERAGEIFS($C$2:C1006, $B$2:B1006, B1006)</f>
        <v>23.706896551724139</v>
      </c>
      <c r="AH1006" s="86">
        <f>AVERAGEIFS($I$2:I1006, $B$2:B1006, B1006)</f>
        <v>0.53482758620689663</v>
      </c>
      <c r="AI1006" s="86">
        <f>AVERAGEIFS($J$2:J1006, $B$2:B1006, B1006)</f>
        <v>0.51344827586206887</v>
      </c>
      <c r="AJ1006" s="86">
        <f>AVERAGEIFS($D$2:D1006, $B$2:B1006, B1006)</f>
        <v>0.55172413793103448</v>
      </c>
    </row>
    <row r="1007" spans="1:36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1</v>
      </c>
      <c r="AC1007">
        <v>0</v>
      </c>
      <c r="AD1007">
        <v>0</v>
      </c>
      <c r="AE1007">
        <v>0</v>
      </c>
      <c r="AF1007">
        <v>1</v>
      </c>
      <c r="AG1007" s="86">
        <f>AVERAGEIFS($C$2:C1007, $B$2:B1007, B1007)</f>
        <v>19.741935483870968</v>
      </c>
      <c r="AH1007" s="86">
        <f>AVERAGEIFS($I$2:I1007, $B$2:B1007, B1007)</f>
        <v>0.61193548387096774</v>
      </c>
      <c r="AI1007" s="86">
        <f>AVERAGEIFS($J$2:J1007, $B$2:B1007, B1007)</f>
        <v>0.55322580645161312</v>
      </c>
      <c r="AJ1007" s="86">
        <f>AVERAGEIFS($D$2:D1007, $B$2:B1007, B1007)</f>
        <v>0.70967741935483875</v>
      </c>
    </row>
    <row r="1008" spans="1:36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1</v>
      </c>
      <c r="AC1008">
        <v>0</v>
      </c>
      <c r="AD1008">
        <v>0</v>
      </c>
      <c r="AE1008">
        <v>0</v>
      </c>
      <c r="AF1008">
        <v>1</v>
      </c>
      <c r="AG1008" s="86">
        <f>AVERAGEIFS($C$2:C1008, $B$2:B1008, B1008)</f>
        <v>9.4444444444444446</v>
      </c>
      <c r="AH1008" s="86">
        <f>AVERAGEIFS($I$2:I1008, $B$2:B1008, B1008)</f>
        <v>0.58888888888888891</v>
      </c>
      <c r="AI1008" s="86">
        <f>AVERAGEIFS($J$2:J1008, $B$2:B1008, B1008)</f>
        <v>0.53111111111111109</v>
      </c>
      <c r="AJ1008" s="86">
        <f>AVERAGEIFS($D$2:D1008, $B$2:B1008, B1008)</f>
        <v>0.55555555555555558</v>
      </c>
    </row>
    <row r="1009" spans="1:36" x14ac:dyDescent="0.25">
      <c r="A1009" s="85">
        <v>46146</v>
      </c>
      <c r="B1009" t="s">
        <v>180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1</v>
      </c>
      <c r="AC1009">
        <v>0</v>
      </c>
      <c r="AD1009">
        <v>0</v>
      </c>
      <c r="AE1009">
        <v>0</v>
      </c>
      <c r="AF1009">
        <v>1</v>
      </c>
      <c r="AG1009" s="86">
        <f>AVERAGEIFS($C$2:C1009, $B$2:B1009, B1009)</f>
        <v>11</v>
      </c>
      <c r="AH1009" s="86">
        <f>AVERAGEIFS($I$2:I1009, $B$2:B1009, B1009)</f>
        <v>0.75</v>
      </c>
      <c r="AI1009" s="86">
        <f>AVERAGEIFS($J$2:J1009, $B$2:B1009, B1009)</f>
        <v>0.67</v>
      </c>
      <c r="AJ1009" s="86">
        <f>AVERAGEIFS($D$2:D1009, $B$2:B1009, B1009)</f>
        <v>1</v>
      </c>
    </row>
    <row r="1010" spans="1:36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 s="86">
        <f>AVERAGEIFS($C$2:C1010, $B$2:B1010, B1010)</f>
        <v>14.071428571428571</v>
      </c>
      <c r="AH1010" s="86">
        <f>AVERAGEIFS($I$2:I1010, $B$2:B1010, B1010)</f>
        <v>0.46785714285714286</v>
      </c>
      <c r="AI1010" s="86">
        <f>AVERAGEIFS($J$2:J1010, $B$2:B1010, B1010)</f>
        <v>0.49857142857142867</v>
      </c>
      <c r="AJ1010" s="86">
        <f>AVERAGEIFS($D$2:D1010, $B$2:B1010, B1010)</f>
        <v>0.5714285714285714</v>
      </c>
    </row>
    <row r="1011" spans="1:36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 s="86">
        <f>AVERAGEIFS($C$2:C1011, $B$2:B1011, B1011)</f>
        <v>12.724137931034482</v>
      </c>
      <c r="AH1011" s="86">
        <f>AVERAGEIFS($I$2:I1011, $B$2:B1011, B1011)</f>
        <v>0.53448275862068961</v>
      </c>
      <c r="AI1011" s="86">
        <f>AVERAGEIFS($J$2:J1011, $B$2:B1011, B1011)</f>
        <v>0.52448275862068972</v>
      </c>
      <c r="AJ1011" s="86">
        <f>AVERAGEIFS($D$2:D1011, $B$2:B1011, B1011)</f>
        <v>0.48275862068965519</v>
      </c>
    </row>
    <row r="1012" spans="1:36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 s="86">
        <f>AVERAGEIFS($C$2:C1012, $B$2:B1012, B1012)</f>
        <v>17.263157894736842</v>
      </c>
      <c r="AH1012" s="86">
        <f>AVERAGEIFS($I$2:I1012, $B$2:B1012, B1012)</f>
        <v>0.62894736842105259</v>
      </c>
      <c r="AI1012" s="86">
        <f>AVERAGEIFS($J$2:J1012, $B$2:B1012, B1012)</f>
        <v>0.58105263157894749</v>
      </c>
      <c r="AJ1012" s="86">
        <f>AVERAGEIFS($D$2:D1012, $B$2:B1012, B1012)</f>
        <v>0.63157894736842102</v>
      </c>
    </row>
    <row r="1013" spans="1:36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 s="86">
        <f>AVERAGEIFS($C$2:C1013, $B$2:B1013, B1013)</f>
        <v>24.62857142857143</v>
      </c>
      <c r="AH1013" s="86">
        <f>AVERAGEIFS($I$2:I1013, $B$2:B1013, B1013)</f>
        <v>0.43428571428571427</v>
      </c>
      <c r="AI1013" s="86">
        <f>AVERAGEIFS($J$2:J1013, $B$2:B1013, B1013)</f>
        <v>0.4588571428571428</v>
      </c>
      <c r="AJ1013" s="86">
        <f>AVERAGEIFS($D$2:D1013, $B$2:B1013, B1013)</f>
        <v>0.34285714285714286</v>
      </c>
    </row>
    <row r="1014" spans="1:36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 s="86">
        <f>AVERAGEIFS($C$2:C1014, $B$2:B1014, B1014)</f>
        <v>18.347826086956523</v>
      </c>
      <c r="AH1014" s="86">
        <f>AVERAGEIFS($I$2:I1014, $B$2:B1014, B1014)</f>
        <v>0.44239130434782614</v>
      </c>
      <c r="AI1014" s="86">
        <f>AVERAGEIFS($J$2:J1014, $B$2:B1014, B1014)</f>
        <v>0.45065217391304324</v>
      </c>
      <c r="AJ1014" s="86">
        <f>AVERAGEIFS($D$2:D1014, $B$2:B1014, B1014)</f>
        <v>0.45652173913043476</v>
      </c>
    </row>
    <row r="1015" spans="1:36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 s="86">
        <f>AVERAGEIFS($C$2:C1015, $B$2:B1015, B1015)</f>
        <v>13</v>
      </c>
      <c r="AH1015" s="86">
        <f>AVERAGEIFS($I$2:I1015, $B$2:B1015, B1015)</f>
        <v>0.49000000000000005</v>
      </c>
      <c r="AI1015" s="86">
        <f>AVERAGEIFS($J$2:J1015, $B$2:B1015, B1015)</f>
        <v>0.5</v>
      </c>
      <c r="AJ1015" s="86">
        <f>AVERAGEIFS($D$2:D1015, $B$2:B1015, B1015)</f>
        <v>0.4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S2'!$AJ:$AJ)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S2'!$AH:$AH)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S2'!$AI:$AI)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S2'!$AJ:$AJ)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S2'!$AH:$AH)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S2'!$AI:$AI)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314</v>
      </c>
      <c r="G6" s="66">
        <f>AVERAGEIFS('BA History S2'!C:C,'BA History S2'!B:B,A6)</f>
        <v>17.444444444444443</v>
      </c>
      <c r="H6" s="35">
        <f t="array" ref="H6">MAX(IF('BA History S2'!B:B=A6, 'BA History S2'!C:C))</f>
        <v>40</v>
      </c>
      <c r="I6" s="34">
        <f>COUNTIFS('BA History S2'!B:B,A6,'BA History S2'!D:D, 1)</f>
        <v>8</v>
      </c>
      <c r="J6" s="2">
        <f>COUNTIFS('BA History S2'!B:B,A6,'BA History S2'!D:D, 0)</f>
        <v>10</v>
      </c>
      <c r="K6" s="75">
        <f>LOOKUP(2, 1/('BA History S2'!$B:$B=A6), 'BA History S2'!$AJ:$AJ)</f>
        <v>0.44444444444444442</v>
      </c>
      <c r="L6" s="34">
        <f>SUMIFS('BA History S2'!F:F,'BA History S2'!B:B,A6)</f>
        <v>32</v>
      </c>
      <c r="M6" s="2">
        <f>SUMIFS('BA History S2'!E:E,'BA History S2'!B:B,A6)-L6</f>
        <v>39</v>
      </c>
      <c r="N6" s="75">
        <f>LOOKUP(2, 1/('BA History S2'!$B:$B=A6), 'BA History S2'!$AH:$AH)</f>
        <v>0.43611111111111112</v>
      </c>
      <c r="O6" s="34">
        <f>SUMIFS('BA History S2'!H:H,'BA History S2'!B:B,A6)</f>
        <v>134</v>
      </c>
      <c r="P6" s="2">
        <f>SUMIFS('BA History S2'!G:G,'BA History S2'!B:B,A6)-O6</f>
        <v>158</v>
      </c>
      <c r="Q6" s="89">
        <f>LOOKUP(2, 1/('BA History S2'!$B:$B=A6), 'BA History S2'!$AI:$AI)</f>
        <v>0.44555555555555565</v>
      </c>
      <c r="R6" s="2">
        <f>COUNTIFS('BA History S2'!$B:$B,$A$6,'BA History S2'!K:K, 1)</f>
        <v>2</v>
      </c>
      <c r="S6" s="2">
        <f>COUNTIFS('BA History S2'!$B:$B,$A$6,'BA History S2'!L:L, 1)</f>
        <v>0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8</v>
      </c>
      <c r="AJ6" s="2">
        <f>COUNTIFS('BA History S2'!$B:$B,$A$6,'BA History S2'!AC:AC, 1)</f>
        <v>0</v>
      </c>
      <c r="AK6" s="2">
        <f>COUNTIFS('BA History S2'!$B:$B,$A$6,'BA History S2'!AD:AD, 1)</f>
        <v>3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27</v>
      </c>
      <c r="B8" s="2" t="s">
        <v>79</v>
      </c>
      <c r="C8" s="2"/>
      <c r="D8" s="2"/>
      <c r="E8" s="2"/>
      <c r="F8" s="34">
        <f>SUMIFS('BA History S2'!C:C,'BA History S2'!B:B,A8)</f>
        <v>21</v>
      </c>
      <c r="G8" s="66">
        <f>AVERAGEIFS('BA History S2'!C:C,'BA History S2'!B:B,A8)</f>
        <v>10.5</v>
      </c>
      <c r="H8" s="35">
        <f t="array" ref="H8">MAX(IF('BA History S2'!B:B=A8, 'BA History S2'!C:C))</f>
        <v>15</v>
      </c>
      <c r="I8" s="34">
        <f>COUNTIFS('BA History S2'!B:B,A8,'BA History S2'!D:D, 1)</f>
        <v>1</v>
      </c>
      <c r="J8" s="2">
        <f>COUNTIFS('BA History S2'!B:B,A8,'BA History S2'!D:D, 0)</f>
        <v>1</v>
      </c>
      <c r="K8" s="75">
        <f>LOOKUP(2, 1/('BA History S2'!$B:$B=A8), 'BA History S2'!$AJ:$AJ)</f>
        <v>0.5</v>
      </c>
      <c r="L8" s="34">
        <f>SUMIFS('BA History S2'!F:F,'BA History S2'!B:B,A8)</f>
        <v>5</v>
      </c>
      <c r="M8" s="2">
        <f>SUMIFS('BA History S2'!E:E,'BA History S2'!B:B,A8)-L8</f>
        <v>3</v>
      </c>
      <c r="N8" s="75">
        <f>LOOKUP(2, 1/('BA History S2'!$B:$B=A8), 'BA History S2'!$AH:$AH)</f>
        <v>0.7</v>
      </c>
      <c r="O8" s="34">
        <f>SUMIFS('BA History S2'!H:H,'BA History S2'!B:B,A8)</f>
        <v>20</v>
      </c>
      <c r="P8" s="2">
        <f>SUMIFS('BA History S2'!G:G,'BA History S2'!B:B,A8)-O8</f>
        <v>18</v>
      </c>
      <c r="Q8" s="89">
        <f>LOOKUP(2, 1/('BA History S2'!$B:$B=A8), 'BA History S2'!$AI:$AI)</f>
        <v>0.55000000000000004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0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1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1</v>
      </c>
    </row>
    <row r="9" spans="1:39" x14ac:dyDescent="0.25">
      <c r="A9" s="2" t="s">
        <v>152</v>
      </c>
      <c r="B9" s="2" t="s">
        <v>79</v>
      </c>
      <c r="C9" s="2"/>
      <c r="D9" s="2"/>
      <c r="E9" s="2"/>
      <c r="F9" s="34">
        <f>SUMIFS('BA History S2'!C:C,'BA History S2'!B:B,A9)</f>
        <v>53</v>
      </c>
      <c r="G9" s="66">
        <f>AVERAGEIFS('BA History S2'!C:C,'BA History S2'!B:B,A9)</f>
        <v>13.25</v>
      </c>
      <c r="H9" s="35">
        <f t="array" ref="H9">MAX(IF('BA History S2'!B:B=A9, 'BA History S2'!C:C))</f>
        <v>19</v>
      </c>
      <c r="I9" s="34">
        <f>COUNTIFS('BA History S2'!B:B,A9,'BA History S2'!D:D, 1)</f>
        <v>1</v>
      </c>
      <c r="J9" s="2">
        <f>COUNTIFS('BA History S2'!B:B,A9,'BA History S2'!D:D, 0)</f>
        <v>3</v>
      </c>
      <c r="K9" s="75">
        <f>LOOKUP(2, 1/('BA History S2'!$B:$B=A9), 'BA History S2'!$AJ:$AJ)</f>
        <v>0.25</v>
      </c>
      <c r="L9" s="34">
        <f>SUMIFS('BA History S2'!F:F,'BA History S2'!B:B,A9)</f>
        <v>7</v>
      </c>
      <c r="M9" s="2">
        <f>SUMIFS('BA History S2'!E:E,'BA History S2'!B:B,A9)-L9</f>
        <v>10</v>
      </c>
      <c r="N9" s="75">
        <f>LOOKUP(2, 1/('BA History S2'!$B:$B=A9), 'BA History S2'!$AH:$AH)</f>
        <v>0.41249999999999998</v>
      </c>
      <c r="O9" s="34">
        <f>SUMIFS('BA History S2'!H:H,'BA History S2'!B:B,A9)</f>
        <v>33</v>
      </c>
      <c r="P9" s="2">
        <f>SUMIFS('BA History S2'!G:G,'BA History S2'!B:B,A9)-O9</f>
        <v>41</v>
      </c>
      <c r="Q9" s="89">
        <f>LOOKUP(2, 1/('BA History S2'!$B:$B=A9), 'BA History S2'!$AI:$AI)</f>
        <v>0.44000000000000006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50</v>
      </c>
      <c r="B10" s="2" t="s">
        <v>79</v>
      </c>
      <c r="C10" s="2"/>
      <c r="D10" s="2">
        <v>1</v>
      </c>
      <c r="E10" s="2"/>
      <c r="F10" s="34">
        <f>SUMIFS('BA History S2'!C:C,'BA History S2'!B:B,A10)</f>
        <v>139</v>
      </c>
      <c r="G10" s="66">
        <f>AVERAGEIFS('BA History S2'!C:C,'BA History S2'!B:B,A10)</f>
        <v>15.444444444444445</v>
      </c>
      <c r="H10" s="35">
        <f t="array" ref="H10">MAX(IF('BA History S2'!B:B=A10, 'BA History S2'!C:C))</f>
        <v>22</v>
      </c>
      <c r="I10" s="34">
        <f>COUNTIFS('BA History S2'!B:B,A10,'BA History S2'!D:D, 1)</f>
        <v>3</v>
      </c>
      <c r="J10" s="2">
        <f>COUNTIFS('BA History S2'!B:B,A10,'BA History S2'!D:D, 0)</f>
        <v>6</v>
      </c>
      <c r="K10" s="75">
        <f>LOOKUP(2, 1/('BA History S2'!$B:$B=A10), 'BA History S2'!$AJ:$AJ)</f>
        <v>0.33333333333333331</v>
      </c>
      <c r="L10" s="34">
        <f>SUMIFS('BA History S2'!F:F,'BA History S2'!B:B,A10)</f>
        <v>15</v>
      </c>
      <c r="M10" s="2">
        <f>SUMIFS('BA History S2'!E:E,'BA History S2'!B:B,A10)-L10</f>
        <v>23</v>
      </c>
      <c r="N10" s="75">
        <f>LOOKUP(2, 1/('BA History S2'!$B:$B=A10), 'BA History S2'!$AH:$AH)</f>
        <v>0.37222222222222223</v>
      </c>
      <c r="O10" s="34">
        <f>SUMIFS('BA History S2'!H:H,'BA History S2'!B:B,A10)</f>
        <v>71</v>
      </c>
      <c r="P10" s="2">
        <f>SUMIFS('BA History S2'!G:G,'BA History S2'!B:B,A10)-O10</f>
        <v>87</v>
      </c>
      <c r="Q10" s="89">
        <f>LOOKUP(2, 1/('BA History S2'!$B:$B=A10), 'BA History S2'!$AI:$AI)</f>
        <v>0.43222222222222217</v>
      </c>
      <c r="R10" s="2">
        <f>COUNTIFS('BA History S2'!$B:$B,$A$10,'BA History S2'!K:K, 1)</f>
        <v>0</v>
      </c>
      <c r="S10" s="2">
        <f>COUNTIFS('BA History S2'!$B:$B,$A$10,'BA History S2'!L:L, 1)</f>
        <v>1</v>
      </c>
      <c r="T10" s="2">
        <f>COUNTIFS('BA History S2'!$B:$B,$A$10,'BA History S2'!M:M, 1)</f>
        <v>3</v>
      </c>
      <c r="U10" s="2">
        <f>COUNTIFS('BA History S2'!$B:$B,$A$10,'BA History S2'!N:N, 1)</f>
        <v>2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3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1</v>
      </c>
      <c r="AM10" s="2">
        <f>COUNTIFS('BA History S2'!$B:$B,$A$10,'BA History S2'!AF:AF, 1)</f>
        <v>1</v>
      </c>
    </row>
    <row r="11" spans="1:39" x14ac:dyDescent="0.25">
      <c r="A11" s="2" t="s">
        <v>52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</v>
      </c>
      <c r="G11" s="66">
        <f>AVERAGEIFS('BA History S2'!C:C,'BA History S2'!B:B,A11)</f>
        <v>13.5</v>
      </c>
      <c r="H11" s="35">
        <f t="array" ref="H11">MAX(IF('BA History S2'!B:B=A11, 'BA History S2'!C:C))</f>
        <v>17</v>
      </c>
      <c r="I11" s="34">
        <f>COUNTIFS('BA History S2'!B:B,A11,'BA History S2'!D:D, 1)</f>
        <v>0</v>
      </c>
      <c r="J11" s="2">
        <f>COUNTIFS('BA History S2'!B:B,A11,'BA History S2'!D:D, 0)</f>
        <v>2</v>
      </c>
      <c r="K11" s="75">
        <f>LOOKUP(2, 1/('BA History S2'!$B:$B=A11), 'BA History S2'!$AJ:$AJ)</f>
        <v>0</v>
      </c>
      <c r="L11" s="34">
        <f>SUMIFS('BA History S2'!F:F,'BA History S2'!B:B,A11)</f>
        <v>3</v>
      </c>
      <c r="M11" s="2">
        <f>SUMIFS('BA History S2'!E:E,'BA History S2'!B:B,A11)-L11</f>
        <v>6</v>
      </c>
      <c r="N11" s="75">
        <f>LOOKUP(2, 1/('BA History S2'!$B:$B=A11), 'BA History S2'!$AH:$AH)</f>
        <v>0.32500000000000001</v>
      </c>
      <c r="O11" s="34">
        <f>SUMIFS('BA History S2'!H:H,'BA History S2'!B:B,A11)</f>
        <v>17</v>
      </c>
      <c r="P11" s="2">
        <f>SUMIFS('BA History S2'!G:G,'BA History S2'!B:B,A11)-O11</f>
        <v>21</v>
      </c>
      <c r="Q11" s="89">
        <f>LOOKUP(2, 1/('BA History S2'!$B:$B=A11), 'BA History S2'!$AI:$AI)</f>
        <v>0.44499999999999995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44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284</v>
      </c>
      <c r="G12" s="66">
        <f>AVERAGEIFS('BA History S2'!C:C,'BA History S2'!B:B,A12)</f>
        <v>16.705882352941178</v>
      </c>
      <c r="H12" s="35">
        <f t="array" ref="H12">MAX(IF('BA History S2'!B:B=A12, 'BA History S2'!C:C))</f>
        <v>28</v>
      </c>
      <c r="I12" s="34">
        <f>COUNTIFS('BA History S2'!B:B,A12,'BA History S2'!D:D, 1)</f>
        <v>11</v>
      </c>
      <c r="J12" s="2">
        <f>COUNTIFS('BA History S2'!B:B,A12,'BA History S2'!D:D, 0)</f>
        <v>6</v>
      </c>
      <c r="K12" s="75">
        <f>LOOKUP(2, 1/('BA History S2'!$B:$B=A12), 'BA History S2'!$AJ:$AJ)</f>
        <v>0.6470588235294118</v>
      </c>
      <c r="L12" s="34">
        <f>SUMIFS('BA History S2'!F:F,'BA History S2'!B:B,A12)</f>
        <v>39</v>
      </c>
      <c r="M12" s="2">
        <f>SUMIFS('BA History S2'!E:E,'BA History S2'!B:B,A12)-L12</f>
        <v>30</v>
      </c>
      <c r="N12" s="75">
        <f>LOOKUP(2, 1/('BA History S2'!$B:$B=A12), 'BA History S2'!$AH:$AH)</f>
        <v>0.57647058823529407</v>
      </c>
      <c r="O12" s="34">
        <f>SUMIFS('BA History S2'!H:H,'BA History S2'!B:B,A12)</f>
        <v>155</v>
      </c>
      <c r="P12" s="2">
        <f>SUMIFS('BA History S2'!G:G,'BA History S2'!B:B,A12)-O12</f>
        <v>136</v>
      </c>
      <c r="Q12" s="89">
        <f>LOOKUP(2, 1/('BA History S2'!$B:$B=A12), 'BA History S2'!$AI:$AI)</f>
        <v>0.54941176470588238</v>
      </c>
      <c r="R12" s="2">
        <f>COUNTIFS('BA History S2'!$B:$B,$A$12,'BA History S2'!K:K, 1)</f>
        <v>1</v>
      </c>
      <c r="S12" s="2">
        <f>COUNTIFS('BA History S2'!$B:$B,$A$12,'BA History S2'!L:L, 1)</f>
        <v>1</v>
      </c>
      <c r="T12" s="2">
        <f>COUNTIFS('BA History S2'!$B:$B,$A$12,'BA History S2'!M:M, 1)</f>
        <v>6</v>
      </c>
      <c r="U12" s="2">
        <f>COUNTIFS('BA History S2'!$B:$B,$A$12,'BA History S2'!N:N, 1)</f>
        <v>5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1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2</v>
      </c>
      <c r="AG12" s="2">
        <f>COUNTIFS('BA History S2'!$B:$B,$A$12,'BA History S2'!Z:Z, 1)</f>
        <v>4</v>
      </c>
      <c r="AH12" s="2">
        <f>COUNTIFS('BA History S2'!$B:$B,$A$12,'BA History S2'!AA:AA, 1)</f>
        <v>1</v>
      </c>
      <c r="AI12" s="2">
        <f>COUNTIFS('BA History S2'!$B:$B,$A$12,'BA History S2'!AB:AB, 1)</f>
        <v>6</v>
      </c>
      <c r="AJ12" s="2">
        <f>COUNTIFS('BA History S2'!$B:$B,$A$12,'BA History S2'!AC:AC, 1)</f>
        <v>1</v>
      </c>
      <c r="AK12" s="2">
        <f>COUNTIFS('BA History S2'!$B:$B,$A$12,'BA History S2'!AD:AD, 1)</f>
        <v>2</v>
      </c>
      <c r="AL12" s="2">
        <f>COUNTIFS('BA History S2'!$B:$B,$A$12,'BA History S2'!AE:AE, 1)</f>
        <v>0</v>
      </c>
      <c r="AM12" s="2">
        <f>COUNTIFS('BA History S2'!$B:$B,$A$12,'BA History S2'!AF:AF, 1)</f>
        <v>5</v>
      </c>
    </row>
    <row r="13" spans="1:39" x14ac:dyDescent="0.25">
      <c r="A13" s="2" t="s">
        <v>168</v>
      </c>
      <c r="B13" s="2" t="s">
        <v>79</v>
      </c>
      <c r="C13" s="2"/>
      <c r="D13" s="2"/>
      <c r="E13" s="2"/>
      <c r="F13" s="34">
        <f>SUMIFS('BA History S2'!C:C,'BA History S2'!B:B,A13)</f>
        <v>20</v>
      </c>
      <c r="G13" s="66">
        <f>AVERAGEIFS('BA History S2'!C:C,'BA History S2'!B:B,A13)</f>
        <v>10</v>
      </c>
      <c r="H13" s="35">
        <f t="array" ref="H13">MAX(IF('BA History S2'!B:B=A13, 'BA History S2'!C:C))</f>
        <v>14</v>
      </c>
      <c r="I13" s="34">
        <f>COUNTIFS('BA History S2'!B:B,A13,'BA History S2'!D:D, 1)</f>
        <v>1</v>
      </c>
      <c r="J13" s="2">
        <f>COUNTIFS('BA History S2'!B:B,A13,'BA History S2'!D:D, 0)</f>
        <v>1</v>
      </c>
      <c r="K13" s="75">
        <f>LOOKUP(2, 1/('BA History S2'!$B:$B=A13), 'BA History S2'!$AJ:$AJ)</f>
        <v>0.5</v>
      </c>
      <c r="L13" s="34">
        <f>SUMIFS('BA History S2'!F:F,'BA History S2'!B:B,A13)</f>
        <v>4</v>
      </c>
      <c r="M13" s="2">
        <f>SUMIFS('BA History S2'!E:E,'BA History S2'!B:B,A13)-L13</f>
        <v>4</v>
      </c>
      <c r="N13" s="75">
        <f>LOOKUP(2, 1/('BA History S2'!$B:$B=A13), 'BA History S2'!$AH:$AH)</f>
        <v>0.5</v>
      </c>
      <c r="O13" s="34">
        <f>SUMIFS('BA History S2'!H:H,'BA History S2'!B:B,A13)</f>
        <v>17</v>
      </c>
      <c r="P13" s="2">
        <f>SUMIFS('BA History S2'!G:G,'BA History S2'!B:B,A13)-O13</f>
        <v>17</v>
      </c>
      <c r="Q13" s="89">
        <f>LOOKUP(2, 1/('BA History S2'!$B:$B=A13), 'BA History S2'!$AI:$AI)</f>
        <v>0.5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0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0</v>
      </c>
      <c r="AK13" s="2">
        <f>COUNTIFS('BA History S2'!$B:$B,$A$13,'BA History S2'!AD:AD, 1)</f>
        <v>0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x14ac:dyDescent="0.25">
      <c r="A14" s="2" t="s">
        <v>1</v>
      </c>
      <c r="B14" s="1" t="s">
        <v>158</v>
      </c>
      <c r="F14" s="34">
        <f>SUMIFS('BA History S2'!C:C,'BA History S2'!B:B,A14)</f>
        <v>408</v>
      </c>
      <c r="G14" s="66">
        <f>AVERAGEIFS('BA History S2'!C:C,'BA History S2'!B:B,A14)</f>
        <v>27.2</v>
      </c>
      <c r="H14" s="35">
        <f t="array" ref="H14">MAX(IF('BA History S2'!B:B=A14, 'BA History S2'!C:C))</f>
        <v>49</v>
      </c>
      <c r="I14" s="34">
        <f>COUNTIFS('BA History S2'!B:B,A14,'BA History S2'!D:D, 1)</f>
        <v>8</v>
      </c>
      <c r="J14" s="2">
        <f>COUNTIFS('BA History S2'!B:B,A14,'BA History S2'!D:D, 0)</f>
        <v>7</v>
      </c>
      <c r="K14" s="75">
        <f>LOOKUP(2, 1/('BA History S2'!$B:$B=A14), 'BA History S2'!$AJ:$AJ)</f>
        <v>0.53333333333333333</v>
      </c>
      <c r="L14" s="34">
        <f>SUMIFS('BA History S2'!F:F,'BA History S2'!B:B,A14)</f>
        <v>32</v>
      </c>
      <c r="M14" s="2">
        <f>SUMIFS('BA History S2'!E:E,'BA History S2'!B:B,A14)-L14</f>
        <v>28</v>
      </c>
      <c r="N14" s="75">
        <f>LOOKUP(2, 1/('BA History S2'!$B:$B=A14), 'BA History S2'!$AH:$AH)</f>
        <v>0.54333333333333333</v>
      </c>
      <c r="O14" s="34">
        <f>SUMIFS('BA History S2'!H:H,'BA History S2'!B:B,A14)</f>
        <v>130</v>
      </c>
      <c r="P14" s="2">
        <f>SUMIFS('BA History S2'!G:G,'BA History S2'!B:B,A14)-O14</f>
        <v>117</v>
      </c>
      <c r="Q14" s="89">
        <f>LOOKUP(2, 1/('BA History S2'!$B:$B=A14), 'BA History S2'!$AI:$AI)</f>
        <v>0.54666666666666663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2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3</v>
      </c>
      <c r="AH14" s="2">
        <f>COUNTIFS('BA History S2'!$B:$B,$A$14,'BA History S2'!AA:AA, 1)</f>
        <v>0</v>
      </c>
      <c r="AI14" s="2">
        <f>COUNTIFS('BA History S2'!$B:$B,$A$14,'BA History S2'!AB:AB, 1)</f>
        <v>3</v>
      </c>
      <c r="AJ14" s="2">
        <f>COUNTIFS('BA History S2'!$B:$B,$A$14,'BA History S2'!AC:AC, 1)</f>
        <v>1</v>
      </c>
      <c r="AK14" s="2">
        <f>COUNTIFS('BA History S2'!$B:$B,$A$14,'BA History S2'!AD:AD, 1)</f>
        <v>4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ht="15.75" x14ac:dyDescent="0.25">
      <c r="A15" s="2" t="s">
        <v>150</v>
      </c>
      <c r="B15" s="95" t="s">
        <v>79</v>
      </c>
      <c r="C15" s="95">
        <v>1</v>
      </c>
      <c r="D15" s="95"/>
      <c r="E15" s="95"/>
      <c r="F15" s="34">
        <f>SUMIFS('BA History S2'!C:C,'BA History S2'!B:B,A15)</f>
        <v>248</v>
      </c>
      <c r="G15" s="66">
        <f>AVERAGEIFS('BA History S2'!C:C,'BA History S2'!B:B,A15)</f>
        <v>19.076923076923077</v>
      </c>
      <c r="H15" s="35">
        <f t="array" ref="H15">MAX(IF('BA History S2'!B:B=A15, 'BA History S2'!C:C))</f>
        <v>30</v>
      </c>
      <c r="I15" s="34">
        <f>COUNTIFS('BA History S2'!B:B,A15,'BA History S2'!D:D, 1)</f>
        <v>10</v>
      </c>
      <c r="J15" s="2">
        <f>COUNTIFS('BA History S2'!B:B,A15,'BA History S2'!D:D, 0)</f>
        <v>3</v>
      </c>
      <c r="K15" s="75">
        <f>LOOKUP(2, 1/('BA History S2'!$B:$B=A15), 'BA History S2'!$AJ:$AJ)</f>
        <v>0.76923076923076927</v>
      </c>
      <c r="L15" s="34">
        <f>SUMIFS('BA History S2'!F:F,'BA History S2'!B:B,A15)</f>
        <v>34</v>
      </c>
      <c r="M15" s="2">
        <f>SUMIFS('BA History S2'!E:E,'BA History S2'!B:B,A15)-L15</f>
        <v>16</v>
      </c>
      <c r="N15" s="75">
        <f>LOOKUP(2, 1/('BA History S2'!$B:$B=A15), 'BA History S2'!$AH:$AH)</f>
        <v>0.7038461538461539</v>
      </c>
      <c r="O15" s="34">
        <f>SUMIFS('BA History S2'!H:H,'BA History S2'!B:B,A15)</f>
        <v>118</v>
      </c>
      <c r="P15" s="2">
        <f>SUMIFS('BA History S2'!G:G,'BA History S2'!B:B,A15)-O15</f>
        <v>81</v>
      </c>
      <c r="Q15" s="89">
        <f>LOOKUP(2, 1/('BA History S2'!$B:$B=A15), 'BA History S2'!$AI:$AI)</f>
        <v>0.61615384615384616</v>
      </c>
      <c r="R15" s="2">
        <f>COUNTIFS('BA History S2'!$B:$B,$A$15,'BA History S2'!K:K, 1)</f>
        <v>0</v>
      </c>
      <c r="S15" s="2">
        <f>COUNTIFS('BA History S2'!$B:$B,$A$15,'BA History S2'!L:L, 1)</f>
        <v>1</v>
      </c>
      <c r="T15" s="2">
        <f>COUNTIFS('BA History S2'!$B:$B,$A$15,'BA History S2'!M:M, 1)</f>
        <v>4</v>
      </c>
      <c r="U15" s="2">
        <f>COUNTIFS('BA History S2'!$B:$B,$A$15,'BA History S2'!N:N, 1)</f>
        <v>5</v>
      </c>
      <c r="V15" s="2">
        <f>COUNTIFS('BA History S2'!$B:$B,$A$15,'BA History S2'!O:O, 1)</f>
        <v>0</v>
      </c>
      <c r="W15" s="2">
        <f>COUNTIFS('BA History S2'!$B:$B,$A$15,'BA History S2'!P:P, 1)</f>
        <v>1</v>
      </c>
      <c r="X15" s="2">
        <f>COUNTIFS('BA History S2'!$B:$B,$A$15,'BA History S2'!Q:Q, 1)</f>
        <v>1</v>
      </c>
      <c r="Y15" s="2">
        <f>COUNTIFS('BA History S2'!$B:$B,$A$15,'BA History S2'!R:R, 1)</f>
        <v>0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1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2</v>
      </c>
      <c r="AG15" s="2">
        <f>COUNTIFS('BA History S2'!$B:$B,$A$15,'BA History S2'!Z:Z, 1)</f>
        <v>7</v>
      </c>
      <c r="AH15" s="2">
        <f>COUNTIFS('BA History S2'!$B:$B,$A$15,'BA History S2'!AA:AA, 1)</f>
        <v>0</v>
      </c>
      <c r="AI15" s="2">
        <f>COUNTIFS('BA History S2'!$B:$B,$A$15,'BA History S2'!AB:AB, 1)</f>
        <v>4</v>
      </c>
      <c r="AJ15" s="2">
        <f>COUNTIFS('BA History S2'!$B:$B,$A$15,'BA History S2'!AC:AC, 1)</f>
        <v>1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x14ac:dyDescent="0.25">
      <c r="A16" s="2" t="s">
        <v>46</v>
      </c>
      <c r="B16" s="1" t="s">
        <v>158</v>
      </c>
      <c r="F16" s="34">
        <f>SUMIFS('BA History S2'!C:C,'BA History S2'!B:B,A16)</f>
        <v>96</v>
      </c>
      <c r="G16" s="66">
        <f>AVERAGEIFS('BA History S2'!C:C,'BA History S2'!B:B,A16)</f>
        <v>16</v>
      </c>
      <c r="H16" s="35">
        <f t="array" ref="H16">MAX(IF('BA History S2'!B:B=A16, 'BA History S2'!C:C))</f>
        <v>34</v>
      </c>
      <c r="I16" s="34">
        <f>COUNTIFS('BA History S2'!B:B,A16,'BA History S2'!D:D, 1)</f>
        <v>1</v>
      </c>
      <c r="J16" s="2">
        <f>COUNTIFS('BA History S2'!B:B,A16,'BA History S2'!D:D, 0)</f>
        <v>5</v>
      </c>
      <c r="K16" s="75">
        <f>LOOKUP(2, 1/('BA History S2'!$B:$B=A16), 'BA History S2'!$AJ:$AJ)</f>
        <v>0.16666666666666666</v>
      </c>
      <c r="L16" s="34">
        <f>SUMIFS('BA History S2'!F:F,'BA History S2'!B:B,A16)</f>
        <v>8</v>
      </c>
      <c r="M16" s="2">
        <f>SUMIFS('BA History S2'!E:E,'BA History S2'!B:B,A16)-L16</f>
        <v>17</v>
      </c>
      <c r="N16" s="75">
        <f>LOOKUP(2, 1/('BA History S2'!$B:$B=A16), 'BA History S2'!$AH:$AH)</f>
        <v>0.27499999999999997</v>
      </c>
      <c r="O16" s="34">
        <f>SUMIFS('BA History S2'!H:H,'BA History S2'!B:B,A16)</f>
        <v>41</v>
      </c>
      <c r="P16" s="2">
        <f>SUMIFS('BA History S2'!G:G,'BA History S2'!B:B,A16)-O16</f>
        <v>62</v>
      </c>
      <c r="Q16" s="89">
        <f>LOOKUP(2, 1/('BA History S2'!$B:$B=A16), 'BA History S2'!$AI:$AI)</f>
        <v>0.35499999999999998</v>
      </c>
      <c r="R16" s="2">
        <f>COUNTIFS('BA History S2'!$B:$B,$A$16,'BA History S2'!K:K, 1)</f>
        <v>1</v>
      </c>
      <c r="S16" s="2">
        <f>COUNTIFS('BA History S2'!$B:$B,$A$16,'BA History S2'!L:L, 1)</f>
        <v>2</v>
      </c>
      <c r="T16" s="2">
        <f>COUNTIFS('BA History S2'!$B:$B,$A$16,'BA History S2'!M:M, 1)</f>
        <v>0</v>
      </c>
      <c r="U16" s="2">
        <f>COUNTIFS('BA History S2'!$B:$B,$A$16,'BA History S2'!N:N, 1)</f>
        <v>1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1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1</v>
      </c>
    </row>
    <row r="17" spans="1:39" x14ac:dyDescent="0.25">
      <c r="A17" s="2" t="s">
        <v>28</v>
      </c>
      <c r="B17" s="1" t="s">
        <v>79</v>
      </c>
      <c r="F17" s="34">
        <f>SUMIFS('BA History S2'!C:C,'BA History S2'!B:B,A17)</f>
        <v>26</v>
      </c>
      <c r="G17" s="66">
        <f>AVERAGEIFS('BA History S2'!C:C,'BA History S2'!B:B,A17)</f>
        <v>13</v>
      </c>
      <c r="H17" s="35">
        <f t="array" ref="H17">MAX(IF('BA History S2'!B:B=A17, 'BA History S2'!C:C))</f>
        <v>17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S2'!$AJ:$AJ)</f>
        <v>0.5</v>
      </c>
      <c r="L17" s="34">
        <f>SUMIFS('BA History S2'!F:F,'BA History S2'!B:B,A17)</f>
        <v>3</v>
      </c>
      <c r="M17" s="2">
        <f>SUMIFS('BA History S2'!E:E,'BA History S2'!B:B,A17)-L17</f>
        <v>4</v>
      </c>
      <c r="N17" s="75">
        <f>LOOKUP(2, 1/('BA History S2'!$B:$B=A17), 'BA History S2'!$AH:$AH)</f>
        <v>0.375</v>
      </c>
      <c r="O17" s="34">
        <f>SUMIFS('BA History S2'!H:H,'BA History S2'!B:B,A17)</f>
        <v>12</v>
      </c>
      <c r="P17" s="2">
        <f>SUMIFS('BA History S2'!G:G,'BA History S2'!B:B,A17)-O17</f>
        <v>15</v>
      </c>
      <c r="Q17" s="89">
        <f>LOOKUP(2, 1/('BA History S2'!$B:$B=A17), 'BA History S2'!$AI:$AI)</f>
        <v>0.375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0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0</v>
      </c>
      <c r="AK17" s="2">
        <f>COUNTIFS('BA History S2'!$B:$B,$A$17,'BA History S2'!AD:AD, 1)</f>
        <v>1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</row>
    <row r="18" spans="1:39" x14ac:dyDescent="0.25">
      <c r="A18" s="2" t="s">
        <v>53</v>
      </c>
      <c r="B18" s="2" t="s">
        <v>79</v>
      </c>
      <c r="C18" s="2">
        <v>1</v>
      </c>
      <c r="D18" s="2"/>
      <c r="E18" s="2"/>
      <c r="F18" s="34">
        <f>SUMIFS('BA History S2'!C:C,'BA History S2'!B:B,A18)</f>
        <v>172</v>
      </c>
      <c r="G18" s="66">
        <f>AVERAGEIFS('BA History S2'!C:C,'BA History S2'!B:B,A18)</f>
        <v>13.23076923076923</v>
      </c>
      <c r="H18" s="35">
        <f t="array" ref="H18">MAX(IF('BA History S2'!B:B=A18, 'BA History S2'!C:C))</f>
        <v>27</v>
      </c>
      <c r="I18" s="34">
        <f>COUNTIFS('BA History S2'!B:B,A18,'BA History S2'!D:D, 1)</f>
        <v>3</v>
      </c>
      <c r="J18" s="2">
        <f>COUNTIFS('BA History S2'!B:B,A18,'BA History S2'!D:D, 0)</f>
        <v>10</v>
      </c>
      <c r="K18" s="75">
        <f>LOOKUP(2, 1/('BA History S2'!$B:$B=A18), 'BA History S2'!$AJ:$AJ)</f>
        <v>0.23076923076923078</v>
      </c>
      <c r="L18" s="34">
        <f>SUMIFS('BA History S2'!F:F,'BA History S2'!B:B,A18)</f>
        <v>21</v>
      </c>
      <c r="M18" s="2">
        <f>SUMIFS('BA History S2'!E:E,'BA History S2'!B:B,A18)-L18</f>
        <v>30</v>
      </c>
      <c r="N18" s="75">
        <f>LOOKUP(2, 1/('BA History S2'!$B:$B=A18), 'BA History S2'!$AH:$AH)</f>
        <v>0.4384615384615384</v>
      </c>
      <c r="O18" s="34">
        <f>SUMIFS('BA History S2'!H:H,'BA History S2'!B:B,A18)</f>
        <v>98</v>
      </c>
      <c r="P18" s="2">
        <f>SUMIFS('BA History S2'!G:G,'BA History S2'!B:B,A18)-O18</f>
        <v>116</v>
      </c>
      <c r="Q18" s="89">
        <f>LOOKUP(2, 1/('BA History S2'!$B:$B=A18), 'BA History S2'!$AI:$AI)</f>
        <v>0.46461538461538454</v>
      </c>
      <c r="R18" s="2">
        <f>COUNTIFS('BA History S2'!$B:$B,$A$18,'BA History S2'!K:K, 1)</f>
        <v>1</v>
      </c>
      <c r="S18" s="2">
        <f>COUNTIFS('BA History S2'!$B:$B,$A$18,'BA History S2'!L:L, 1)</f>
        <v>3</v>
      </c>
      <c r="T18" s="2">
        <f>COUNTIFS('BA History S2'!$B:$B,$A$18,'BA History S2'!M:M, 1)</f>
        <v>0</v>
      </c>
      <c r="U18" s="2">
        <f>COUNTIFS('BA History S2'!$B:$B,$A$18,'BA History S2'!N:N, 1)</f>
        <v>3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3</v>
      </c>
      <c r="AH18" s="2">
        <f>COUNTIFS('BA History S2'!$B:$B,$A$18,'BA History S2'!AA:AA, 1)</f>
        <v>1</v>
      </c>
      <c r="AI18" s="2">
        <f>COUNTIFS('BA History S2'!$B:$B,$A$18,'BA History S2'!AB:AB, 1)</f>
        <v>3</v>
      </c>
      <c r="AJ18" s="2">
        <f>COUNTIFS('BA History S2'!$B:$B,$A$18,'BA History S2'!AC:AC, 1)</f>
        <v>2</v>
      </c>
      <c r="AK18" s="2">
        <f>COUNTIFS('BA History S2'!$B:$B,$A$18,'BA History S2'!AD:AD, 1)</f>
        <v>0</v>
      </c>
      <c r="AL18" s="2">
        <f>COUNTIFS('BA History S2'!$B:$B,$A$18,'BA History S2'!AE:AE, 1)</f>
        <v>1</v>
      </c>
      <c r="AM18" s="2">
        <f>COUNTIFS('BA History S2'!$B:$B,$A$18,'BA History S2'!AF:AF, 1)</f>
        <v>3</v>
      </c>
    </row>
    <row r="19" spans="1:39" x14ac:dyDescent="0.25">
      <c r="A19" s="2" t="s">
        <v>148</v>
      </c>
      <c r="B19" s="2" t="s">
        <v>79</v>
      </c>
      <c r="C19" s="2"/>
      <c r="D19" s="2"/>
      <c r="E19" s="2"/>
      <c r="F19" s="34">
        <f>SUMIFS('BA History S2'!C:C,'BA History S2'!B:B,A19)</f>
        <v>2</v>
      </c>
      <c r="G19" s="66">
        <f>AVERAGEIFS('BA History S2'!C:C,'BA History S2'!B:B,A19)</f>
        <v>2</v>
      </c>
      <c r="H19" s="35">
        <f t="array" ref="H19">MAX(IF('BA History S2'!B:B=A19, 'BA History S2'!C:C))</f>
        <v>2</v>
      </c>
      <c r="I19" s="34">
        <f>COUNTIFS('BA History S2'!B:B,A19,'BA History S2'!D:D, 1)</f>
        <v>1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3</v>
      </c>
      <c r="M19" s="2">
        <f>SUMIFS('BA History S2'!E:E,'BA History S2'!B:B,A19)-L19</f>
        <v>2</v>
      </c>
      <c r="N19" s="75">
        <f>LOOKUP(2, 1/('BA History S2'!$B:$B=A19), 'BA History S2'!$AH:$AH)</f>
        <v>0.6</v>
      </c>
      <c r="O19" s="34">
        <f>SUMIFS('BA History S2'!H:H,'BA History S2'!B:B,A19)</f>
        <v>10</v>
      </c>
      <c r="P19" s="2">
        <f>SUMIFS('BA History S2'!G:G,'BA History S2'!B:B,A19)-O19</f>
        <v>9</v>
      </c>
      <c r="Q19" s="89">
        <f>LOOKUP(2, 1/('BA History S2'!$B:$B=A19), 'BA History S2'!$AI:$AI)</f>
        <v>0.53</v>
      </c>
      <c r="R19" s="2">
        <f>COUNTIFS('BA History S2'!$B:$B,$A$19,'BA History S2'!K:K, 1)</f>
        <v>0</v>
      </c>
      <c r="S19" s="2">
        <f>COUNTIFS('BA History S2'!$B:$B,$A$19,'BA History S2'!L:L, 1)</f>
        <v>1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0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161</v>
      </c>
      <c r="B20" s="2" t="s">
        <v>79</v>
      </c>
      <c r="C20" s="2"/>
      <c r="D20" s="2"/>
      <c r="E20" s="2"/>
      <c r="F20" s="34">
        <f>SUMIFS('BA History S2'!C:C,'BA History S2'!B:B,A20)</f>
        <v>85</v>
      </c>
      <c r="G20" s="66">
        <f>AVERAGEIFS('BA History S2'!C:C,'BA History S2'!B:B,A20)</f>
        <v>9.4444444444444446</v>
      </c>
      <c r="H20" s="35">
        <f t="array" ref="H20">MAX(IF('BA History S2'!B:B=A20, 'BA History S2'!C:C))</f>
        <v>24</v>
      </c>
      <c r="I20" s="34">
        <f>COUNTIFS('BA History S2'!B:B,A20,'BA History S2'!D:D, 1)</f>
        <v>5</v>
      </c>
      <c r="J20" s="2">
        <f>COUNTIFS('BA History S2'!B:B,A20,'BA History S2'!D:D, 0)</f>
        <v>4</v>
      </c>
      <c r="K20" s="75">
        <f>LOOKUP(2, 1/('BA History S2'!$B:$B=A20), 'BA History S2'!$AJ:$AJ)</f>
        <v>0.55555555555555558</v>
      </c>
      <c r="L20" s="34">
        <f>SUMIFS('BA History S2'!F:F,'BA History S2'!B:B,A20)</f>
        <v>21</v>
      </c>
      <c r="M20" s="2">
        <f>SUMIFS('BA History S2'!E:E,'BA History S2'!B:B,A20)-L20</f>
        <v>16</v>
      </c>
      <c r="N20" s="75">
        <f>LOOKUP(2, 1/('BA History S2'!$B:$B=A20), 'BA History S2'!$AH:$AH)</f>
        <v>0.58888888888888891</v>
      </c>
      <c r="O20" s="34">
        <f>SUMIFS('BA History S2'!H:H,'BA History S2'!B:B,A20)</f>
        <v>81</v>
      </c>
      <c r="P20" s="2">
        <f>SUMIFS('BA History S2'!G:G,'BA History S2'!B:B,A20)-O20</f>
        <v>76</v>
      </c>
      <c r="Q20" s="89">
        <f>LOOKUP(2, 1/('BA History S2'!$B:$B=A20), 'BA History S2'!$AI:$AI)</f>
        <v>0.53111111111111109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1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S2'!$B:$B,$A$20,'BA History S2'!AA:AA, 1)</f>
        <v>0</v>
      </c>
      <c r="AI20" s="2">
        <f>COUNTIFS('BA History S2'!$B:$B,$A$20,'BA History S2'!AB:AB, 1)</f>
        <v>3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1</v>
      </c>
      <c r="AM20" s="2">
        <f>COUNTIFS('BA History S2'!$B:$B,$A$20,'BA History S2'!AF:AF, 1)</f>
        <v>2</v>
      </c>
    </row>
    <row r="21" spans="1:39" x14ac:dyDescent="0.25">
      <c r="A21" s="2" t="s">
        <v>13</v>
      </c>
      <c r="B21" s="2" t="s">
        <v>79</v>
      </c>
      <c r="C21" s="2"/>
      <c r="D21" s="2"/>
      <c r="E21" s="2"/>
      <c r="F21" s="34">
        <f>SUMIFS('BA History S2'!C:C,'BA History S2'!B:B,A21)</f>
        <v>94</v>
      </c>
      <c r="G21" s="66">
        <f>AVERAGEIFS('BA History S2'!C:C,'BA History S2'!B:B,A21)</f>
        <v>15.666666666666666</v>
      </c>
      <c r="H21" s="35">
        <f t="array" ref="H21">MAX(IF('BA History S2'!B:B=A21, 'BA History S2'!C:C))</f>
        <v>23</v>
      </c>
      <c r="I21" s="34">
        <f>COUNTIFS('BA History S2'!B:B,A21,'BA History S2'!D:D, 1)</f>
        <v>3</v>
      </c>
      <c r="J21" s="2">
        <f>COUNTIFS('BA History S2'!B:B,A21,'BA History S2'!D:D, 0)</f>
        <v>3</v>
      </c>
      <c r="K21" s="75">
        <f>LOOKUP(2, 1/('BA History S2'!$B:$B=A21), 'BA History S2'!$AJ:$AJ)</f>
        <v>0.5</v>
      </c>
      <c r="L21" s="34">
        <f>SUMIFS('BA History S2'!F:F,'BA History S2'!B:B,A21)</f>
        <v>11</v>
      </c>
      <c r="M21" s="2">
        <f>SUMIFS('BA History S2'!E:E,'BA History S2'!B:B,A21)-L21</f>
        <v>11</v>
      </c>
      <c r="N21" s="75">
        <f>LOOKUP(2, 1/('BA History S2'!$B:$B=A21), 'BA History S2'!$AH:$AH)</f>
        <v>0.5</v>
      </c>
      <c r="O21" s="34">
        <f>SUMIFS('BA History S2'!H:H,'BA History S2'!B:B,A21)</f>
        <v>45</v>
      </c>
      <c r="P21" s="2">
        <f>SUMIFS('BA History S2'!G:G,'BA History S2'!B:B,A21)-O21</f>
        <v>50</v>
      </c>
      <c r="Q21" s="89">
        <f>LOOKUP(2, 1/('BA History S2'!$B:$B=A21), 'BA History S2'!$AI:$AI)</f>
        <v>0.46333333333333332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0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1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1</v>
      </c>
      <c r="AM21" s="2">
        <f>COUNTIFS('BA History S2'!$B:$B,$A$21,'BA History S2'!AF:AF, 1)</f>
        <v>1</v>
      </c>
    </row>
    <row r="22" spans="1:39" x14ac:dyDescent="0.25">
      <c r="A22" s="2" t="s">
        <v>2</v>
      </c>
      <c r="B22" s="1" t="s">
        <v>158</v>
      </c>
      <c r="C22" s="1">
        <v>1</v>
      </c>
      <c r="F22" s="34">
        <f>SUMIFS('BA History S2'!C:C,'BA History S2'!B:B,A22)</f>
        <v>188</v>
      </c>
      <c r="G22" s="66">
        <f>AVERAGEIFS('BA History S2'!C:C,'BA History S2'!B:B,A22)</f>
        <v>17.09090909090909</v>
      </c>
      <c r="H22" s="35">
        <f t="array" ref="H22">MAX(IF('BA History S2'!B:B=A22, 'BA History S2'!C:C))</f>
        <v>33</v>
      </c>
      <c r="I22" s="34">
        <f>COUNTIFS('BA History S2'!B:B,A22,'BA History S2'!D:D, 1)</f>
        <v>4</v>
      </c>
      <c r="J22" s="2">
        <f>COUNTIFS('BA History S2'!B:B,A22,'BA History S2'!D:D, 0)</f>
        <v>7</v>
      </c>
      <c r="K22" s="75">
        <f>LOOKUP(2, 1/('BA History S2'!$B:$B=A22), 'BA History S2'!$AJ:$AJ)</f>
        <v>0.36363636363636365</v>
      </c>
      <c r="L22" s="34">
        <f>SUMIFS('BA History S2'!F:F,'BA History S2'!B:B,A22)</f>
        <v>19</v>
      </c>
      <c r="M22" s="2">
        <f>SUMIFS('BA History S2'!E:E,'BA History S2'!B:B,A22)-L22</f>
        <v>24</v>
      </c>
      <c r="N22" s="75">
        <f>LOOKUP(2, 1/('BA History S2'!$B:$B=A22), 'BA History S2'!$AH:$AH)</f>
        <v>0.43636363636363634</v>
      </c>
      <c r="O22" s="34">
        <f>SUMIFS('BA History S2'!H:H,'BA History S2'!B:B,A22)</f>
        <v>92</v>
      </c>
      <c r="P22" s="2">
        <f>SUMIFS('BA History S2'!G:G,'BA History S2'!B:B,A22)-O22</f>
        <v>91</v>
      </c>
      <c r="Q22" s="89">
        <f>LOOKUP(2, 1/('BA History S2'!$B:$B=A22), 'BA History S2'!$AI:$AI)</f>
        <v>0.49636363636363645</v>
      </c>
      <c r="R22" s="2">
        <f>COUNTIFS('BA History S2'!$B:$B,$A$22,'BA History S2'!K:K, 1)</f>
        <v>1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4</v>
      </c>
      <c r="AJ22" s="2">
        <f>COUNTIFS('BA History S2'!$B:$B,$A$22,'BA History S2'!AC:AC, 1)</f>
        <v>2</v>
      </c>
      <c r="AK22" s="2">
        <f>COUNTIFS('BA History S2'!$B:$B,$A$22,'BA History S2'!AD:AD, 1)</f>
        <v>3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54</v>
      </c>
      <c r="B23" s="2" t="s">
        <v>79</v>
      </c>
      <c r="C23" s="2">
        <v>3</v>
      </c>
      <c r="D23" s="2">
        <v>1</v>
      </c>
      <c r="E23" s="2"/>
      <c r="F23" s="34">
        <f>SUMIFS('BA History S2'!C:C,'BA History S2'!B:B,A23)</f>
        <v>242</v>
      </c>
      <c r="G23" s="66">
        <f>AVERAGEIFS('BA History S2'!C:C,'BA History S2'!B:B,A23)</f>
        <v>22</v>
      </c>
      <c r="H23" s="35">
        <f t="array" ref="H23">MAX(IF('BA History S2'!B:B=A23, 'BA History S2'!C:C))</f>
        <v>47</v>
      </c>
      <c r="I23" s="34">
        <f>COUNTIFS('BA History S2'!B:B,A23,'BA History S2'!D:D, 1)</f>
        <v>6</v>
      </c>
      <c r="J23" s="2">
        <f>COUNTIFS('BA History S2'!B:B,A23,'BA History S2'!D:D, 0)</f>
        <v>5</v>
      </c>
      <c r="K23" s="75">
        <f>LOOKUP(2, 1/('BA History S2'!$B:$B=A23), 'BA History S2'!$AJ:$AJ)</f>
        <v>0.54545454545454541</v>
      </c>
      <c r="L23" s="34">
        <f>SUMIFS('BA History S2'!F:F,'BA History S2'!B:B,A23)</f>
        <v>22</v>
      </c>
      <c r="M23" s="2">
        <f>SUMIFS('BA History S2'!E:E,'BA History S2'!B:B,A23)-L23</f>
        <v>19</v>
      </c>
      <c r="N23" s="75">
        <f>LOOKUP(2, 1/('BA History S2'!$B:$B=A23), 'BA History S2'!$AH:$AH)</f>
        <v>0.54545454545454541</v>
      </c>
      <c r="O23" s="34">
        <f>SUMIFS('BA History S2'!H:H,'BA History S2'!B:B,A23)</f>
        <v>87</v>
      </c>
      <c r="P23" s="2">
        <f>SUMIFS('BA History S2'!G:G,'BA History S2'!B:B,A23)-O23</f>
        <v>80</v>
      </c>
      <c r="Q23" s="89">
        <f>LOOKUP(2, 1/('BA History S2'!$B:$B=A23), 'BA History S2'!$AI:$AI)</f>
        <v>0.52454545454545454</v>
      </c>
      <c r="R23" s="2">
        <f>COUNTIFS('BA History S2'!$B:$B,$A$23,'BA History S2'!K:K, 1)</f>
        <v>0</v>
      </c>
      <c r="S23" s="2">
        <f>COUNTIFS('BA History S2'!$B:$B,$A$23,'BA History S2'!L:L, 1)</f>
        <v>3</v>
      </c>
      <c r="T23" s="2">
        <f>COUNTIFS('BA History S2'!$B:$B,$A$23,'BA History S2'!M:M, 1)</f>
        <v>2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2</v>
      </c>
      <c r="AJ23" s="2">
        <f>COUNTIFS('BA History S2'!$B:$B,$A$23,'BA History S2'!AC:AC, 1)</f>
        <v>2</v>
      </c>
      <c r="AK23" s="2">
        <f>COUNTIFS('BA History S2'!$B:$B,$A$23,'BA History S2'!AD:AD, 1)</f>
        <v>1</v>
      </c>
      <c r="AL23" s="2">
        <f>COUNTIFS('BA History S2'!$B:$B,$A$23,'BA History S2'!AE:AE, 1)</f>
        <v>0</v>
      </c>
      <c r="AM23" s="2">
        <f>COUNTIFS('BA History S2'!$B:$B,$A$23,'BA History S2'!AF:AF, 1)</f>
        <v>3</v>
      </c>
    </row>
    <row r="24" spans="1:39" x14ac:dyDescent="0.25">
      <c r="A24" s="2" t="s">
        <v>5</v>
      </c>
      <c r="B24" s="1" t="s">
        <v>158</v>
      </c>
      <c r="C24" s="1">
        <v>1</v>
      </c>
      <c r="D24" s="1">
        <v>1</v>
      </c>
      <c r="F24" s="34">
        <f>SUMIFS('BA History S2'!C:C,'BA History S2'!B:B,A24)</f>
        <v>275</v>
      </c>
      <c r="G24" s="66">
        <f>AVERAGEIFS('BA History S2'!C:C,'BA History S2'!B:B,A24)</f>
        <v>18.333333333333332</v>
      </c>
      <c r="H24" s="35">
        <f t="array" ref="H24">MAX(IF('BA History S2'!B:B=A24, 'BA History S2'!C:C))</f>
        <v>37</v>
      </c>
      <c r="I24" s="34">
        <f>COUNTIFS('BA History S2'!B:B,A24,'BA History S2'!D:D, 1)</f>
        <v>9</v>
      </c>
      <c r="J24" s="2">
        <f>COUNTIFS('BA History S2'!B:B,A24,'BA History S2'!D:D, 0)</f>
        <v>6</v>
      </c>
      <c r="K24" s="75">
        <f>LOOKUP(2, 1/('BA History S2'!$B:$B=A24), 'BA History S2'!$AJ:$AJ)</f>
        <v>0.6</v>
      </c>
      <c r="L24" s="34">
        <f>SUMIFS('BA History S2'!F:F,'BA History S2'!B:B,A24)</f>
        <v>34</v>
      </c>
      <c r="M24" s="2">
        <f>SUMIFS('BA History S2'!E:E,'BA History S2'!B:B,A24)-L24</f>
        <v>28</v>
      </c>
      <c r="N24" s="75">
        <f>LOOKUP(2, 1/('BA History S2'!$B:$B=A24), 'BA History S2'!$AH:$AH)</f>
        <v>0.55666666666666675</v>
      </c>
      <c r="O24" s="34">
        <f>SUMIFS('BA History S2'!H:H,'BA History S2'!B:B,A24)</f>
        <v>133</v>
      </c>
      <c r="P24" s="2">
        <f>SUMIFS('BA History S2'!G:G,'BA History S2'!B:B,A24)-O24</f>
        <v>123</v>
      </c>
      <c r="Q24" s="89">
        <f>LOOKUP(2, 1/('BA History S2'!$B:$B=A24), 'BA History S2'!$AI:$AI)</f>
        <v>0.52533333333333332</v>
      </c>
      <c r="R24" s="2">
        <f>COUNTIFS('BA History S2'!$B:$B,$A$24,'BA History S2'!K:K, 1)</f>
        <v>1</v>
      </c>
      <c r="S24" s="2">
        <f>COUNTIFS('BA History S2'!$B:$B,$A$24,'BA History S2'!L:L, 1)</f>
        <v>4</v>
      </c>
      <c r="T24" s="2">
        <f>COUNTIFS('BA History S2'!$B:$B,$A$24,'BA History S2'!M:M, 1)</f>
        <v>5</v>
      </c>
      <c r="U24" s="2">
        <f>COUNTIFS('BA History S2'!$B:$B,$A$24,'BA History S2'!N:N, 1)</f>
        <v>5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4</v>
      </c>
      <c r="AH24" s="2">
        <f>COUNTIFS('BA History S2'!$B:$B,$A$24,'BA History S2'!AA:AA, 1)</f>
        <v>1</v>
      </c>
      <c r="AI24" s="2">
        <f>COUNTIFS('BA History S2'!$B:$B,$A$24,'BA History S2'!AB:AB, 1)</f>
        <v>7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141</v>
      </c>
      <c r="B25" s="2" t="s">
        <v>79</v>
      </c>
      <c r="C25" s="2"/>
      <c r="D25" s="2"/>
      <c r="E25" s="2"/>
      <c r="F25" s="34">
        <f>SUMIFS('BA History S2'!C:C,'BA History S2'!B:B,A25)</f>
        <v>115</v>
      </c>
      <c r="G25" s="66">
        <f>AVERAGEIFS('BA History S2'!C:C,'BA History S2'!B:B,A25)</f>
        <v>14.375</v>
      </c>
      <c r="H25" s="35">
        <f t="array" ref="H25">MAX(IF('BA History S2'!B:B=A25, 'BA History S2'!C:C))</f>
        <v>20</v>
      </c>
      <c r="I25" s="34">
        <f>COUNTIFS('BA History S2'!B:B,A25,'BA History S2'!D:D, 1)</f>
        <v>5</v>
      </c>
      <c r="J25" s="2">
        <f>COUNTIFS('BA History S2'!B:B,A25,'BA History S2'!D:D, 0)</f>
        <v>3</v>
      </c>
      <c r="K25" s="75">
        <f>LOOKUP(2, 1/('BA History S2'!$B:$B=A25), 'BA History S2'!$AJ:$AJ)</f>
        <v>0.625</v>
      </c>
      <c r="L25" s="34">
        <f>SUMIFS('BA History S2'!F:F,'BA History S2'!B:B,A25)</f>
        <v>17</v>
      </c>
      <c r="M25" s="2">
        <f>SUMIFS('BA History S2'!E:E,'BA History S2'!B:B,A25)-L25</f>
        <v>16</v>
      </c>
      <c r="N25" s="75">
        <f>LOOKUP(2, 1/('BA History S2'!$B:$B=A25), 'BA History S2'!$AH:$AH)</f>
        <v>0.49375000000000002</v>
      </c>
      <c r="O25" s="34">
        <f>SUMIFS('BA History S2'!H:H,'BA History S2'!B:B,A25)</f>
        <v>69</v>
      </c>
      <c r="P25" s="2">
        <f>SUMIFS('BA History S2'!G:G,'BA History S2'!B:B,A25)-O25</f>
        <v>67</v>
      </c>
      <c r="Q25" s="89">
        <f>LOOKUP(2, 1/('BA History S2'!$B:$B=A25), 'BA History S2'!$AI:$AI)</f>
        <v>0.49624999999999997</v>
      </c>
      <c r="R25" s="2">
        <f>COUNTIFS('BA History S2'!$B:$B,$A$25,'BA History S2'!K:K, 1)</f>
        <v>1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1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S2'!$B:$B,$A$25,'BA History S2'!AA:AA, 1)</f>
        <v>0</v>
      </c>
      <c r="AI25" s="2">
        <f>COUNTIFS('BA History S2'!$B:$B,$A$25,'BA History S2'!AB:AB, 1)</f>
        <v>3</v>
      </c>
      <c r="AJ25" s="2">
        <f>COUNTIFS('BA History S2'!$B:$B,$A$25,'BA History S2'!AC:AC, 1)</f>
        <v>1</v>
      </c>
      <c r="AK25" s="2">
        <f>COUNTIFS('BA History S2'!$B:$B,$A$25,'BA History S2'!AD:AD, 1)</f>
        <v>3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40</v>
      </c>
      <c r="B26" s="2" t="s">
        <v>79</v>
      </c>
      <c r="C26" s="2"/>
      <c r="D26" s="2"/>
      <c r="E26" s="2"/>
      <c r="F26" s="34">
        <f>SUMIFS('BA History S2'!C:C,'BA History S2'!B:B,A26)</f>
        <v>351</v>
      </c>
      <c r="G26" s="66">
        <f>AVERAGEIFS('BA History S2'!C:C,'BA History S2'!B:B,A26)</f>
        <v>20.647058823529413</v>
      </c>
      <c r="H26" s="35">
        <f t="array" ref="H26">MAX(IF('BA History S2'!B:B=A26, 'BA History S2'!C:C))</f>
        <v>37</v>
      </c>
      <c r="I26" s="34">
        <f>COUNTIFS('BA History S2'!B:B,A26,'BA History S2'!D:D, 1)</f>
        <v>8</v>
      </c>
      <c r="J26" s="2">
        <f>COUNTIFS('BA History S2'!B:B,A26,'BA History S2'!D:D, 0)</f>
        <v>9</v>
      </c>
      <c r="K26" s="75">
        <f>LOOKUP(2, 1/('BA History S2'!$B:$B=A26), 'BA History S2'!$AJ:$AJ)</f>
        <v>0.47058823529411764</v>
      </c>
      <c r="L26" s="34">
        <f>SUMIFS('BA History S2'!F:F,'BA History S2'!B:B,A26)</f>
        <v>35</v>
      </c>
      <c r="M26" s="2">
        <f>SUMIFS('BA History S2'!E:E,'BA History S2'!B:B,A26)-L26</f>
        <v>36</v>
      </c>
      <c r="N26" s="75">
        <f>LOOKUP(2, 1/('BA History S2'!$B:$B=A26), 'BA History S2'!$AH:$AH)</f>
        <v>0.49411764705882355</v>
      </c>
      <c r="O26" s="34">
        <f>SUMIFS('BA History S2'!H:H,'BA History S2'!B:B,A26)</f>
        <v>151</v>
      </c>
      <c r="P26" s="2">
        <f>SUMIFS('BA History S2'!G:G,'BA History S2'!B:B,A26)-O26</f>
        <v>147</v>
      </c>
      <c r="Q26" s="89">
        <f>LOOKUP(2, 1/('BA History S2'!$B:$B=A26), 'BA History S2'!$AI:$AI)</f>
        <v>0.50294117647058822</v>
      </c>
      <c r="R26" s="2">
        <f>COUNTIFS('BA History S2'!$B:$B,$A$26,'BA History S2'!K:K, 1)</f>
        <v>0</v>
      </c>
      <c r="S26" s="2">
        <f>COUNTIFS('BA History S2'!$B:$B,$A$26,'BA History S2'!L:L, 1)</f>
        <v>4</v>
      </c>
      <c r="T26" s="2">
        <f>COUNTIFS('BA History S2'!$B:$B,$A$26,'BA History S2'!M:M, 1)</f>
        <v>4</v>
      </c>
      <c r="U26" s="2">
        <f>COUNTIFS('BA History S2'!$B:$B,$A$26,'BA History S2'!N:N, 1)</f>
        <v>4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5</v>
      </c>
      <c r="AH26" s="2">
        <f>COUNTIFS('BA History S2'!$B:$B,$A$26,'BA History S2'!AA:AA, 1)</f>
        <v>0</v>
      </c>
      <c r="AI26" s="2">
        <f>COUNTIFS('BA History S2'!$B:$B,$A$26,'BA History S2'!AB:AB, 1)</f>
        <v>3</v>
      </c>
      <c r="AJ26" s="2">
        <f>COUNTIFS('BA History S2'!$B:$B,$A$26,'BA History S2'!AC:AC, 1)</f>
        <v>3</v>
      </c>
      <c r="AK26" s="2">
        <f>COUNTIFS('BA History S2'!$B:$B,$A$26,'BA History S2'!AD:AD, 1)</f>
        <v>3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166</v>
      </c>
      <c r="B27" s="2" t="s">
        <v>79</v>
      </c>
      <c r="C27" s="2">
        <v>1</v>
      </c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10</v>
      </c>
      <c r="H27" s="35">
        <f t="array" ref="H27">MAX(IF('BA History S2'!B:B=A27, 'BA History S2'!C:C))</f>
        <v>21</v>
      </c>
      <c r="I27" s="34">
        <f>COUNTIFS('BA History S2'!B:B,A27,'BA History S2'!D:D, 1)</f>
        <v>3</v>
      </c>
      <c r="J27" s="2">
        <f>COUNTIFS('BA History S2'!B:B,A27,'BA History S2'!D:D, 0)</f>
        <v>1</v>
      </c>
      <c r="K27" s="75">
        <f>LOOKUP(2, 1/('BA History S2'!$B:$B=A27), 'BA History S2'!$AJ:$AJ)</f>
        <v>0.75</v>
      </c>
      <c r="L27" s="34">
        <f>SUMIFS('BA History S2'!F:F,'BA History S2'!B:B,A27)</f>
        <v>9</v>
      </c>
      <c r="M27" s="2">
        <f>SUMIFS('BA History S2'!E:E,'BA History S2'!B:B,A27)-L27</f>
        <v>8</v>
      </c>
      <c r="N27" s="75">
        <f>LOOKUP(2, 1/('BA History S2'!$B:$B=A27), 'BA History S2'!$AH:$AH)</f>
        <v>0.48750000000000004</v>
      </c>
      <c r="O27" s="34">
        <f>SUMIFS('BA History S2'!H:H,'BA History S2'!B:B,A27)</f>
        <v>38</v>
      </c>
      <c r="P27" s="2">
        <f>SUMIFS('BA History S2'!G:G,'BA History S2'!B:B,A27)-O27</f>
        <v>35</v>
      </c>
      <c r="Q27" s="89">
        <f>LOOKUP(2, 1/('BA History S2'!$B:$B=A27), 'BA History S2'!$AI:$AI)</f>
        <v>0.49249999999999999</v>
      </c>
      <c r="R27" s="2">
        <f>COUNTIFS('BA History S2'!$B:$B,$A$27,'BA History S2'!K:K, 1)</f>
        <v>1</v>
      </c>
      <c r="S27" s="2">
        <f>COUNTIFS('BA History S2'!$B:$B,$A$27,'BA History S2'!L:L, 1)</f>
        <v>0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1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147</v>
      </c>
      <c r="B28" s="2" t="s">
        <v>79</v>
      </c>
      <c r="C28" s="2"/>
      <c r="D28" s="2"/>
      <c r="E28" s="2"/>
      <c r="F28" s="34">
        <f>SUMIFS('BA History S2'!C:C,'BA History S2'!B:B,A28)</f>
        <v>175</v>
      </c>
      <c r="G28" s="66">
        <f>AVERAGEIFS('BA History S2'!C:C,'BA History S2'!B:B,A28)</f>
        <v>14.583333333333334</v>
      </c>
      <c r="H28" s="35">
        <f t="array" ref="H28">MAX(IF('BA History S2'!B:B=A28, 'BA History S2'!C:C))</f>
        <v>26</v>
      </c>
      <c r="I28" s="34">
        <f>COUNTIFS('BA History S2'!B:B,A28,'BA History S2'!D:D, 1)</f>
        <v>4</v>
      </c>
      <c r="J28" s="2">
        <f>COUNTIFS('BA History S2'!B:B,A28,'BA History S2'!D:D, 0)</f>
        <v>8</v>
      </c>
      <c r="K28" s="75">
        <f>LOOKUP(2, 1/('BA History S2'!$B:$B=A28), 'BA History S2'!$AJ:$AJ)</f>
        <v>0.33333333333333331</v>
      </c>
      <c r="L28" s="34">
        <f>SUMIFS('BA History S2'!F:F,'BA History S2'!B:B,A28)</f>
        <v>23</v>
      </c>
      <c r="M28" s="2">
        <f>SUMIFS('BA History S2'!E:E,'BA History S2'!B:B,A28)-L28</f>
        <v>28</v>
      </c>
      <c r="N28" s="75">
        <f>LOOKUP(2, 1/('BA History S2'!$B:$B=A28), 'BA History S2'!$AH:$AH)</f>
        <v>0.46249999999999997</v>
      </c>
      <c r="O28" s="34">
        <f>SUMIFS('BA History S2'!H:H,'BA History S2'!B:B,A28)</f>
        <v>107</v>
      </c>
      <c r="P28" s="2">
        <f>SUMIFS('BA History S2'!G:G,'BA History S2'!B:B,A28)-O28</f>
        <v>107</v>
      </c>
      <c r="Q28" s="89">
        <f>LOOKUP(2, 1/('BA History S2'!$B:$B=A28), 'BA History S2'!$AI:$AI)</f>
        <v>0.51083333333333336</v>
      </c>
      <c r="R28" s="2">
        <f>COUNTIFS('BA History S2'!$B:$B,$A$28,'BA History S2'!K:K, 1)</f>
        <v>1</v>
      </c>
      <c r="S28" s="2">
        <f>COUNTIFS('BA History S2'!$B:$B,$A$28,'BA History S2'!L:L, 1)</f>
        <v>2</v>
      </c>
      <c r="T28" s="2">
        <f>COUNTIFS('BA History S2'!$B:$B,$A$28,'BA History S2'!M:M, 1)</f>
        <v>1</v>
      </c>
      <c r="U28" s="2">
        <f>COUNTIFS('BA History S2'!$B:$B,$A$28,'BA History S2'!N:N, 1)</f>
        <v>3</v>
      </c>
      <c r="V28" s="2">
        <f>COUNTIFS('BA History S2'!$B:$B,$A$28,'BA History S2'!O:O, 1)</f>
        <v>1</v>
      </c>
      <c r="W28" s="2">
        <f>COUNTIFS('BA History S2'!$B:$B,$A$28,'BA History S2'!P:P, 1)</f>
        <v>1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4</v>
      </c>
      <c r="AJ28" s="2">
        <f>COUNTIFS('BA History S2'!$B:$B,$A$28,'BA History S2'!AC:AC, 1)</f>
        <v>0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2</v>
      </c>
    </row>
    <row r="29" spans="1:39" x14ac:dyDescent="0.25">
      <c r="A29" s="2" t="s">
        <v>17</v>
      </c>
      <c r="B29" s="2" t="s">
        <v>79</v>
      </c>
      <c r="C29" s="2">
        <v>1</v>
      </c>
      <c r="D29" s="2">
        <v>1</v>
      </c>
      <c r="E29" s="2"/>
      <c r="F29" s="34">
        <f>SUMIFS('BA History S2'!C:C,'BA History S2'!B:B,A29)</f>
        <v>238</v>
      </c>
      <c r="G29" s="66">
        <f>AVERAGEIFS('BA History S2'!C:C,'BA History S2'!B:B,A29)</f>
        <v>18.307692307692307</v>
      </c>
      <c r="H29" s="35">
        <f t="array" ref="H29">MAX(IF('BA History S2'!B:B=A29, 'BA History S2'!C:C))</f>
        <v>28</v>
      </c>
      <c r="I29" s="34">
        <f>COUNTIFS('BA History S2'!B:B,A29,'BA History S2'!D:D, 1)</f>
        <v>10</v>
      </c>
      <c r="J29" s="2">
        <f>COUNTIFS('BA History S2'!B:B,A29,'BA History S2'!D:D, 0)</f>
        <v>3</v>
      </c>
      <c r="K29" s="75">
        <f>LOOKUP(2, 1/('BA History S2'!$B:$B=A29), 'BA History S2'!$AJ:$AJ)</f>
        <v>0.76923076923076927</v>
      </c>
      <c r="L29" s="34">
        <f>SUMIFS('BA History S2'!F:F,'BA History S2'!B:B,A29)</f>
        <v>32</v>
      </c>
      <c r="M29" s="2">
        <f>SUMIFS('BA History S2'!E:E,'BA History S2'!B:B,A29)-L29</f>
        <v>20</v>
      </c>
      <c r="N29" s="75">
        <f>LOOKUP(2, 1/('BA History S2'!$B:$B=A29), 'BA History S2'!$AH:$AH)</f>
        <v>0.61923076923076914</v>
      </c>
      <c r="O29" s="34">
        <f>SUMIFS('BA History S2'!H:H,'BA History S2'!B:B,A29)</f>
        <v>115</v>
      </c>
      <c r="P29" s="2">
        <f>SUMIFS('BA History S2'!G:G,'BA History S2'!B:B,A29)-O29</f>
        <v>98</v>
      </c>
      <c r="Q29" s="89">
        <f>LOOKUP(2, 1/('BA History S2'!$B:$B=A29), 'BA History S2'!$AI:$AI)</f>
        <v>0.533076923076923</v>
      </c>
      <c r="R29" s="2">
        <f>COUNTIFS('BA History S2'!$B:$B,$A$29,'BA History S2'!K:K, 1)</f>
        <v>2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2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2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4</v>
      </c>
      <c r="AH29" s="2">
        <f>COUNTIFS('BA History S2'!$B:$B,$A$29,'BA History S2'!AA:AA, 1)</f>
        <v>1</v>
      </c>
      <c r="AI29" s="2">
        <f>COUNTIFS('BA History S2'!$B:$B,$A$29,'BA History S2'!AB:AB, 1)</f>
        <v>5</v>
      </c>
      <c r="AJ29" s="2">
        <f>COUNTIFS('BA History S2'!$B:$B,$A$29,'BA History S2'!AC:AC, 1)</f>
        <v>2</v>
      </c>
      <c r="AK29" s="2">
        <f>COUNTIFS('BA History S2'!$B:$B,$A$29,'BA History S2'!AD:AD, 1)</f>
        <v>3</v>
      </c>
      <c r="AL29" s="2">
        <f>COUNTIFS('BA History S2'!$B:$B,$A$29,'BA History S2'!AE:AE, 1)</f>
        <v>1</v>
      </c>
      <c r="AM29" s="2">
        <f>COUNTIFS('BA History S2'!$B:$B,$A$29,'BA History S2'!AF:AF, 1)</f>
        <v>3</v>
      </c>
    </row>
    <row r="30" spans="1:39" x14ac:dyDescent="0.25">
      <c r="A30" s="2" t="s">
        <v>6</v>
      </c>
      <c r="B30" s="1" t="s">
        <v>158</v>
      </c>
      <c r="D30" s="1">
        <v>1</v>
      </c>
      <c r="E30" s="1">
        <v>1</v>
      </c>
      <c r="F30" s="34">
        <f>SUMIFS('BA History S2'!C:C,'BA History S2'!B:B,A30)</f>
        <v>427</v>
      </c>
      <c r="G30" s="66">
        <f>AVERAGEIFS('BA History S2'!C:C,'BA History S2'!B:B,A30)</f>
        <v>22.473684210526315</v>
      </c>
      <c r="H30" s="35">
        <f t="array" ref="H30">MAX(IF('BA History S2'!B:B=A30, 'BA History S2'!C:C))</f>
        <v>36</v>
      </c>
      <c r="I30" s="34">
        <f>COUNTIFS('BA History S2'!B:B,A30,'BA History S2'!D:D, 1)</f>
        <v>10</v>
      </c>
      <c r="J30" s="2">
        <f>COUNTIFS('BA History S2'!B:B,A30,'BA History S2'!D:D, 0)</f>
        <v>9</v>
      </c>
      <c r="K30" s="75">
        <f>LOOKUP(2, 1/('BA History S2'!$B:$B=A30), 'BA History S2'!$AJ:$AJ)</f>
        <v>0.52631578947368418</v>
      </c>
      <c r="L30" s="34">
        <f>SUMIFS('BA History S2'!F:F,'BA History S2'!B:B,A30)</f>
        <v>38</v>
      </c>
      <c r="M30" s="2">
        <f>SUMIFS('BA History S2'!E:E,'BA History S2'!B:B,A30)-L30</f>
        <v>37</v>
      </c>
      <c r="N30" s="75">
        <f>LOOKUP(2, 1/('BA History S2'!$B:$B=A30), 'BA History S2'!$AH:$AH)</f>
        <v>0.5</v>
      </c>
      <c r="O30" s="34">
        <f>SUMIFS('BA History S2'!H:H,'BA History S2'!B:B,A30)</f>
        <v>155</v>
      </c>
      <c r="P30" s="2">
        <f>SUMIFS('BA History S2'!G:G,'BA History S2'!B:B,A30)-O30</f>
        <v>156</v>
      </c>
      <c r="Q30" s="89">
        <f>LOOKUP(2, 1/('BA History S2'!$B:$B=A30), 'BA History S2'!$AI:$AI)</f>
        <v>0.49157894736842106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5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5</v>
      </c>
      <c r="AH30" s="2">
        <f>COUNTIFS('BA History S2'!$B:$B,$A$30,'BA History S2'!AA:AA, 1)</f>
        <v>1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1</v>
      </c>
      <c r="AL30" s="2">
        <f>COUNTIFS('BA History S2'!$B:$B,$A$30,'BA History S2'!AE:AE, 1)</f>
        <v>1</v>
      </c>
      <c r="AM30" s="2">
        <f>COUNTIFS('BA History S2'!$B:$B,$A$30,'BA History S2'!AF:AF, 1)</f>
        <v>4</v>
      </c>
    </row>
    <row r="31" spans="1:39" x14ac:dyDescent="0.25">
      <c r="A31" s="2" t="s">
        <v>179</v>
      </c>
      <c r="B31" s="1" t="s">
        <v>79</v>
      </c>
      <c r="C31" s="1">
        <v>1</v>
      </c>
      <c r="F31" s="34">
        <f>SUMIFS('BA History S2'!C:C,'BA History S2'!B:B,A31)</f>
        <v>26</v>
      </c>
      <c r="G31" s="66">
        <f>AVERAGEIFS('BA History S2'!C:C,'BA History S2'!B:B,A31)</f>
        <v>13</v>
      </c>
      <c r="H31" s="35">
        <f t="array" ref="H31">MAX(IF('BA History S2'!B:B=A31, 'BA History S2'!C:C))</f>
        <v>16</v>
      </c>
      <c r="I31" s="34">
        <f>COUNTIFS('BA History S2'!B:B,A31,'BA History S2'!D:D, 1)</f>
        <v>0</v>
      </c>
      <c r="J31" s="2">
        <f>COUNTIFS('BA History S2'!B:B,A31,'BA History S2'!D:D, 0)</f>
        <v>2</v>
      </c>
      <c r="K31" s="75">
        <f>LOOKUP(2, 1/('BA History S2'!$B:$B=A31), 'BA History S2'!$AJ:$AJ)</f>
        <v>0</v>
      </c>
      <c r="L31" s="34">
        <f>SUMIFS('BA History S2'!F:F,'BA History S2'!B:B,A31)</f>
        <v>3</v>
      </c>
      <c r="M31" s="2">
        <f>SUMIFS('BA History S2'!E:E,'BA History S2'!B:B,A31)-L31</f>
        <v>6</v>
      </c>
      <c r="N31" s="75">
        <f>LOOKUP(2, 1/('BA History S2'!$B:$B=A31), 'BA History S2'!$AH:$AH)</f>
        <v>0.32500000000000001</v>
      </c>
      <c r="O31" s="34">
        <f>SUMIFS('BA History S2'!H:H,'BA History S2'!B:B,A31)</f>
        <v>19</v>
      </c>
      <c r="P31" s="2">
        <f>SUMIFS('BA History S2'!G:G,'BA History S2'!B:B,A31)-O31</f>
        <v>22</v>
      </c>
      <c r="Q31" s="89">
        <f>LOOKUP(2, 1/('BA History S2'!$B:$B=A31), 'BA History S2'!$AI:$AI)</f>
        <v>0.46499999999999997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113</v>
      </c>
      <c r="B32" s="2" t="s">
        <v>79</v>
      </c>
      <c r="C32" s="2">
        <v>1</v>
      </c>
      <c r="D32" s="2">
        <v>1</v>
      </c>
      <c r="E32" s="2"/>
      <c r="F32" s="34">
        <f>SUMIFS('BA History S2'!C:C,'BA History S2'!B:B,A32)</f>
        <v>335</v>
      </c>
      <c r="G32" s="66">
        <f>AVERAGEIFS('BA History S2'!C:C,'BA History S2'!B:B,A32)</f>
        <v>19.705882352941178</v>
      </c>
      <c r="H32" s="35">
        <f t="array" ref="H32">MAX(IF('BA History S2'!B:B=A32, 'BA History S2'!C:C))</f>
        <v>36</v>
      </c>
      <c r="I32" s="34">
        <f>COUNTIFS('BA History S2'!B:B,A32,'BA History S2'!D:D, 1)</f>
        <v>9</v>
      </c>
      <c r="J32" s="2">
        <f>COUNTIFS('BA History S2'!B:B,A32,'BA History S2'!D:D, 0)</f>
        <v>8</v>
      </c>
      <c r="K32" s="75">
        <f>LOOKUP(2, 1/('BA History S2'!$B:$B=A32), 'BA History S2'!$AJ:$AJ)</f>
        <v>0.52941176470588236</v>
      </c>
      <c r="L32" s="34">
        <f>SUMIFS('BA History S2'!F:F,'BA History S2'!B:B,A32)</f>
        <v>38</v>
      </c>
      <c r="M32" s="2">
        <f>SUMIFS('BA History S2'!E:E,'BA History S2'!B:B,A32)-L32</f>
        <v>31</v>
      </c>
      <c r="N32" s="75">
        <f>LOOKUP(2, 1/('BA History S2'!$B:$B=A32), 'BA History S2'!$AH:$AH)</f>
        <v>0.57647058823529418</v>
      </c>
      <c r="O32" s="34">
        <f>SUMIFS('BA History S2'!H:H,'BA History S2'!B:B,A32)</f>
        <v>152</v>
      </c>
      <c r="P32" s="2">
        <f>SUMIFS('BA History S2'!G:G,'BA History S2'!B:B,A32)-O32</f>
        <v>136</v>
      </c>
      <c r="Q32" s="89">
        <f>LOOKUP(2, 1/('BA History S2'!$B:$B=A32), 'BA History S2'!$AI:$AI)</f>
        <v>0.55882352941176472</v>
      </c>
      <c r="R32" s="2">
        <f>COUNTIFS('BA History S2'!$B:$B,$A$32,'BA History S2'!K:K, 1)</f>
        <v>0</v>
      </c>
      <c r="S32" s="2">
        <f>COUNTIFS('BA History S2'!$B:$B,$A$32,'BA History S2'!L:L, 1)</f>
        <v>4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S2'!$B:$B,$A$32,'BA History S2'!AA:AA, 1)</f>
        <v>0</v>
      </c>
      <c r="AI32" s="2">
        <f>COUNTIFS('BA History S2'!$B:$B,$A$32,'BA History S2'!AB:AB, 1)</f>
        <v>6</v>
      </c>
      <c r="AJ32" s="2">
        <f>COUNTIFS('BA History S2'!$B:$B,$A$32,'BA History S2'!AC:AC, 1)</f>
        <v>4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4</v>
      </c>
    </row>
    <row r="33" spans="1:39" x14ac:dyDescent="0.25">
      <c r="A33" s="2" t="s">
        <v>14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52</v>
      </c>
      <c r="G33" s="66">
        <f>AVERAGEIFS('BA History S2'!C:C,'BA History S2'!B:B,A33)</f>
        <v>13</v>
      </c>
      <c r="H33" s="35">
        <f t="array" ref="H33">MAX(IF('BA History S2'!B:B=A33, 'BA History S2'!C:C))</f>
        <v>21</v>
      </c>
      <c r="I33" s="34">
        <f>COUNTIFS('BA History S2'!B:B,A33,'BA History S2'!D:D, 1)</f>
        <v>1</v>
      </c>
      <c r="J33" s="2">
        <f>COUNTIFS('BA History S2'!B:B,A33,'BA History S2'!D:D, 0)</f>
        <v>3</v>
      </c>
      <c r="K33" s="75">
        <f>LOOKUP(2, 1/('BA History S2'!$B:$B=A33), 'BA History S2'!$AJ:$AJ)</f>
        <v>0.25</v>
      </c>
      <c r="L33" s="34">
        <f>SUMIFS('BA History S2'!F:F,'BA History S2'!B:B,A33)</f>
        <v>5</v>
      </c>
      <c r="M33" s="2">
        <f>SUMIFS('BA History S2'!E:E,'BA History S2'!B:B,A33)-L33</f>
        <v>11</v>
      </c>
      <c r="N33" s="75">
        <f>LOOKUP(2, 1/('BA History S2'!$B:$B=A33), 'BA History S2'!$AH:$AH)</f>
        <v>0.27500000000000002</v>
      </c>
      <c r="O33" s="34">
        <f>SUMIFS('BA History S2'!H:H,'BA History S2'!B:B,A33)</f>
        <v>25</v>
      </c>
      <c r="P33" s="2">
        <f>SUMIFS('BA History S2'!G:G,'BA History S2'!B:B,A33)-O33</f>
        <v>39</v>
      </c>
      <c r="Q33" s="89">
        <f>LOOKUP(2, 1/('BA History S2'!$B:$B=A33), 'BA History S2'!$AI:$AI)</f>
        <v>0.34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70</v>
      </c>
      <c r="B34" s="2" t="s">
        <v>79</v>
      </c>
      <c r="C34" s="2"/>
      <c r="D34" s="2"/>
      <c r="E34" s="2"/>
      <c r="F34" s="34">
        <f>SUMIFS('BA History S2'!C:C,'BA History S2'!B:B,A34)</f>
        <v>16</v>
      </c>
      <c r="G34" s="66">
        <f>AVERAGEIFS('BA History S2'!C:C,'BA History S2'!B:B,A34)</f>
        <v>8</v>
      </c>
      <c r="H34" s="35">
        <f t="array" ref="H34">MAX(IF('BA History S2'!B:B=A34, 'BA History S2'!C:C))</f>
        <v>9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S2'!$AJ:$AJ)</f>
        <v>0</v>
      </c>
      <c r="L34" s="34">
        <f>SUMIFS('BA History S2'!F:F,'BA History S2'!B:B,A34)</f>
        <v>2</v>
      </c>
      <c r="M34" s="2">
        <f>SUMIFS('BA History S2'!E:E,'BA History S2'!B:B,A34)-L34</f>
        <v>6</v>
      </c>
      <c r="N34" s="75">
        <f>LOOKUP(2, 1/('BA History S2'!$B:$B=A34), 'BA History S2'!$AH:$AH)</f>
        <v>0.25</v>
      </c>
      <c r="O34" s="34">
        <f>SUMIFS('BA History S2'!H:H,'BA History S2'!B:B,A34)</f>
        <v>14</v>
      </c>
      <c r="P34" s="2">
        <f>SUMIFS('BA History S2'!G:G,'BA History S2'!B:B,A34)-O34</f>
        <v>19</v>
      </c>
      <c r="Q34" s="89">
        <f>LOOKUP(2, 1/('BA History S2'!$B:$B=A34), 'BA History S2'!$AI:$AI)</f>
        <v>0.42000000000000004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</row>
    <row r="35" spans="1:39" x14ac:dyDescent="0.25">
      <c r="A35" s="2" t="s">
        <v>4</v>
      </c>
      <c r="B35" s="1" t="s">
        <v>158</v>
      </c>
      <c r="C35" s="1">
        <v>1</v>
      </c>
      <c r="D35" s="1">
        <v>1</v>
      </c>
      <c r="F35" s="34">
        <f>SUMIFS('BA History S2'!C:C,'BA History S2'!B:B,A35)</f>
        <v>315</v>
      </c>
      <c r="G35" s="66">
        <f>AVERAGEIFS('BA History S2'!C:C,'BA History S2'!B:B,A35)</f>
        <v>26.25</v>
      </c>
      <c r="H35" s="35">
        <f t="array" ref="H35">MAX(IF('BA History S2'!B:B=A35, 'BA History S2'!C:C))</f>
        <v>38</v>
      </c>
      <c r="I35" s="34">
        <f>COUNTIFS('BA History S2'!B:B,A35,'BA History S2'!D:D, 1)</f>
        <v>7</v>
      </c>
      <c r="J35" s="2">
        <f>COUNTIFS('BA History S2'!B:B,A35,'BA History S2'!D:D, 0)</f>
        <v>5</v>
      </c>
      <c r="K35" s="75">
        <f>LOOKUP(2, 1/('BA History S2'!$B:$B=A35), 'BA History S2'!$AJ:$AJ)</f>
        <v>0.58333333333333337</v>
      </c>
      <c r="L35" s="34">
        <f>SUMIFS('BA History S2'!F:F,'BA History S2'!B:B,A35)</f>
        <v>27</v>
      </c>
      <c r="M35" s="2">
        <f>SUMIFS('BA History S2'!E:E,'BA History S2'!B:B,A35)-L35</f>
        <v>24</v>
      </c>
      <c r="N35" s="75">
        <f>LOOKUP(2, 1/('BA History S2'!$B:$B=A35), 'BA History S2'!$AH:$AH)</f>
        <v>0.53749999999999998</v>
      </c>
      <c r="O35" s="34">
        <f>SUMIFS('BA History S2'!H:H,'BA History S2'!B:B,A35)</f>
        <v>111</v>
      </c>
      <c r="P35" s="2">
        <f>SUMIFS('BA History S2'!G:G,'BA History S2'!B:B,A35)-O35</f>
        <v>108</v>
      </c>
      <c r="Q35" s="89">
        <f>LOOKUP(2, 1/('BA History S2'!$B:$B=A35), 'BA History S2'!$AI:$AI)</f>
        <v>0.50749999999999995</v>
      </c>
      <c r="R35" s="2">
        <f>COUNTIFS('BA History S2'!$B:$B,$A$35,'BA History S2'!K:K, 1)</f>
        <v>2</v>
      </c>
      <c r="S35" s="2">
        <f>COUNTIFS('BA History S2'!$B:$B,$A$35,'BA History S2'!L:L, 1)</f>
        <v>3</v>
      </c>
      <c r="T35" s="2">
        <f>COUNTIFS('BA History S2'!$B:$B,$A$35,'BA History S2'!M:M, 1)</f>
        <v>3</v>
      </c>
      <c r="U35" s="2">
        <f>COUNTIFS('BA History S2'!$B:$B,$A$35,'BA History S2'!N:N, 1)</f>
        <v>3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1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1</v>
      </c>
      <c r="AH35" s="2">
        <f>COUNTIFS('BA History S2'!$B:$B,$A$35,'BA History S2'!AA:AA, 1)</f>
        <v>0</v>
      </c>
      <c r="AI35" s="2">
        <f>COUNTIFS('BA History S2'!$B:$B,$A$35,'BA History S2'!AB:AB, 1)</f>
        <v>6</v>
      </c>
      <c r="AJ35" s="2">
        <f>COUNTIFS('BA History S2'!$B:$B,$A$35,'BA History S2'!AC:AC, 1)</f>
        <v>3</v>
      </c>
      <c r="AK35" s="2">
        <f>COUNTIFS('BA History S2'!$B:$B,$A$35,'BA History S2'!AD:AD, 1)</f>
        <v>2</v>
      </c>
      <c r="AL35" s="2">
        <f>COUNTIFS('BA History S2'!$B:$B,$A$35,'BA History S2'!AE:AE, 1)</f>
        <v>1</v>
      </c>
      <c r="AM35" s="2">
        <f>COUNTIFS('BA History S2'!$B:$B,$A$35,'BA History S2'!AF:AF, 1)</f>
        <v>1</v>
      </c>
    </row>
    <row r="36" spans="1:39" x14ac:dyDescent="0.25">
      <c r="A36" s="1" t="s">
        <v>107</v>
      </c>
      <c r="B36" s="2" t="s">
        <v>79</v>
      </c>
      <c r="C36" s="2"/>
      <c r="D36" s="2"/>
      <c r="E36" s="2"/>
      <c r="F36" s="34">
        <f>SUMIFS('BA History S2'!C:C,'BA History S2'!B:B,A36)</f>
        <v>247</v>
      </c>
      <c r="G36" s="66">
        <f>AVERAGEIFS('BA History S2'!C:C,'BA History S2'!B:B,A36)</f>
        <v>14.529411764705882</v>
      </c>
      <c r="H36" s="35">
        <f t="array" ref="H36">MAX(IF('BA History S2'!B:B=A36, 'BA History S2'!C:C))</f>
        <v>27</v>
      </c>
      <c r="I36" s="34">
        <f>COUNTIFS('BA History S2'!B:B,A36,'BA History S2'!D:D, 1)</f>
        <v>9</v>
      </c>
      <c r="J36" s="2">
        <f>COUNTIFS('BA History S2'!B:B,A36,'BA History S2'!D:D, 0)</f>
        <v>8</v>
      </c>
      <c r="K36" s="75">
        <f>LOOKUP(2, 1/('BA History S2'!$B:$B=A36), 'BA History S2'!$AJ:$AJ)</f>
        <v>0.52941176470588236</v>
      </c>
      <c r="L36" s="34">
        <f>SUMIFS('BA History S2'!F:F,'BA History S2'!B:B,A36)</f>
        <v>31</v>
      </c>
      <c r="M36" s="2">
        <f>SUMIFS('BA History S2'!E:E,'BA History S2'!B:B,A36)-L36</f>
        <v>35</v>
      </c>
      <c r="N36" s="75">
        <f>LOOKUP(2, 1/('BA History S2'!$B:$B=A36), 'BA History S2'!$AH:$AH)</f>
        <v>0.438235294117647</v>
      </c>
      <c r="O36" s="34">
        <f>SUMIFS('BA History S2'!H:H,'BA History S2'!B:B,A36)</f>
        <v>133</v>
      </c>
      <c r="P36" s="2">
        <f>SUMIFS('BA History S2'!G:G,'BA History S2'!B:B,A36)-O36</f>
        <v>139</v>
      </c>
      <c r="Q36" s="89">
        <f>LOOKUP(2, 1/('BA History S2'!$B:$B=A36), 'BA History S2'!$AI:$AI)</f>
        <v>0.47529411764705881</v>
      </c>
      <c r="R36" s="2">
        <f>COUNTIFS('BA History S2'!$B:$B,$A$36,'BA History S2'!K:K, 1)</f>
        <v>3</v>
      </c>
      <c r="S36" s="2">
        <f>COUNTIFS('BA History S2'!$B:$B,$A$36,'BA History S2'!L:L, 1)</f>
        <v>1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1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2</v>
      </c>
      <c r="AG36" s="2">
        <f>COUNTIFS('BA History S2'!$B:$B,$A$36,'BA History S2'!Z:Z, 1)</f>
        <v>3</v>
      </c>
      <c r="AH36" s="2">
        <f>COUNTIFS('BA History S2'!$B:$B,$A$36,'BA History S2'!AA:AA, 1)</f>
        <v>0</v>
      </c>
      <c r="AI36" s="2">
        <f>COUNTIFS('BA History S2'!$B:$B,$A$36,'BA History S2'!AB:AB, 1)</f>
        <v>4</v>
      </c>
      <c r="AJ36" s="2">
        <f>COUNTIFS('BA History S2'!$B:$B,$A$36,'BA History S2'!AC:AC, 1)</f>
        <v>2</v>
      </c>
      <c r="AK36" s="2">
        <f>COUNTIFS('BA History S2'!$B:$B,$A$36,'BA History S2'!AD:AD, 1)</f>
        <v>4</v>
      </c>
      <c r="AL36" s="2">
        <f>COUNTIFS('BA History S2'!$B:$B,$A$36,'BA History S2'!AE:AE, 1)</f>
        <v>0</v>
      </c>
      <c r="AM36" s="2">
        <f>COUNTIFS('BA History S2'!$B:$B,$A$36,'BA History S2'!AF:AF, 1)</f>
        <v>2</v>
      </c>
    </row>
  </sheetData>
  <autoFilter ref="A1:AM36" xr:uid="{DA548192-1F03-46EA-8AB8-115EB9A7CE5D}">
    <sortState xmlns:xlrd2="http://schemas.microsoft.com/office/spreadsheetml/2017/richdata2" ref="A2:AM36">
      <sortCondition ref="A1:A3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311"/>
  <sheetViews>
    <sheetView workbookViewId="0">
      <pane xSplit="2" ySplit="1" topLeftCell="C263" activePane="bottomRight" state="frozen"/>
      <selection pane="topRight" activeCell="C1" sqref="C1"/>
      <selection pane="bottomLeft" activeCell="A2" sqref="A2"/>
      <selection pane="bottomRight" activeCell="AG299" sqref="AG299:AJ31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  <row r="262" spans="1:36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1</v>
      </c>
      <c r="AB262">
        <v>1</v>
      </c>
      <c r="AC262">
        <v>0</v>
      </c>
      <c r="AD262">
        <v>0</v>
      </c>
      <c r="AE262">
        <v>0</v>
      </c>
      <c r="AF262">
        <v>1</v>
      </c>
      <c r="AG262" s="86">
        <f>AVERAGEIFS($C$2:C262, $B$2:B262, B262)</f>
        <v>18.923076923076923</v>
      </c>
      <c r="AH262" s="86">
        <f>AVERAGEIFS($I$2:I262, $B$2:B262, B262)</f>
        <v>0.52692307692307694</v>
      </c>
      <c r="AI262" s="86">
        <f>AVERAGEIFS($J$2:J262, $B$2:B262, B262)</f>
        <v>0.50846153846153852</v>
      </c>
      <c r="AJ262" s="86">
        <f>AVERAGEIFS($D$2:D262, $B$2:B262, B262)</f>
        <v>0.53846153846153844</v>
      </c>
    </row>
    <row r="263" spans="1:36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1</v>
      </c>
      <c r="AC263">
        <v>0</v>
      </c>
      <c r="AD263">
        <v>0</v>
      </c>
      <c r="AE263">
        <v>0</v>
      </c>
      <c r="AF263">
        <v>1</v>
      </c>
      <c r="AG263" s="86">
        <f>AVERAGEIFS($C$2:C263, $B$2:B263, B263)</f>
        <v>16.705882352941178</v>
      </c>
      <c r="AH263" s="86">
        <f>AVERAGEIFS($I$2:I263, $B$2:B263, B263)</f>
        <v>0.57647058823529407</v>
      </c>
      <c r="AI263" s="86">
        <f>AVERAGEIFS($J$2:J263, $B$2:B263, B263)</f>
        <v>0.54941176470588238</v>
      </c>
      <c r="AJ263" s="86">
        <f>AVERAGEIFS($D$2:D263, $B$2:B263, B263)</f>
        <v>0.6470588235294118</v>
      </c>
    </row>
    <row r="264" spans="1:36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1</v>
      </c>
      <c r="AC264">
        <v>0</v>
      </c>
      <c r="AD264">
        <v>0</v>
      </c>
      <c r="AE264">
        <v>0</v>
      </c>
      <c r="AF264">
        <v>1</v>
      </c>
      <c r="AG264" s="86">
        <f>AVERAGEIFS($C$2:C264, $B$2:B264, B264)</f>
        <v>21.882352941176471</v>
      </c>
      <c r="AH264" s="86">
        <f>AVERAGEIFS($I$2:I264, $B$2:B264, B264)</f>
        <v>0.5</v>
      </c>
      <c r="AI264" s="86">
        <f>AVERAGEIFS($J$2:J264, $B$2:B264, B264)</f>
        <v>0.49352941176470594</v>
      </c>
      <c r="AJ264" s="86">
        <f>AVERAGEIFS($D$2:D264, $B$2:B264, B264)</f>
        <v>0.52941176470588236</v>
      </c>
    </row>
    <row r="265" spans="1:36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1</v>
      </c>
      <c r="AC265">
        <v>0</v>
      </c>
      <c r="AD265">
        <v>0</v>
      </c>
      <c r="AE265">
        <v>0</v>
      </c>
      <c r="AF265">
        <v>1</v>
      </c>
      <c r="AG265" s="86">
        <f>AVERAGEIFS($C$2:C265, $B$2:B265, B265)</f>
        <v>10.5</v>
      </c>
      <c r="AH265" s="86">
        <f>AVERAGEIFS($I$2:I265, $B$2:B265, B265)</f>
        <v>0.7</v>
      </c>
      <c r="AI265" s="86">
        <f>AVERAGEIFS($J$2:J265, $B$2:B265, B265)</f>
        <v>0.55000000000000004</v>
      </c>
      <c r="AJ265" s="86">
        <f>AVERAGEIFS($D$2:D265, $B$2:B265, B265)</f>
        <v>0.5</v>
      </c>
    </row>
    <row r="266" spans="1:36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1</v>
      </c>
      <c r="AC266">
        <v>0</v>
      </c>
      <c r="AD266">
        <v>0</v>
      </c>
      <c r="AE266">
        <v>0</v>
      </c>
      <c r="AF266">
        <v>1</v>
      </c>
      <c r="AG266" s="86">
        <f>AVERAGEIFS($C$2:C266, $B$2:B266, B266)</f>
        <v>12.666666666666666</v>
      </c>
      <c r="AH266" s="86">
        <f>AVERAGEIFS($I$2:I266, $B$2:B266, B266)</f>
        <v>0.45416666666666661</v>
      </c>
      <c r="AI266" s="86">
        <f>AVERAGEIFS($J$2:J266, $B$2:B266, B266)</f>
        <v>0.47416666666666663</v>
      </c>
      <c r="AJ266" s="86">
        <f>AVERAGEIFS($D$2:D266, $B$2:B266, B266)</f>
        <v>0.25</v>
      </c>
    </row>
    <row r="267" spans="1:36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1</v>
      </c>
      <c r="AG267" s="86">
        <f>AVERAGEIFS($C$2:C267, $B$2:B267, B267)</f>
        <v>18</v>
      </c>
      <c r="AH267" s="86">
        <f>AVERAGEIFS($I$2:I267, $B$2:B267, B267)</f>
        <v>0.64090909090909076</v>
      </c>
      <c r="AI267" s="86">
        <f>AVERAGEIFS($J$2:J267, $B$2:B267, B267)</f>
        <v>0.53727272727272724</v>
      </c>
      <c r="AJ267" s="86">
        <f>AVERAGEIFS($D$2:D267, $B$2:B267, B267)</f>
        <v>0.81818181818181823</v>
      </c>
    </row>
    <row r="268" spans="1:36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s="86">
        <f>AVERAGEIFS($C$2:C268, $B$2:B268, B268)</f>
        <v>16.100000000000001</v>
      </c>
      <c r="AH268" s="86">
        <f>AVERAGEIFS($I$2:I268, $B$2:B268, B268)</f>
        <v>0.40499999999999997</v>
      </c>
      <c r="AI268" s="86">
        <f>AVERAGEIFS($J$2:J268, $B$2:B268, B268)</f>
        <v>0.48100000000000004</v>
      </c>
      <c r="AJ268" s="86">
        <f>AVERAGEIFS($D$2:D268, $B$2:B268, B268)</f>
        <v>0.3</v>
      </c>
    </row>
    <row r="269" spans="1:36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22.6</v>
      </c>
      <c r="AH269" s="86">
        <f>AVERAGEIFS($I$2:I269, $B$2:B269, B269)</f>
        <v>0.52500000000000002</v>
      </c>
      <c r="AI269" s="86">
        <f>AVERAGEIFS($J$2:J269, $B$2:B269, B269)</f>
        <v>0.51</v>
      </c>
      <c r="AJ269" s="86">
        <f>AVERAGEIFS($D$2:D269, $B$2:B269, B269)</f>
        <v>0.5</v>
      </c>
    </row>
    <row r="270" spans="1:36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17.333333333333332</v>
      </c>
      <c r="AH270" s="86">
        <f>AVERAGEIFS($I$2:I270, $B$2:B270, B270)</f>
        <v>0.44</v>
      </c>
      <c r="AI270" s="86">
        <f>AVERAGEIFS($J$2:J270, $B$2:B270, B270)</f>
        <v>0.44266666666666671</v>
      </c>
      <c r="AJ270" s="86">
        <f>AVERAGEIFS($D$2:D270, $B$2:B270, B270)</f>
        <v>0.46666666666666667</v>
      </c>
    </row>
    <row r="271" spans="1:36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19.705882352941178</v>
      </c>
      <c r="AH271" s="86">
        <f>AVERAGEIFS($I$2:I271, $B$2:B271, B271)</f>
        <v>0.57647058823529418</v>
      </c>
      <c r="AI271" s="86">
        <f>AVERAGEIFS($J$2:J271, $B$2:B271, B271)</f>
        <v>0.55882352941176472</v>
      </c>
      <c r="AJ271" s="86">
        <f>AVERAGEIFS($D$2:D271, $B$2:B271, B271)</f>
        <v>0.52941176470588236</v>
      </c>
    </row>
    <row r="272" spans="1:36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14.529411764705882</v>
      </c>
      <c r="AH272" s="86">
        <f>AVERAGEIFS($I$2:I272, $B$2:B272, B272)</f>
        <v>0.438235294117647</v>
      </c>
      <c r="AI272" s="86">
        <f>AVERAGEIFS($J$2:J272, $B$2:B272, B272)</f>
        <v>0.47529411764705881</v>
      </c>
      <c r="AJ272" s="86">
        <f>AVERAGEIFS($D$2:D272, $B$2:B272, B272)</f>
        <v>0.52941176470588236</v>
      </c>
    </row>
    <row r="273" spans="1:36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11.5</v>
      </c>
      <c r="AH273" s="86">
        <f>AVERAGEIFS($I$2:I273, $B$2:B273, B273)</f>
        <v>0.39999999999999997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12.5</v>
      </c>
      <c r="AH274" s="86">
        <f>AVERAGEIFS($I$2:I274, $B$2:B274, B274)</f>
        <v>0.625</v>
      </c>
      <c r="AI274" s="86">
        <f>AVERAGEIFS($J$2:J274, $B$2:B274, B274)</f>
        <v>0.58499999999999996</v>
      </c>
      <c r="AJ274" s="86">
        <f>AVERAGEIFS($D$2:D274, $B$2:B274, B274)</f>
        <v>0.75</v>
      </c>
    </row>
    <row r="275" spans="1:36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s="86">
        <f>AVERAGEIFS($C$2:C275, $B$2:B275, B275)</f>
        <v>22.388888888888889</v>
      </c>
      <c r="AH275" s="86">
        <f>AVERAGEIFS($I$2:I275, $B$2:B275, B275)</f>
        <v>0.51388888888888884</v>
      </c>
      <c r="AI275" s="86">
        <f>AVERAGEIFS($J$2:J275, $B$2:B275, B275)</f>
        <v>0.49944444444444447</v>
      </c>
      <c r="AJ275" s="86">
        <f>AVERAGEIFS($D$2:D275, $B$2:B275, B275)</f>
        <v>0.55555555555555558</v>
      </c>
    </row>
    <row r="276" spans="1:36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s="86">
        <f>AVERAGEIFS($C$2:C276, $B$2:B276, B276)</f>
        <v>18.5</v>
      </c>
      <c r="AH276" s="86">
        <f>AVERAGEIFS($I$2:I276, $B$2:B276, B276)</f>
        <v>0.54285714285714293</v>
      </c>
      <c r="AI276" s="86">
        <f>AVERAGEIFS($J$2:J276, $B$2:B276, B276)</f>
        <v>0.51500000000000001</v>
      </c>
      <c r="AJ276" s="86">
        <f>AVERAGEIFS($D$2:D276, $B$2:B276, B276)</f>
        <v>0.5714285714285714</v>
      </c>
    </row>
    <row r="277" spans="1:36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s="86">
        <f>AVERAGEIFS($C$2:C277, $B$2:B277, B277)</f>
        <v>19.5</v>
      </c>
      <c r="AH277" s="86">
        <f>AVERAGEIFS($I$2:I277, $B$2:B277, B277)</f>
        <v>0.7416666666666667</v>
      </c>
      <c r="AI277" s="86">
        <f>AVERAGEIFS($J$2:J277, $B$2:B277, B277)</f>
        <v>0.64</v>
      </c>
      <c r="AJ277" s="86">
        <f>AVERAGEIFS($D$2:D277, $B$2:B277, B277)</f>
        <v>0.83333333333333337</v>
      </c>
    </row>
    <row r="278" spans="1:36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s="86">
        <f>AVERAGEIFS($C$2:C278, $B$2:B278, B278)</f>
        <v>20.25</v>
      </c>
      <c r="AH278" s="86">
        <f>AVERAGEIFS($I$2:I278, $B$2:B278, B278)</f>
        <v>0.47812500000000002</v>
      </c>
      <c r="AI278" s="86">
        <f>AVERAGEIFS($J$2:J278, $B$2:B278, B278)</f>
        <v>0.49375000000000002</v>
      </c>
      <c r="AJ278" s="86">
        <f>AVERAGEIFS($D$2:D278, $B$2:B278, B278)</f>
        <v>0.4375</v>
      </c>
    </row>
    <row r="279" spans="1:36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s="86">
        <f>AVERAGEIFS($C$2:C279, $B$2:B279, B279)</f>
        <v>12.076923076923077</v>
      </c>
      <c r="AH279" s="86">
        <f>AVERAGEIFS($I$2:I279, $B$2:B279, B279)</f>
        <v>0.42692307692307691</v>
      </c>
      <c r="AI279" s="86">
        <f>AVERAGEIFS($J$2:J279, $B$2:B279, B279)</f>
        <v>0.46461538461538454</v>
      </c>
      <c r="AJ279" s="86">
        <f>AVERAGEIFS($D$2:D279, $B$2:B279, B279)</f>
        <v>0.38461538461538464</v>
      </c>
    </row>
    <row r="280" spans="1:36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s="86">
        <f>AVERAGEIFS($C$2:C280, $B$2:B280, B280)</f>
        <v>15.2</v>
      </c>
      <c r="AH280" s="86">
        <f>AVERAGEIFS($I$2:I280, $B$2:B280, B280)</f>
        <v>0.45499999999999996</v>
      </c>
      <c r="AI280" s="86">
        <f>AVERAGEIFS($J$2:J280, $B$2:B280, B280)</f>
        <v>0.51500000000000001</v>
      </c>
      <c r="AJ280" s="86">
        <f>AVERAGEIFS($D$2:D280, $B$2:B280, B280)</f>
        <v>0.3</v>
      </c>
    </row>
    <row r="281" spans="1:36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26.714285714285715</v>
      </c>
      <c r="AH281" s="86">
        <f>AVERAGEIFS($I$2:I281, $B$2:B281, B281)</f>
        <v>0.52857142857142858</v>
      </c>
      <c r="AI281" s="86">
        <f>AVERAGEIFS($J$2:J281, $B$2:B281, B281)</f>
        <v>0.53928571428571426</v>
      </c>
      <c r="AJ281" s="86">
        <f>AVERAGEIFS($D$2:D281, $B$2:B281, B281)</f>
        <v>0.5</v>
      </c>
    </row>
    <row r="282" spans="1:36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15.285714285714286</v>
      </c>
      <c r="AH282" s="86">
        <f>AVERAGEIFS($I$2:I282, $B$2:B282, B282)</f>
        <v>0.33571428571428574</v>
      </c>
      <c r="AI282" s="86">
        <f>AVERAGEIFS($J$2:J282, $B$2:B282, B282)</f>
        <v>0.41</v>
      </c>
      <c r="AJ282" s="86">
        <f>AVERAGEIFS($D$2:D282, $B$2:B282, B282)</f>
        <v>0.2857142857142857</v>
      </c>
    </row>
    <row r="283" spans="1:36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18.0625</v>
      </c>
      <c r="AH283" s="86">
        <f>AVERAGEIFS($I$2:I283, $B$2:B283, B283)</f>
        <v>0.42812499999999998</v>
      </c>
      <c r="AI283" s="86">
        <f>AVERAGEIFS($J$2:J283, $B$2:B283, B283)</f>
        <v>0.44000000000000006</v>
      </c>
      <c r="AJ283" s="86">
        <f>AVERAGEIFS($D$2:D283, $B$2:B283, B283)</f>
        <v>0.4375</v>
      </c>
    </row>
    <row r="284" spans="1:36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14.166666666666666</v>
      </c>
      <c r="AH284" s="86">
        <f>AVERAGEIFS($I$2:I284, $B$2:B284, B284)</f>
        <v>0.4916666666666667</v>
      </c>
      <c r="AI284" s="86">
        <f>AVERAGEIFS($J$2:J284, $B$2:B284, B284)</f>
        <v>0.49833333333333329</v>
      </c>
      <c r="AJ284" s="86">
        <f>AVERAGEIFS($D$2:D284, $B$2:B284, B284)</f>
        <v>0.66666666666666663</v>
      </c>
    </row>
    <row r="285" spans="1:36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8</v>
      </c>
      <c r="AH285" s="86">
        <f>AVERAGEIFS($I$2:I285, $B$2:B285, B285)</f>
        <v>0.25</v>
      </c>
      <c r="AI285" s="86">
        <f>AVERAGEIFS($J$2:J285, $B$2:B285, B285)</f>
        <v>0.42000000000000004</v>
      </c>
      <c r="AJ285" s="86">
        <f>AVERAGEIFS($D$2:D285, $B$2:B285, B285)</f>
        <v>0</v>
      </c>
    </row>
    <row r="286" spans="1:36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1</v>
      </c>
      <c r="AE286">
        <v>0</v>
      </c>
      <c r="AF286">
        <v>0</v>
      </c>
      <c r="AG286" s="86">
        <f>AVERAGEIFS($C$2:C286, $B$2:B286, B286)</f>
        <v>27.2</v>
      </c>
      <c r="AH286" s="86">
        <f>AVERAGEIFS($I$2:I286, $B$2:B286, B286)</f>
        <v>0.54333333333333333</v>
      </c>
      <c r="AI286" s="86">
        <f>AVERAGEIFS($J$2:J286, $B$2:B286, B286)</f>
        <v>0.54666666666666663</v>
      </c>
      <c r="AJ286" s="86">
        <f>AVERAGEIFS($D$2:D286, $B$2:B286, B286)</f>
        <v>0.53333333333333333</v>
      </c>
    </row>
    <row r="287" spans="1:36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1</v>
      </c>
      <c r="AE287">
        <v>0</v>
      </c>
      <c r="AF287">
        <v>0</v>
      </c>
      <c r="AG287" s="86">
        <f>AVERAGEIFS($C$2:C287, $B$2:B287, B287)</f>
        <v>17.09090909090909</v>
      </c>
      <c r="AH287" s="86">
        <f>AVERAGEIFS($I$2:I287, $B$2:B287, B287)</f>
        <v>0.43636363636363634</v>
      </c>
      <c r="AI287" s="86">
        <f>AVERAGEIFS($J$2:J287, $B$2:B287, B287)</f>
        <v>0.49636363636363645</v>
      </c>
      <c r="AJ287" s="86">
        <f>AVERAGEIFS($D$2:D287, $B$2:B287, B287)</f>
        <v>0.36363636363636365</v>
      </c>
    </row>
    <row r="288" spans="1:36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1</v>
      </c>
      <c r="AE288">
        <v>0</v>
      </c>
      <c r="AF288">
        <v>0</v>
      </c>
      <c r="AG288" s="86">
        <f>AVERAGEIFS($C$2:C288, $B$2:B288, B288)</f>
        <v>20.647058823529413</v>
      </c>
      <c r="AH288" s="86">
        <f>AVERAGEIFS($I$2:I288, $B$2:B288, B288)</f>
        <v>0.49411764705882355</v>
      </c>
      <c r="AI288" s="86">
        <f>AVERAGEIFS($J$2:J288, $B$2:B288, B288)</f>
        <v>0.50294117647058822</v>
      </c>
      <c r="AJ288" s="86">
        <f>AVERAGEIFS($D$2:D288, $B$2:B288, B288)</f>
        <v>0.47058823529411764</v>
      </c>
    </row>
    <row r="289" spans="1:36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 s="86">
        <f>AVERAGEIFS($C$2:C289, $B$2:B289, B289)</f>
        <v>17.882352941176471</v>
      </c>
      <c r="AH289" s="86">
        <f>AVERAGEIFS($I$2:I289, $B$2:B289, B289)</f>
        <v>0.44705882352941173</v>
      </c>
      <c r="AI289" s="86">
        <f>AVERAGEIFS($J$2:J289, $B$2:B289, B289)</f>
        <v>0.45235294117647068</v>
      </c>
      <c r="AJ289" s="86">
        <f>AVERAGEIFS($D$2:D289, $B$2:B289, B289)</f>
        <v>0.47058823529411764</v>
      </c>
    </row>
    <row r="290" spans="1:36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1</v>
      </c>
      <c r="AE290">
        <v>0</v>
      </c>
      <c r="AF290">
        <v>0</v>
      </c>
      <c r="AG290" s="86">
        <f>AVERAGEIFS($C$2:C290, $B$2:B290, B290)</f>
        <v>14.636363636363637</v>
      </c>
      <c r="AH290" s="86">
        <f>AVERAGEIFS($I$2:I290, $B$2:B290, B290)</f>
        <v>0.48181818181818181</v>
      </c>
      <c r="AI290" s="86">
        <f>AVERAGEIFS($J$2:J290, $B$2:B290, B290)</f>
        <v>0.52727272727272734</v>
      </c>
      <c r="AJ290" s="86">
        <f>AVERAGEIFS($D$2:D290, $B$2:B290, B290)</f>
        <v>0.36363636363636365</v>
      </c>
    </row>
    <row r="291" spans="1:36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1</v>
      </c>
      <c r="AE291">
        <v>0</v>
      </c>
      <c r="AF291">
        <v>0</v>
      </c>
      <c r="AG291" s="86">
        <f>AVERAGEIFS($C$2:C291, $B$2:B291, B291)</f>
        <v>13</v>
      </c>
      <c r="AH291" s="86">
        <f>AVERAGEIFS($I$2:I291, $B$2:B291, B291)</f>
        <v>0.375</v>
      </c>
      <c r="AI291" s="86">
        <f>AVERAGEIFS($J$2:J291, $B$2:B291, B291)</f>
        <v>0.375</v>
      </c>
      <c r="AJ291" s="86">
        <f>AVERAGEIFS($D$2:D291, $B$2:B291, B291)</f>
        <v>0.5</v>
      </c>
    </row>
    <row r="292" spans="1:36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1</v>
      </c>
      <c r="AE292">
        <v>0</v>
      </c>
      <c r="AF292">
        <v>0</v>
      </c>
      <c r="AG292" s="86">
        <f>AVERAGEIFS($C$2:C292, $B$2:B292, B292)</f>
        <v>14.285714285714286</v>
      </c>
      <c r="AH292" s="86">
        <f>AVERAGEIFS($I$2:I292, $B$2:B292, B292)</f>
        <v>0.52857142857142858</v>
      </c>
      <c r="AI292" s="86">
        <f>AVERAGEIFS($J$2:J292, $B$2:B292, B292)</f>
        <v>0.51999999999999991</v>
      </c>
      <c r="AJ292" s="86">
        <f>AVERAGEIFS($D$2:D292, $B$2:B292, B292)</f>
        <v>0.7142857142857143</v>
      </c>
    </row>
    <row r="293" spans="1:36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</v>
      </c>
      <c r="AF293">
        <v>0</v>
      </c>
      <c r="AG293" s="86">
        <f>AVERAGEIFS($C$2:C293, $B$2:B293, B293)</f>
        <v>27.363636363636363</v>
      </c>
      <c r="AH293" s="86">
        <f>AVERAGEIFS($I$2:I293, $B$2:B293, B293)</f>
        <v>0.5636363636363636</v>
      </c>
      <c r="AI293" s="86">
        <f>AVERAGEIFS($J$2:J293, $B$2:B293, B293)</f>
        <v>0.52363636363636357</v>
      </c>
      <c r="AJ293" s="86">
        <f>AVERAGEIFS($D$2:D293, $B$2:B293, B293)</f>
        <v>0.63636363636363635</v>
      </c>
    </row>
    <row r="294" spans="1:36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</v>
      </c>
      <c r="AF294">
        <v>0</v>
      </c>
      <c r="AG294" s="86">
        <f>AVERAGEIFS($C$2:C294, $B$2:B294, B294)</f>
        <v>22.473684210526315</v>
      </c>
      <c r="AH294" s="86">
        <f>AVERAGEIFS($I$2:I294, $B$2:B294, B294)</f>
        <v>0.5</v>
      </c>
      <c r="AI294" s="86">
        <f>AVERAGEIFS($J$2:J294, $B$2:B294, B294)</f>
        <v>0.49157894736842106</v>
      </c>
      <c r="AJ294" s="86">
        <f>AVERAGEIFS($D$2:D294, $B$2:B294, B294)</f>
        <v>0.52631578947368418</v>
      </c>
    </row>
    <row r="295" spans="1:36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</v>
      </c>
      <c r="AF295">
        <v>0</v>
      </c>
      <c r="AG295" s="86">
        <f>AVERAGEIFS($C$2:C295, $B$2:B295, B295)</f>
        <v>13.23076923076923</v>
      </c>
      <c r="AH295" s="86">
        <f>AVERAGEIFS($I$2:I295, $B$2:B295, B295)</f>
        <v>0.4384615384615384</v>
      </c>
      <c r="AI295" s="86">
        <f>AVERAGEIFS($J$2:J295, $B$2:B295, B295)</f>
        <v>0.46461538461538454</v>
      </c>
      <c r="AJ295" s="86">
        <f>AVERAGEIFS($D$2:D295, $B$2:B295, B295)</f>
        <v>0.23076923076923078</v>
      </c>
    </row>
    <row r="296" spans="1:36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 s="86">
        <f>AVERAGEIFS($C$2:C296, $B$2:B296, B296)</f>
        <v>9</v>
      </c>
      <c r="AH296" s="86">
        <f>AVERAGEIFS($I$2:I296, $B$2:B296, B296)</f>
        <v>0.56874999999999998</v>
      </c>
      <c r="AI296" s="86">
        <f>AVERAGEIFS($J$2:J296, $B$2:B296, B296)</f>
        <v>0.51374999999999993</v>
      </c>
      <c r="AJ296" s="86">
        <f>AVERAGEIFS($D$2:D296, $B$2:B296, B296)</f>
        <v>0.5</v>
      </c>
    </row>
    <row r="297" spans="1:36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1</v>
      </c>
      <c r="AF297">
        <v>0</v>
      </c>
      <c r="AG297" s="86">
        <f>AVERAGEIFS($C$2:C297, $B$2:B297, B297)</f>
        <v>15.666666666666666</v>
      </c>
      <c r="AH297" s="86">
        <f>AVERAGEIFS($I$2:I297, $B$2:B297, B297)</f>
        <v>0.5</v>
      </c>
      <c r="AI297" s="86">
        <f>AVERAGEIFS($J$2:J297, $B$2:B297, B297)</f>
        <v>0.46333333333333332</v>
      </c>
      <c r="AJ297" s="86">
        <f>AVERAGEIFS($D$2:D297, $B$2:B297, B297)</f>
        <v>0.5</v>
      </c>
    </row>
    <row r="298" spans="1:36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1</v>
      </c>
      <c r="AF298">
        <v>0</v>
      </c>
      <c r="AG298" s="86">
        <f>AVERAGEIFS($C$2:C298, $B$2:B298, B298)</f>
        <v>17.5</v>
      </c>
      <c r="AH298" s="86">
        <f>AVERAGEIFS($I$2:I298, $B$2:B298, B298)</f>
        <v>0.60833333333333328</v>
      </c>
      <c r="AI298" s="86">
        <f>AVERAGEIFS($J$2:J298, $B$2:B298, B298)</f>
        <v>0.52166666666666661</v>
      </c>
      <c r="AJ298" s="86">
        <f>AVERAGEIFS($D$2:D298, $B$2:B298, B298)</f>
        <v>0.75</v>
      </c>
    </row>
    <row r="299" spans="1:36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 s="86">
        <f>AVERAGEIFS($C$2:C299, $B$2:B299, B299)</f>
        <v>15.25</v>
      </c>
      <c r="AH299" s="86">
        <f>AVERAGEIFS($I$2:I299, $B$2:B299, B299)</f>
        <v>0.32500000000000001</v>
      </c>
      <c r="AI299" s="86">
        <f>AVERAGEIFS($J$2:J299, $B$2:B299, B299)</f>
        <v>0.40249999999999997</v>
      </c>
      <c r="AJ299" s="86">
        <f>AVERAGEIFS($D$2:D299, $B$2:B299, B299)</f>
        <v>0.25</v>
      </c>
    </row>
    <row r="300" spans="1:36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1</v>
      </c>
      <c r="AG300" s="86">
        <f>AVERAGEIFS($C$2:C300, $B$2:B300, B300)</f>
        <v>18.307692307692307</v>
      </c>
      <c r="AH300" s="86">
        <f>AVERAGEIFS($I$2:I300, $B$2:B300, B300)</f>
        <v>0.61923076923076914</v>
      </c>
      <c r="AI300" s="86">
        <f>AVERAGEIFS($J$2:J300, $B$2:B300, B300)</f>
        <v>0.533076923076923</v>
      </c>
      <c r="AJ300" s="86">
        <f>AVERAGEIFS($D$2:D300, $B$2:B300, B300)</f>
        <v>0.76923076923076927</v>
      </c>
    </row>
    <row r="301" spans="1:36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1</v>
      </c>
      <c r="AG301" s="86">
        <f>AVERAGEIFS($C$2:C301, $B$2:B301, B301)</f>
        <v>15.444444444444445</v>
      </c>
      <c r="AH301" s="86">
        <f>AVERAGEIFS($I$2:I301, $B$2:B301, B301)</f>
        <v>0.37222222222222223</v>
      </c>
      <c r="AI301" s="86">
        <f>AVERAGEIFS($J$2:J301, $B$2:B301, B301)</f>
        <v>0.43222222222222217</v>
      </c>
      <c r="AJ301" s="86">
        <f>AVERAGEIFS($D$2:D301, $B$2:B301, B301)</f>
        <v>0.33333333333333331</v>
      </c>
    </row>
    <row r="302" spans="1:36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1</v>
      </c>
      <c r="AG302" s="86">
        <f>AVERAGEIFS($C$2:C302, $B$2:B302, B302)</f>
        <v>22</v>
      </c>
      <c r="AH302" s="86">
        <f>AVERAGEIFS($I$2:I302, $B$2:B302, B302)</f>
        <v>0.54545454545454541</v>
      </c>
      <c r="AI302" s="86">
        <f>AVERAGEIFS($J$2:J302, $B$2:B302, B302)</f>
        <v>0.52454545454545454</v>
      </c>
      <c r="AJ302" s="86">
        <f>AVERAGEIFS($D$2:D302, $B$2:B302, B302)</f>
        <v>0.54545454545454541</v>
      </c>
    </row>
    <row r="303" spans="1:36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1</v>
      </c>
      <c r="AG303" s="86">
        <f>AVERAGEIFS($C$2:C303, $B$2:B303, B303)</f>
        <v>18.333333333333332</v>
      </c>
      <c r="AH303" s="86">
        <f>AVERAGEIFS($I$2:I303, $B$2:B303, B303)</f>
        <v>0.55666666666666675</v>
      </c>
      <c r="AI303" s="86">
        <f>AVERAGEIFS($J$2:J303, $B$2:B303, B303)</f>
        <v>0.52533333333333332</v>
      </c>
      <c r="AJ303" s="86">
        <f>AVERAGEIFS($D$2:D303, $B$2:B303, B303)</f>
        <v>0.6</v>
      </c>
    </row>
    <row r="304" spans="1:36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1</v>
      </c>
      <c r="AG304" s="86">
        <f>AVERAGEIFS($C$2:C304, $B$2:B304, B304)</f>
        <v>9.4444444444444446</v>
      </c>
      <c r="AH304" s="86">
        <f>AVERAGEIFS($I$2:I304, $B$2:B304, B304)</f>
        <v>0.58888888888888891</v>
      </c>
      <c r="AI304" s="86">
        <f>AVERAGEIFS($J$2:J304, $B$2:B304, B304)</f>
        <v>0.53111111111111109</v>
      </c>
      <c r="AJ304" s="86">
        <f>AVERAGEIFS($D$2:D304, $B$2:B304, B304)</f>
        <v>0.55555555555555558</v>
      </c>
    </row>
    <row r="305" spans="1:36" x14ac:dyDescent="0.25">
      <c r="A305" s="85">
        <v>46146</v>
      </c>
      <c r="B305" t="s">
        <v>180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1</v>
      </c>
      <c r="AG305" s="86">
        <f>AVERAGEIFS($C$2:C305, $B$2:B305, B305)</f>
        <v>11</v>
      </c>
      <c r="AH305" s="86">
        <f>AVERAGEIFS($I$2:I305, $B$2:B305, B305)</f>
        <v>0.75</v>
      </c>
      <c r="AI305" s="86">
        <f>AVERAGEIFS($J$2:J305, $B$2:B305, B305)</f>
        <v>0.67</v>
      </c>
      <c r="AJ305" s="86">
        <f>AVERAGEIFS($D$2:D305, $B$2:B305, B305)</f>
        <v>1</v>
      </c>
    </row>
    <row r="306" spans="1:36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 s="86">
        <f>AVERAGEIFS($C$2:C306, $B$2:B306, B306)</f>
        <v>14.375</v>
      </c>
      <c r="AH306" s="86">
        <f>AVERAGEIFS($I$2:I306, $B$2:B306, B306)</f>
        <v>0.49375000000000002</v>
      </c>
      <c r="AI306" s="86">
        <f>AVERAGEIFS($J$2:J306, $B$2:B306, B306)</f>
        <v>0.49624999999999997</v>
      </c>
      <c r="AJ306" s="86">
        <f>AVERAGEIFS($D$2:D306, $B$2:B306, B306)</f>
        <v>0.625</v>
      </c>
    </row>
    <row r="307" spans="1:36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 s="86">
        <f>AVERAGEIFS($C$2:C307, $B$2:B307, B307)</f>
        <v>14.583333333333334</v>
      </c>
      <c r="AH307" s="86">
        <f>AVERAGEIFS($I$2:I307, $B$2:B307, B307)</f>
        <v>0.46249999999999997</v>
      </c>
      <c r="AI307" s="86">
        <f>AVERAGEIFS($J$2:J307, $B$2:B307, B307)</f>
        <v>0.51083333333333336</v>
      </c>
      <c r="AJ307" s="86">
        <f>AVERAGEIFS($D$2:D307, $B$2:B307, B307)</f>
        <v>0.33333333333333331</v>
      </c>
    </row>
    <row r="308" spans="1:36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s="86">
        <f>AVERAGEIFS($C$2:C308, $B$2:B308, B308)</f>
        <v>19.076923076923077</v>
      </c>
      <c r="AH308" s="86">
        <f>AVERAGEIFS($I$2:I308, $B$2:B308, B308)</f>
        <v>0.7038461538461539</v>
      </c>
      <c r="AI308" s="86">
        <f>AVERAGEIFS($J$2:J308, $B$2:B308, B308)</f>
        <v>0.61615384615384616</v>
      </c>
      <c r="AJ308" s="86">
        <f>AVERAGEIFS($D$2:D308, $B$2:B308, B308)</f>
        <v>0.76923076923076927</v>
      </c>
    </row>
    <row r="309" spans="1:36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s="86">
        <f>AVERAGEIFS($C$2:C309, $B$2:B309, B309)</f>
        <v>26.25</v>
      </c>
      <c r="AH309" s="86">
        <f>AVERAGEIFS($I$2:I309, $B$2:B309, B309)</f>
        <v>0.53749999999999998</v>
      </c>
      <c r="AI309" s="86">
        <f>AVERAGEIFS($J$2:J309, $B$2:B309, B309)</f>
        <v>0.50749999999999995</v>
      </c>
      <c r="AJ309" s="86">
        <f>AVERAGEIFS($D$2:D309, $B$2:B309, B309)</f>
        <v>0.58333333333333337</v>
      </c>
    </row>
    <row r="310" spans="1:36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 s="86">
        <f>AVERAGEIFS($C$2:C310, $B$2:B310, B310)</f>
        <v>17.444444444444443</v>
      </c>
      <c r="AH310" s="86">
        <f>AVERAGEIFS($I$2:I310, $B$2:B310, B310)</f>
        <v>0.43611111111111112</v>
      </c>
      <c r="AI310" s="86">
        <f>AVERAGEIFS($J$2:J310, $B$2:B310, B310)</f>
        <v>0.44555555555555565</v>
      </c>
      <c r="AJ310" s="86">
        <f>AVERAGEIFS($D$2:D310, $B$2:B310, B310)</f>
        <v>0.44444444444444442</v>
      </c>
    </row>
    <row r="311" spans="1:36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 s="86">
        <f>AVERAGEIFS($C$2:C311, $B$2:B311, B311)</f>
        <v>13.25</v>
      </c>
      <c r="AH311" s="86">
        <f>AVERAGEIFS($I$2:I311, $B$2:B311, B311)</f>
        <v>0.41249999999999998</v>
      </c>
      <c r="AI311" s="86">
        <f>AVERAGEIFS($J$2:J311, $B$2:B311, B311)</f>
        <v>0.44000000000000006</v>
      </c>
      <c r="AJ311" s="86">
        <f>AVERAGEIFS($D$2:D311, $B$2:B311, B311)</f>
        <v>0.25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C13" sqref="C13"/>
    </sheetView>
  </sheetViews>
  <sheetFormatPr defaultRowHeight="15" x14ac:dyDescent="0.25"/>
  <cols>
    <col min="1" max="1" width="29.2851562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181</v>
      </c>
      <c r="B1" s="98" t="s">
        <v>182</v>
      </c>
      <c r="C1" s="98" t="s">
        <v>184</v>
      </c>
      <c r="D1" s="98" t="s">
        <v>183</v>
      </c>
    </row>
    <row r="2" spans="1:4" x14ac:dyDescent="0.25">
      <c r="A2" t="s">
        <v>189</v>
      </c>
      <c r="B2" s="99" t="s">
        <v>188</v>
      </c>
      <c r="C2" t="s">
        <v>192</v>
      </c>
      <c r="D2" t="s">
        <v>186</v>
      </c>
    </row>
    <row r="3" spans="1:4" x14ac:dyDescent="0.25">
      <c r="A3" t="s">
        <v>190</v>
      </c>
      <c r="B3" s="99" t="s">
        <v>191</v>
      </c>
      <c r="C3" t="s">
        <v>192</v>
      </c>
      <c r="D3" t="s">
        <v>193</v>
      </c>
    </row>
    <row r="4" spans="1:4" x14ac:dyDescent="0.25">
      <c r="A4" t="s">
        <v>189</v>
      </c>
      <c r="B4" s="99" t="s">
        <v>194</v>
      </c>
      <c r="C4" t="s">
        <v>192</v>
      </c>
      <c r="D4" t="s">
        <v>186</v>
      </c>
    </row>
    <row r="5" spans="1:4" x14ac:dyDescent="0.25">
      <c r="A5" t="s">
        <v>190</v>
      </c>
      <c r="B5" s="99" t="s">
        <v>195</v>
      </c>
      <c r="C5" t="s">
        <v>192</v>
      </c>
      <c r="D5" t="s">
        <v>193</v>
      </c>
    </row>
    <row r="6" spans="1:4" x14ac:dyDescent="0.25">
      <c r="A6" t="s">
        <v>189</v>
      </c>
      <c r="B6" s="99" t="s">
        <v>196</v>
      </c>
      <c r="C6" t="s">
        <v>192</v>
      </c>
      <c r="D6" t="s">
        <v>186</v>
      </c>
    </row>
    <row r="7" spans="1:4" x14ac:dyDescent="0.25">
      <c r="A7" t="s">
        <v>190</v>
      </c>
      <c r="B7" s="99" t="s">
        <v>197</v>
      </c>
      <c r="C7" t="s">
        <v>192</v>
      </c>
      <c r="D7" t="s">
        <v>193</v>
      </c>
    </row>
    <row r="8" spans="1:4" x14ac:dyDescent="0.25">
      <c r="A8" t="s">
        <v>189</v>
      </c>
      <c r="B8" s="99" t="s">
        <v>205</v>
      </c>
      <c r="C8" t="s">
        <v>192</v>
      </c>
      <c r="D8" t="s">
        <v>186</v>
      </c>
    </row>
    <row r="9" spans="1:4" x14ac:dyDescent="0.25">
      <c r="A9" t="s">
        <v>190</v>
      </c>
      <c r="B9" s="99" t="s">
        <v>206</v>
      </c>
      <c r="C9" t="s">
        <v>192</v>
      </c>
      <c r="D9" t="s">
        <v>193</v>
      </c>
    </row>
    <row r="10" spans="1:4" x14ac:dyDescent="0.25">
      <c r="A10" t="s">
        <v>189</v>
      </c>
      <c r="B10" s="99" t="s">
        <v>207</v>
      </c>
      <c r="C10" t="s">
        <v>192</v>
      </c>
      <c r="D10" t="s">
        <v>186</v>
      </c>
    </row>
    <row r="11" spans="1:4" x14ac:dyDescent="0.25">
      <c r="A11" t="s">
        <v>190</v>
      </c>
      <c r="B11" s="99" t="s">
        <v>208</v>
      </c>
      <c r="C11" t="s">
        <v>192</v>
      </c>
      <c r="D11" t="s">
        <v>193</v>
      </c>
    </row>
    <row r="12" spans="1:4" x14ac:dyDescent="0.25">
      <c r="A12" t="s">
        <v>210</v>
      </c>
      <c r="B12" s="99" t="s">
        <v>187</v>
      </c>
      <c r="C12" t="s">
        <v>211</v>
      </c>
      <c r="D12" t="s">
        <v>185</v>
      </c>
    </row>
    <row r="13" spans="1:4" x14ac:dyDescent="0.25">
      <c r="A13" t="s">
        <v>199</v>
      </c>
      <c r="B13" s="99" t="s">
        <v>198</v>
      </c>
      <c r="C13" t="s">
        <v>202</v>
      </c>
      <c r="D13" t="s">
        <v>185</v>
      </c>
    </row>
    <row r="14" spans="1:4" x14ac:dyDescent="0.25">
      <c r="A14" t="s">
        <v>200</v>
      </c>
      <c r="B14" s="99" t="s">
        <v>201</v>
      </c>
      <c r="C14" t="s">
        <v>202</v>
      </c>
      <c r="D14" t="s">
        <v>209</v>
      </c>
    </row>
    <row r="15" spans="1:4" x14ac:dyDescent="0.25">
      <c r="A15" t="s">
        <v>203</v>
      </c>
      <c r="B15" s="99" t="s">
        <v>204</v>
      </c>
      <c r="C15" t="s">
        <v>202</v>
      </c>
      <c r="D15" t="s">
        <v>209</v>
      </c>
    </row>
    <row r="16" spans="1:4" x14ac:dyDescent="0.25">
      <c r="B16" s="99"/>
    </row>
    <row r="17" spans="2:2" x14ac:dyDescent="0.25">
      <c r="B17" s="99"/>
    </row>
    <row r="18" spans="2:2" x14ac:dyDescent="0.25">
      <c r="B18" s="99"/>
    </row>
    <row r="19" spans="2:2" x14ac:dyDescent="0.25">
      <c r="B19" s="99"/>
    </row>
    <row r="20" spans="2:2" x14ac:dyDescent="0.25">
      <c r="B20" s="99"/>
    </row>
    <row r="21" spans="2:2" x14ac:dyDescent="0.25">
      <c r="B21" s="99"/>
    </row>
    <row r="22" spans="2:2" x14ac:dyDescent="0.25">
      <c r="B22" s="99"/>
    </row>
    <row r="23" spans="2:2" x14ac:dyDescent="0.25">
      <c r="B23" s="99"/>
    </row>
    <row r="24" spans="2:2" x14ac:dyDescent="0.25">
      <c r="B24" s="99"/>
    </row>
    <row r="25" spans="2:2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2026-05-05T23:02:08Z</dcterms:modified>
</cp:coreProperties>
</file>