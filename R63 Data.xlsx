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BDBCA87-42C9-4301-8D49-1AB56260FC8B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5" r:id="rId6"/>
  </sheets>
  <definedNames>
    <definedName name="_xlnm._FilterDatabase" localSheetId="3" hidden="1">BA!$A$1:$AG$46</definedName>
    <definedName name="_xlnm._FilterDatabase" localSheetId="0" hidden="1">'Old Bow'!$A$1:$AB$1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7" i="3" l="1"/>
  <c r="J37" i="3"/>
  <c r="G37" i="3"/>
  <c r="C37" i="3"/>
  <c r="AD24" i="5"/>
  <c r="AE24" i="5"/>
  <c r="AF24" i="5"/>
  <c r="AG24" i="5"/>
  <c r="AH24" i="5"/>
  <c r="C24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C23" i="5"/>
  <c r="E22" i="5"/>
  <c r="F22" i="5"/>
  <c r="G22" i="5"/>
  <c r="I22" i="5"/>
  <c r="J22" i="5"/>
  <c r="L22" i="5"/>
  <c r="M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C22" i="5"/>
  <c r="E21" i="5"/>
  <c r="F21" i="5"/>
  <c r="G21" i="5"/>
  <c r="I21" i="5"/>
  <c r="J21" i="5"/>
  <c r="L21" i="5"/>
  <c r="M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C21" i="5"/>
  <c r="E20" i="5"/>
  <c r="F20" i="5"/>
  <c r="G20" i="5"/>
  <c r="I20" i="5"/>
  <c r="J20" i="5"/>
  <c r="L20" i="5"/>
  <c r="M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C20" i="5"/>
  <c r="E19" i="5"/>
  <c r="F19" i="5"/>
  <c r="G19" i="5"/>
  <c r="I19" i="5"/>
  <c r="J19" i="5"/>
  <c r="L19" i="5"/>
  <c r="M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C19" i="5"/>
  <c r="E18" i="5"/>
  <c r="F18" i="5"/>
  <c r="G18" i="5"/>
  <c r="I18" i="5"/>
  <c r="J18" i="5"/>
  <c r="L18" i="5"/>
  <c r="M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C18" i="5"/>
  <c r="E17" i="5"/>
  <c r="F17" i="5"/>
  <c r="G17" i="5"/>
  <c r="I17" i="5"/>
  <c r="J17" i="5"/>
  <c r="L17" i="5"/>
  <c r="M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C17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C10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C9" i="5"/>
  <c r="E8" i="5"/>
  <c r="F8" i="5"/>
  <c r="G8" i="5"/>
  <c r="I8" i="5"/>
  <c r="J8" i="5"/>
  <c r="L8" i="5"/>
  <c r="M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C8" i="5"/>
  <c r="E7" i="5"/>
  <c r="F7" i="5"/>
  <c r="G7" i="5"/>
  <c r="I7" i="5"/>
  <c r="J7" i="5"/>
  <c r="L7" i="5"/>
  <c r="M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C7" i="5"/>
  <c r="E6" i="5"/>
  <c r="F6" i="5"/>
  <c r="G6" i="5"/>
  <c r="I6" i="5"/>
  <c r="J6" i="5"/>
  <c r="L6" i="5"/>
  <c r="M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C6" i="5"/>
  <c r="E5" i="5"/>
  <c r="F5" i="5"/>
  <c r="G5" i="5"/>
  <c r="I5" i="5"/>
  <c r="J5" i="5"/>
  <c r="L5" i="5"/>
  <c r="M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C5" i="5"/>
  <c r="E4" i="5"/>
  <c r="F4" i="5"/>
  <c r="G4" i="5"/>
  <c r="I4" i="5"/>
  <c r="J4" i="5"/>
  <c r="L4" i="5"/>
  <c r="M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C4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E3" i="5"/>
  <c r="F3" i="5"/>
  <c r="G3" i="5"/>
  <c r="I3" i="5"/>
  <c r="J3" i="5"/>
  <c r="L3" i="5"/>
  <c r="M3" i="5"/>
  <c r="C3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M3" i="3"/>
  <c r="M14" i="3"/>
  <c r="M6" i="3"/>
  <c r="N5" i="5" s="1"/>
  <c r="M5" i="3"/>
  <c r="M10" i="3"/>
  <c r="J6" i="3"/>
  <c r="K17" i="5" s="1"/>
  <c r="J5" i="3"/>
  <c r="J10" i="3"/>
  <c r="C6" i="3"/>
  <c r="D17" i="5" s="1"/>
  <c r="C5" i="3"/>
  <c r="C10" i="3"/>
  <c r="G6" i="3"/>
  <c r="H17" i="5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5" s="1"/>
  <c r="J9" i="3"/>
  <c r="K7" i="5" s="1"/>
  <c r="G9" i="3"/>
  <c r="H7" i="5" s="1"/>
  <c r="C9" i="3"/>
  <c r="D7" i="5" s="1"/>
  <c r="M43" i="3"/>
  <c r="J43" i="3"/>
  <c r="C43" i="3"/>
  <c r="G43" i="3"/>
  <c r="M34" i="3"/>
  <c r="M8" i="3"/>
  <c r="N18" i="5" s="1"/>
  <c r="J8" i="3"/>
  <c r="K18" i="5" s="1"/>
  <c r="J34" i="3"/>
  <c r="G8" i="3"/>
  <c r="H18" i="5" s="1"/>
  <c r="G27" i="3"/>
  <c r="H21" i="5" s="1"/>
  <c r="G32" i="3"/>
  <c r="G31" i="3"/>
  <c r="G34" i="3"/>
  <c r="C34" i="3"/>
  <c r="C32" i="3"/>
  <c r="C31" i="3"/>
  <c r="C27" i="3"/>
  <c r="D21" i="5" s="1"/>
  <c r="C8" i="3"/>
  <c r="D18" i="5" s="1"/>
  <c r="M45" i="3"/>
  <c r="J45" i="3"/>
  <c r="G45" i="3"/>
  <c r="C45" i="3"/>
  <c r="C41" i="3"/>
  <c r="D22" i="5" s="1"/>
  <c r="M18" i="3"/>
  <c r="N19" i="5" s="1"/>
  <c r="J18" i="3"/>
  <c r="K19" i="5" s="1"/>
  <c r="G18" i="3"/>
  <c r="H19" i="5" s="1"/>
  <c r="C18" i="3"/>
  <c r="D19" i="5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5" s="1"/>
  <c r="M24" i="3"/>
  <c r="M28" i="3"/>
  <c r="J2" i="3"/>
  <c r="K3" i="5" s="1"/>
  <c r="J24" i="3"/>
  <c r="J28" i="3"/>
  <c r="G2" i="3"/>
  <c r="H4" i="5" s="1"/>
  <c r="G24" i="3"/>
  <c r="G28" i="3"/>
  <c r="C2" i="3"/>
  <c r="D4" i="5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5" s="1"/>
  <c r="M16" i="3"/>
  <c r="J27" i="3"/>
  <c r="K21" i="5" s="1"/>
  <c r="J16" i="3"/>
  <c r="G16" i="3"/>
  <c r="C16" i="3"/>
  <c r="M42" i="3"/>
  <c r="M30" i="3"/>
  <c r="M29" i="3"/>
  <c r="M20" i="3"/>
  <c r="M17" i="3"/>
  <c r="M7" i="3"/>
  <c r="N6" i="5" s="1"/>
  <c r="M4" i="3"/>
  <c r="J42" i="3"/>
  <c r="J41" i="3"/>
  <c r="K22" i="5" s="1"/>
  <c r="J30" i="3"/>
  <c r="J29" i="3"/>
  <c r="J20" i="3"/>
  <c r="J17" i="3"/>
  <c r="J7" i="3"/>
  <c r="K6" i="5" s="1"/>
  <c r="J4" i="3"/>
  <c r="G42" i="3"/>
  <c r="G41" i="3"/>
  <c r="H22" i="5" s="1"/>
  <c r="G30" i="3"/>
  <c r="G29" i="3"/>
  <c r="G20" i="3"/>
  <c r="G17" i="3"/>
  <c r="G7" i="3"/>
  <c r="H6" i="5" s="1"/>
  <c r="C42" i="3"/>
  <c r="C30" i="3"/>
  <c r="C29" i="3"/>
  <c r="C20" i="3"/>
  <c r="G4" i="3"/>
  <c r="C4" i="3"/>
  <c r="M26" i="3"/>
  <c r="M22" i="3"/>
  <c r="M11" i="3"/>
  <c r="N8" i="5" s="1"/>
  <c r="J26" i="3"/>
  <c r="J22" i="3"/>
  <c r="J11" i="3"/>
  <c r="K8" i="5" s="1"/>
  <c r="G26" i="3"/>
  <c r="G22" i="3"/>
  <c r="G11" i="3"/>
  <c r="H8" i="5" s="1"/>
  <c r="C26" i="3"/>
  <c r="C24" i="3"/>
  <c r="C22" i="3"/>
  <c r="C11" i="3"/>
  <c r="D8" i="5" s="1"/>
  <c r="M41" i="3"/>
  <c r="N22" i="5" s="1"/>
  <c r="M23" i="3"/>
  <c r="G23" i="3"/>
  <c r="C23" i="3"/>
  <c r="C17" i="3"/>
  <c r="C7" i="3"/>
  <c r="D20" i="5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K18" i="4" s="1"/>
  <c r="I6" i="1"/>
  <c r="H18" i="4" s="1"/>
  <c r="E6" i="1"/>
  <c r="D18" i="4" s="1"/>
  <c r="O31" i="1"/>
  <c r="L31" i="1"/>
  <c r="E31" i="1"/>
  <c r="I31" i="1"/>
  <c r="O30" i="1"/>
  <c r="L30" i="1"/>
  <c r="I30" i="1"/>
  <c r="E30" i="1"/>
  <c r="O2" i="1"/>
  <c r="N4" i="4" s="1"/>
  <c r="L2" i="1"/>
  <c r="K4" i="4" s="1"/>
  <c r="I2" i="1"/>
  <c r="H4" i="4" s="1"/>
  <c r="E2" i="1"/>
  <c r="D4" i="4" s="1"/>
  <c r="E33" i="1"/>
  <c r="E17" i="1"/>
  <c r="E26" i="1"/>
  <c r="E35" i="1"/>
  <c r="D22" i="4" s="1"/>
  <c r="E24" i="1"/>
  <c r="E32" i="1"/>
  <c r="E34" i="1"/>
  <c r="E5" i="1"/>
  <c r="D20" i="4" s="1"/>
  <c r="E21" i="1"/>
  <c r="E7" i="1"/>
  <c r="D7" i="4" s="1"/>
  <c r="E9" i="1"/>
  <c r="E8" i="1"/>
  <c r="D8" i="4" s="1"/>
  <c r="E18" i="1"/>
  <c r="E16" i="1"/>
  <c r="E3" i="1"/>
  <c r="D3" i="4" s="1"/>
  <c r="E4" i="1"/>
  <c r="D5" i="4" s="1"/>
  <c r="E36" i="1"/>
  <c r="E29" i="1"/>
  <c r="E27" i="1"/>
  <c r="E23" i="1"/>
  <c r="D21" i="4" s="1"/>
  <c r="E15" i="1"/>
  <c r="O4" i="1"/>
  <c r="N5" i="4" s="1"/>
  <c r="L4" i="1"/>
  <c r="K5" i="4" s="1"/>
  <c r="I4" i="1"/>
  <c r="H5" i="4" s="1"/>
  <c r="O3" i="1"/>
  <c r="N17" i="4" s="1"/>
  <c r="L3" i="1"/>
  <c r="K17" i="4" s="1"/>
  <c r="I3" i="1"/>
  <c r="H17" i="4" s="1"/>
  <c r="O16" i="1"/>
  <c r="O18" i="1"/>
  <c r="O8" i="1"/>
  <c r="N8" i="4" s="1"/>
  <c r="L16" i="1"/>
  <c r="L18" i="1"/>
  <c r="L8" i="1"/>
  <c r="K8" i="4" s="1"/>
  <c r="L32" i="1"/>
  <c r="I16" i="1"/>
  <c r="I18" i="1"/>
  <c r="I8" i="1"/>
  <c r="H8" i="4" s="1"/>
  <c r="I32" i="1"/>
  <c r="O21" i="1"/>
  <c r="O7" i="1"/>
  <c r="N7" i="4" s="1"/>
  <c r="O9" i="1"/>
  <c r="L7" i="1"/>
  <c r="K7" i="4" s="1"/>
  <c r="L9" i="1"/>
  <c r="I7" i="1"/>
  <c r="H7" i="4" s="1"/>
  <c r="I9" i="1"/>
  <c r="O27" i="1"/>
  <c r="O23" i="1"/>
  <c r="N21" i="4" s="1"/>
  <c r="O36" i="1"/>
  <c r="O29" i="1"/>
  <c r="O33" i="1"/>
  <c r="O17" i="1"/>
  <c r="O26" i="1"/>
  <c r="O35" i="1"/>
  <c r="N22" i="4" s="1"/>
  <c r="O24" i="1"/>
  <c r="O32" i="1"/>
  <c r="O34" i="1"/>
  <c r="O5" i="1"/>
  <c r="N6" i="4" s="1"/>
  <c r="O15" i="1"/>
  <c r="L27" i="1"/>
  <c r="L23" i="1"/>
  <c r="K21" i="4" s="1"/>
  <c r="L36" i="1"/>
  <c r="L29" i="1"/>
  <c r="L33" i="1"/>
  <c r="L17" i="1"/>
  <c r="L26" i="1"/>
  <c r="L35" i="1"/>
  <c r="K22" i="4" s="1"/>
  <c r="L24" i="1"/>
  <c r="L34" i="1"/>
  <c r="L5" i="1"/>
  <c r="K6" i="4" s="1"/>
  <c r="L21" i="1"/>
  <c r="L15" i="1"/>
  <c r="I27" i="1"/>
  <c r="I23" i="1"/>
  <c r="H21" i="4" s="1"/>
  <c r="I36" i="1"/>
  <c r="I29" i="1"/>
  <c r="I33" i="1"/>
  <c r="I17" i="1"/>
  <c r="I26" i="1"/>
  <c r="I35" i="1"/>
  <c r="H22" i="4" s="1"/>
  <c r="I24" i="1"/>
  <c r="I34" i="1"/>
  <c r="I5" i="1"/>
  <c r="H20" i="4" s="1"/>
  <c r="I21" i="1"/>
  <c r="I15" i="1"/>
  <c r="D6" i="4" l="1"/>
  <c r="N19" i="4"/>
  <c r="T11" i="5"/>
  <c r="AH11" i="5"/>
  <c r="AD25" i="5"/>
  <c r="N17" i="5"/>
  <c r="H5" i="5"/>
  <c r="H3" i="5"/>
  <c r="D3" i="5"/>
  <c r="AE25" i="5"/>
  <c r="AG11" i="5"/>
  <c r="N20" i="5"/>
  <c r="AD11" i="5"/>
  <c r="T25" i="5"/>
  <c r="AH25" i="5"/>
  <c r="H20" i="5"/>
  <c r="H25" i="5" s="1"/>
  <c r="Z11" i="5"/>
  <c r="O11" i="5"/>
  <c r="K5" i="5"/>
  <c r="AG25" i="5"/>
  <c r="AF25" i="5"/>
  <c r="U25" i="5"/>
  <c r="K4" i="5"/>
  <c r="U11" i="5"/>
  <c r="K20" i="5"/>
  <c r="K25" i="5" s="1"/>
  <c r="X11" i="5"/>
  <c r="W11" i="5"/>
  <c r="AE11" i="5"/>
  <c r="D5" i="5"/>
  <c r="D6" i="5"/>
  <c r="N3" i="5"/>
  <c r="N11" i="5" s="1"/>
  <c r="AC11" i="5"/>
  <c r="AF11" i="5"/>
  <c r="AB11" i="5"/>
  <c r="Y11" i="5"/>
  <c r="H6" i="4"/>
  <c r="P25" i="5"/>
  <c r="D25" i="5"/>
  <c r="N3" i="4"/>
  <c r="N11" i="4" s="1"/>
  <c r="H3" i="4"/>
  <c r="H11" i="4" s="1"/>
  <c r="C31" i="4" s="1"/>
  <c r="D31" i="4" s="1"/>
  <c r="AC25" i="5"/>
  <c r="W25" i="5"/>
  <c r="V25" i="5"/>
  <c r="AA11" i="5"/>
  <c r="Q25" i="5"/>
  <c r="O25" i="5"/>
  <c r="AB25" i="5"/>
  <c r="V11" i="5"/>
  <c r="AA25" i="5"/>
  <c r="Z25" i="5"/>
  <c r="Y25" i="5"/>
  <c r="X25" i="5"/>
  <c r="R25" i="5"/>
  <c r="S25" i="5"/>
  <c r="P11" i="5"/>
  <c r="R11" i="5"/>
  <c r="Q11" i="5"/>
  <c r="S11" i="5"/>
  <c r="D17" i="4"/>
  <c r="N20" i="4"/>
  <c r="N18" i="4"/>
  <c r="K20" i="4"/>
  <c r="K3" i="4"/>
  <c r="K11" i="4" s="1"/>
  <c r="X11" i="4"/>
  <c r="W11" i="4"/>
  <c r="S11" i="4"/>
  <c r="U11" i="4"/>
  <c r="T11" i="4"/>
  <c r="V11" i="4"/>
  <c r="D11" i="4"/>
  <c r="R11" i="4"/>
  <c r="AC11" i="4"/>
  <c r="AB11" i="4"/>
  <c r="AA11" i="4"/>
  <c r="P11" i="4"/>
  <c r="Z11" i="4"/>
  <c r="Y11" i="4"/>
  <c r="T25" i="4"/>
  <c r="Q11" i="4"/>
  <c r="K19" i="4"/>
  <c r="K25" i="4" s="1"/>
  <c r="H19" i="4"/>
  <c r="H25" i="4" s="1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N25" i="4" l="1"/>
  <c r="N25" i="5"/>
  <c r="C33" i="5" s="1"/>
  <c r="D33" i="5" s="1"/>
  <c r="H11" i="5"/>
  <c r="C31" i="5" s="1"/>
  <c r="D31" i="5" s="1"/>
  <c r="C34" i="5"/>
  <c r="K11" i="5"/>
  <c r="C32" i="5" s="1"/>
  <c r="D32" i="5" s="1"/>
  <c r="C36" i="5"/>
  <c r="C35" i="5"/>
  <c r="D11" i="5"/>
  <c r="C30" i="5" s="1"/>
  <c r="D30" i="5" s="1"/>
  <c r="D34" i="5"/>
  <c r="D25" i="4"/>
  <c r="C30" i="4" s="1"/>
  <c r="D30" i="4" s="1"/>
  <c r="D35" i="5"/>
  <c r="D36" i="5"/>
  <c r="C32" i="4"/>
  <c r="D32" i="4" s="1"/>
  <c r="C33" i="4"/>
  <c r="D33" i="4" s="1"/>
  <c r="D36" i="4"/>
  <c r="D35" i="4"/>
  <c r="D34" i="4"/>
  <c r="C36" i="4"/>
  <c r="C35" i="4"/>
  <c r="C34" i="4"/>
</calcChain>
</file>

<file path=xl/sharedStrings.xml><?xml version="1.0" encoding="utf-8"?>
<sst xmlns="http://schemas.openxmlformats.org/spreadsheetml/2006/main" count="366" uniqueCount="123">
  <si>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</si>
  <si>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</si>
  <si>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</si>
  <si>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</si>
  <si>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</si>
  <si>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</si>
  <si>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</si>
  <si>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</si>
  <si>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</si>
  <si>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</si>
  <si>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</si>
  <si>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</si>
  <si>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</si>
  <si>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</si>
  <si>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</si>
  <si>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</si>
  <si>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</si>
  <si>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</si>
  <si>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</si>
  <si>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</si>
  <si>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</si>
  <si>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</si>
  <si>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</si>
  <si>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</si>
  <si>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</si>
  <si>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</si>
  <si>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</si>
  <si>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</si>
  <si>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</si>
  <si>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</si>
  <si>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</si>
  <si>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</si>
  <si>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</si>
  <si>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</si>
  <si>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</si>
  <si>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</si>
  <si>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</si>
  <si>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</si>
  <si>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</si>
  <si>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</si>
  <si>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</si>
  <si>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</si>
  <si>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</si>
  <si>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</si>
  <si>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</si>
  <si>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</si>
  <si>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</si>
  <si>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</si>
  <si>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</si>
  <si>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</si>
  <si>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</si>
  <si>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</si>
  <si>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</si>
  <si>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</si>
  <si>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</si>
  <si>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</si>
  <si>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</si>
  <si>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</si>
  <si>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</si>
  <si>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</si>
  <si>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</si>
  <si>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</si>
  <si>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</si>
  <si>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</si>
  <si>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</si>
  <si>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</si>
  <si>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</si>
  <si>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</si>
  <si>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</si>
  <si>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</si>
  <si>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</si>
  <si>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</si>
  <si>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</si>
  <si>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</si>
  <si>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</si>
  <si>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</si>
  <si>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</si>
  <si>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</si>
  <si>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</si>
  <si>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</si>
  <si>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</si>
  <si>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</si>
  <si>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</si>
  <si>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</si>
  <si>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</si>
  <si>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</si>
  <si>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</si>
  <si>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</si>
  <si>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</si>
  <si>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</si>
  <si>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</si>
  <si>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</si>
  <si>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</si>
  <si>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</si>
  <si>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</si>
  <si>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</si>
  <si>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</si>
  <si>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</si>
  <si>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</si>
  <si>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</si>
  <si>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</si>
  <si>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</si>
  <si>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</si>
  <si>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</si>
  <si>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</si>
  <si>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</si>
  <si>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</si>
  <si>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</si>
  <si>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</si>
  <si>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</si>
  <si>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</si>
  <si>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</si>
  <si>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</si>
  <si>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</si>
  <si>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</si>
  <si>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</si>
  <si>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</si>
  <si>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</si>
  <si>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</si>
  <si>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</si>
  <si>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Includes match data from 1/1/26 thru 2/22/26</t>
  </si>
  <si>
    <t>*2/19 match not added due to incomplete data</t>
  </si>
  <si>
    <t>*1/31 match not added due to incomplete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</si>
</sst>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3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7" fillId="0" borderId="0" xfId="0" applyFont="1"/>
    <xf numFmtId="0" fontId="6" fillId="0" borderId="0" xfId="0" applyFont="1"/>
    <xf numFmtId="0" fontId="0" fillId="0" borderId="0" xfId="0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8" xfId="0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38"/>
  <sheetViews>
    <sheetView tabSelected="1" workbookViewId="0">
      <selection activeCell="I41" sqref="I41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83</v>
      </c>
      <c r="J1" s="50" t="s">
        <v>64</v>
      </c>
      <c r="K1" s="22" t="s">
        <v>101</v>
      </c>
      <c r="L1" s="23" t="s">
        <v>84</v>
      </c>
      <c r="M1" s="51" t="s">
        <v>99</v>
      </c>
      <c r="N1" s="52" t="s">
        <v>100</v>
      </c>
      <c r="O1" s="46" t="s">
        <v>85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73">
        <v>95</v>
      </c>
      <c r="O2" s="41">
        <f t="shared" ref="O2:O37" si="3">M2/(M2+N2)</f>
        <v>0.46629213483146065</v>
      </c>
      <c r="P2" s="34">
        <v>3</v>
      </c>
      <c r="Q2" s="73">
        <v>0</v>
      </c>
      <c r="R2" s="73">
        <v>0</v>
      </c>
      <c r="S2" s="73">
        <v>3</v>
      </c>
      <c r="T2" s="73">
        <v>0</v>
      </c>
      <c r="U2" s="73">
        <v>3</v>
      </c>
      <c r="V2" s="73">
        <v>0</v>
      </c>
      <c r="W2" s="73">
        <v>0</v>
      </c>
      <c r="X2" s="73">
        <v>0</v>
      </c>
      <c r="Y2" s="73">
        <v>0</v>
      </c>
      <c r="Z2" s="74">
        <v>0</v>
      </c>
      <c r="AA2" s="73">
        <v>1</v>
      </c>
      <c r="AB2" s="73">
        <v>5</v>
      </c>
      <c r="AC2" s="73">
        <v>1</v>
      </c>
      <c r="AD2" s="47">
        <v>4</v>
      </c>
    </row>
    <row r="3" spans="1:30" x14ac:dyDescent="0.25">
      <c r="A3" s="2" t="s">
        <v>34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73">
        <v>3</v>
      </c>
      <c r="O3" s="41">
        <f t="shared" si="3"/>
        <v>0.75</v>
      </c>
      <c r="P3" s="34">
        <v>0</v>
      </c>
      <c r="Q3" s="73">
        <v>0</v>
      </c>
      <c r="R3" s="73">
        <v>0</v>
      </c>
      <c r="S3" s="73">
        <v>1</v>
      </c>
      <c r="T3" s="73">
        <v>0</v>
      </c>
      <c r="U3" s="73">
        <v>0</v>
      </c>
      <c r="V3" s="73">
        <v>0</v>
      </c>
      <c r="W3" s="73">
        <v>0</v>
      </c>
      <c r="X3" s="73">
        <v>0</v>
      </c>
      <c r="Y3" s="73">
        <v>0</v>
      </c>
      <c r="Z3" s="74">
        <v>0</v>
      </c>
      <c r="AA3" s="73">
        <v>1</v>
      </c>
      <c r="AB3" s="73">
        <v>1</v>
      </c>
      <c r="AC3" s="73">
        <v>0</v>
      </c>
      <c r="AD3" s="47">
        <v>0</v>
      </c>
    </row>
    <row r="4" spans="1:30" x14ac:dyDescent="0.25">
      <c r="A4" s="2" t="s">
        <v>35</v>
      </c>
      <c r="D4" s="34">
        <v>98</v>
      </c>
      <c r="E4" s="4">
        <f t="shared" si="0"/>
        <v>9.8000000000000007</v>
      </c>
      <c r="F4" s="35">
        <v>21</v>
      </c>
      <c r="G4" s="34">
        <v>6</v>
      </c>
      <c r="H4" s="2">
        <v>4</v>
      </c>
      <c r="I4" s="41">
        <f t="shared" si="1"/>
        <v>0.6</v>
      </c>
      <c r="J4" s="34">
        <v>20</v>
      </c>
      <c r="K4" s="2">
        <v>19</v>
      </c>
      <c r="L4" s="41">
        <f t="shared" si="2"/>
        <v>0.51282051282051277</v>
      </c>
      <c r="M4" s="34">
        <v>82</v>
      </c>
      <c r="N4" s="73">
        <v>75</v>
      </c>
      <c r="O4" s="41">
        <f t="shared" si="3"/>
        <v>0.52229299363057324</v>
      </c>
      <c r="P4" s="34">
        <v>2</v>
      </c>
      <c r="Q4" s="73">
        <v>2</v>
      </c>
      <c r="R4" s="73">
        <v>0</v>
      </c>
      <c r="S4" s="73">
        <v>2</v>
      </c>
      <c r="T4" s="73">
        <v>0</v>
      </c>
      <c r="U4" s="73">
        <v>5</v>
      </c>
      <c r="V4" s="73">
        <v>0</v>
      </c>
      <c r="W4" s="73">
        <v>0</v>
      </c>
      <c r="X4" s="73">
        <v>0</v>
      </c>
      <c r="Y4" s="73">
        <v>0</v>
      </c>
      <c r="Z4" s="74">
        <v>0</v>
      </c>
      <c r="AA4" s="73">
        <v>3</v>
      </c>
      <c r="AB4" s="73">
        <v>3</v>
      </c>
      <c r="AC4" s="73">
        <v>1</v>
      </c>
      <c r="AD4" s="47">
        <v>2</v>
      </c>
    </row>
    <row r="5" spans="1:30" x14ac:dyDescent="0.25">
      <c r="A5" s="2" t="s">
        <v>19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73">
        <v>174</v>
      </c>
      <c r="O5" s="41">
        <f t="shared" si="3"/>
        <v>0.45283018867924529</v>
      </c>
      <c r="P5" s="34">
        <v>3</v>
      </c>
      <c r="Q5" s="73">
        <v>0</v>
      </c>
      <c r="R5" s="73">
        <v>1</v>
      </c>
      <c r="S5" s="73">
        <v>2</v>
      </c>
      <c r="T5" s="73">
        <v>0</v>
      </c>
      <c r="U5" s="73">
        <v>5</v>
      </c>
      <c r="V5" s="73">
        <v>1</v>
      </c>
      <c r="W5" s="73">
        <v>0</v>
      </c>
      <c r="X5" s="73">
        <v>1</v>
      </c>
      <c r="Y5" s="73">
        <v>1</v>
      </c>
      <c r="Z5" s="74">
        <v>0</v>
      </c>
      <c r="AA5" s="73">
        <v>4</v>
      </c>
      <c r="AB5" s="73">
        <v>8</v>
      </c>
      <c r="AC5" s="73">
        <v>0</v>
      </c>
      <c r="AD5" s="47">
        <v>5</v>
      </c>
    </row>
    <row r="6" spans="1:30" x14ac:dyDescent="0.25">
      <c r="A6" s="1" t="s">
        <v>42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74">
        <v>9</v>
      </c>
      <c r="O6" s="42">
        <f t="shared" si="3"/>
        <v>0.18181818181818182</v>
      </c>
      <c r="P6" s="36">
        <v>0</v>
      </c>
      <c r="Q6" s="74">
        <v>0</v>
      </c>
      <c r="R6" s="74">
        <v>0</v>
      </c>
      <c r="S6" s="74">
        <v>0</v>
      </c>
      <c r="T6" s="73">
        <v>0</v>
      </c>
      <c r="U6" s="74">
        <v>0</v>
      </c>
      <c r="V6" s="74">
        <v>0</v>
      </c>
      <c r="W6" s="74">
        <v>0</v>
      </c>
      <c r="X6" s="73">
        <v>0</v>
      </c>
      <c r="Y6" s="73">
        <v>0</v>
      </c>
      <c r="Z6" s="74">
        <v>0</v>
      </c>
      <c r="AA6" s="74">
        <v>0</v>
      </c>
      <c r="AB6" s="74">
        <v>0</v>
      </c>
      <c r="AC6" s="74">
        <v>0</v>
      </c>
      <c r="AD6" s="76">
        <v>0</v>
      </c>
    </row>
    <row r="7" spans="1:30" x14ac:dyDescent="0.25">
      <c r="A7" s="2" t="s">
        <v>25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73">
        <v>57</v>
      </c>
      <c r="O7" s="41">
        <f t="shared" si="3"/>
        <v>0.57777777777777772</v>
      </c>
      <c r="P7" s="34">
        <v>2</v>
      </c>
      <c r="Q7" s="73">
        <v>0</v>
      </c>
      <c r="R7" s="73">
        <v>0</v>
      </c>
      <c r="S7" s="73">
        <v>2</v>
      </c>
      <c r="T7" s="73">
        <v>0</v>
      </c>
      <c r="U7" s="73">
        <v>3</v>
      </c>
      <c r="V7" s="73">
        <v>2</v>
      </c>
      <c r="W7" s="73">
        <v>1</v>
      </c>
      <c r="X7" s="73">
        <v>0</v>
      </c>
      <c r="Y7" s="73">
        <v>0</v>
      </c>
      <c r="Z7" s="74">
        <v>0</v>
      </c>
      <c r="AA7" s="73">
        <v>2</v>
      </c>
      <c r="AB7" s="73">
        <v>3</v>
      </c>
      <c r="AC7" s="73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/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73">
        <v>108</v>
      </c>
      <c r="O8" s="41">
        <f t="shared" si="3"/>
        <v>0.48076923076923078</v>
      </c>
      <c r="P8" s="34">
        <v>0</v>
      </c>
      <c r="Q8" s="73">
        <v>1</v>
      </c>
      <c r="R8" s="73">
        <v>2</v>
      </c>
      <c r="S8" s="73">
        <v>1</v>
      </c>
      <c r="T8" s="74">
        <v>2</v>
      </c>
      <c r="U8" s="73">
        <v>4</v>
      </c>
      <c r="V8" s="73">
        <v>1</v>
      </c>
      <c r="W8" s="73">
        <v>0</v>
      </c>
      <c r="X8" s="73">
        <v>0</v>
      </c>
      <c r="Y8" s="73">
        <v>0</v>
      </c>
      <c r="Z8" s="74">
        <v>0</v>
      </c>
      <c r="AA8" s="73">
        <v>4</v>
      </c>
      <c r="AB8" s="73">
        <v>4</v>
      </c>
      <c r="AC8" s="73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/>
      <c r="D9" s="34">
        <v>153</v>
      </c>
      <c r="E9" s="4">
        <f t="shared" si="0"/>
        <v>11.76923076923077</v>
      </c>
      <c r="F9" s="35">
        <v>19</v>
      </c>
      <c r="G9" s="34">
        <v>10</v>
      </c>
      <c r="H9" s="2">
        <v>3</v>
      </c>
      <c r="I9" s="41">
        <f t="shared" si="1"/>
        <v>0.76923076923076927</v>
      </c>
      <c r="J9" s="34">
        <v>35</v>
      </c>
      <c r="K9" s="2">
        <v>18</v>
      </c>
      <c r="L9" s="41">
        <f t="shared" si="2"/>
        <v>0.660377358490566</v>
      </c>
      <c r="M9" s="34">
        <v>129</v>
      </c>
      <c r="N9" s="73">
        <v>92</v>
      </c>
      <c r="O9" s="41">
        <f t="shared" si="3"/>
        <v>0.58371040723981904</v>
      </c>
      <c r="P9" s="34">
        <v>1</v>
      </c>
      <c r="Q9" s="73">
        <v>1</v>
      </c>
      <c r="R9" s="73">
        <v>2</v>
      </c>
      <c r="S9" s="73">
        <v>6</v>
      </c>
      <c r="T9" s="73">
        <v>2</v>
      </c>
      <c r="U9" s="73">
        <v>6</v>
      </c>
      <c r="V9" s="73">
        <v>3</v>
      </c>
      <c r="W9" s="73">
        <v>1</v>
      </c>
      <c r="X9" s="73">
        <v>1</v>
      </c>
      <c r="Y9" s="73">
        <v>1</v>
      </c>
      <c r="Z9" s="74">
        <v>0</v>
      </c>
      <c r="AA9" s="73">
        <v>3</v>
      </c>
      <c r="AB9" s="73">
        <v>4</v>
      </c>
      <c r="AC9" s="73">
        <v>1</v>
      </c>
      <c r="AD9" s="47">
        <v>3</v>
      </c>
    </row>
    <row r="10" spans="1:30" x14ac:dyDescent="0.25">
      <c r="A10" s="2" t="s">
        <v>78</v>
      </c>
      <c r="B10" s="6"/>
      <c r="C10" s="6"/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73">
        <v>0</v>
      </c>
      <c r="O10" s="41" t="s">
        <v>79</v>
      </c>
      <c r="P10" s="34">
        <v>0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4">
        <v>0</v>
      </c>
      <c r="AA10" s="73">
        <v>0</v>
      </c>
      <c r="AB10" s="73">
        <v>0</v>
      </c>
      <c r="AC10" s="73">
        <v>0</v>
      </c>
      <c r="AD10" s="47">
        <v>0</v>
      </c>
    </row>
    <row r="11" spans="1:30" x14ac:dyDescent="0.25">
      <c r="A11" s="1" t="s">
        <v>45</v>
      </c>
      <c r="D11" s="34">
        <v>67</v>
      </c>
      <c r="E11" s="4">
        <f t="shared" si="0"/>
        <v>9.5714285714285712</v>
      </c>
      <c r="F11" s="35">
        <v>17</v>
      </c>
      <c r="G11" s="36">
        <v>2</v>
      </c>
      <c r="H11" s="1">
        <v>5</v>
      </c>
      <c r="I11" s="42">
        <f t="shared" si="1"/>
        <v>0.2857142857142857</v>
      </c>
      <c r="J11" s="36">
        <v>11</v>
      </c>
      <c r="K11" s="1">
        <v>16</v>
      </c>
      <c r="L11" s="42">
        <f t="shared" si="2"/>
        <v>0.40740740740740738</v>
      </c>
      <c r="M11" s="36">
        <v>50</v>
      </c>
      <c r="N11" s="74">
        <v>61</v>
      </c>
      <c r="O11" s="42">
        <f t="shared" si="3"/>
        <v>0.45045045045045046</v>
      </c>
      <c r="P11" s="34">
        <v>0</v>
      </c>
      <c r="Q11" s="73">
        <v>1</v>
      </c>
      <c r="R11" s="73">
        <v>0</v>
      </c>
      <c r="S11" s="73">
        <v>1</v>
      </c>
      <c r="T11" s="73">
        <v>0</v>
      </c>
      <c r="U11" s="73">
        <v>3</v>
      </c>
      <c r="V11" s="73">
        <v>0</v>
      </c>
      <c r="W11" s="73">
        <v>0</v>
      </c>
      <c r="X11" s="73">
        <v>0</v>
      </c>
      <c r="Y11" s="73">
        <v>0</v>
      </c>
      <c r="Z11" s="74">
        <v>0</v>
      </c>
      <c r="AA11" s="73">
        <v>1</v>
      </c>
      <c r="AB11" s="73">
        <v>3</v>
      </c>
      <c r="AC11" s="73">
        <v>1</v>
      </c>
      <c r="AD11" s="47">
        <v>1</v>
      </c>
    </row>
    <row r="12" spans="1:30" x14ac:dyDescent="0.25">
      <c r="A12" s="2" t="s">
        <v>50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74">
        <v>22</v>
      </c>
      <c r="O12" s="42">
        <f t="shared" si="3"/>
        <v>0.37142857142857144</v>
      </c>
      <c r="P12" s="34">
        <v>0</v>
      </c>
      <c r="Q12" s="73">
        <v>0</v>
      </c>
      <c r="R12" s="73">
        <v>0</v>
      </c>
      <c r="S12" s="73">
        <v>0</v>
      </c>
      <c r="T12" s="73">
        <v>0</v>
      </c>
      <c r="U12" s="73">
        <v>1</v>
      </c>
      <c r="V12" s="73">
        <v>0</v>
      </c>
      <c r="W12" s="73">
        <v>0</v>
      </c>
      <c r="X12" s="73">
        <v>0</v>
      </c>
      <c r="Y12" s="73">
        <v>0</v>
      </c>
      <c r="Z12" s="74">
        <v>0</v>
      </c>
      <c r="AA12" s="73">
        <v>1</v>
      </c>
      <c r="AB12" s="73">
        <v>0</v>
      </c>
      <c r="AC12" s="73">
        <v>0</v>
      </c>
      <c r="AD12" s="47">
        <v>0</v>
      </c>
    </row>
    <row r="13" spans="1:30" x14ac:dyDescent="0.25">
      <c r="A13" s="2" t="s">
        <v>52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74">
        <v>9</v>
      </c>
      <c r="O13" s="42">
        <f t="shared" si="3"/>
        <v>0.30769230769230771</v>
      </c>
      <c r="P13" s="34">
        <v>0</v>
      </c>
      <c r="Q13" s="73">
        <v>0</v>
      </c>
      <c r="R13" s="73">
        <v>0</v>
      </c>
      <c r="S13" s="73">
        <v>0</v>
      </c>
      <c r="T13" s="73">
        <v>0</v>
      </c>
      <c r="U13" s="73">
        <v>0</v>
      </c>
      <c r="V13" s="73">
        <v>0</v>
      </c>
      <c r="W13" s="73">
        <v>0</v>
      </c>
      <c r="X13" s="73">
        <v>0</v>
      </c>
      <c r="Y13" s="73">
        <v>0</v>
      </c>
      <c r="Z13" s="74">
        <v>0</v>
      </c>
      <c r="AA13" s="73">
        <v>0</v>
      </c>
      <c r="AB13" s="73">
        <v>0</v>
      </c>
      <c r="AC13" s="73">
        <v>0</v>
      </c>
      <c r="AD13" s="47">
        <v>0</v>
      </c>
    </row>
    <row r="14" spans="1:30" x14ac:dyDescent="0.25">
      <c r="A14" s="1" t="s">
        <v>44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74">
        <v>4</v>
      </c>
      <c r="O14" s="42">
        <f t="shared" si="3"/>
        <v>0.69230769230769229</v>
      </c>
      <c r="P14" s="34">
        <v>0</v>
      </c>
      <c r="Q14" s="73">
        <v>0</v>
      </c>
      <c r="R14" s="73">
        <v>0</v>
      </c>
      <c r="S14" s="73">
        <v>0</v>
      </c>
      <c r="T14" s="73">
        <v>0</v>
      </c>
      <c r="U14" s="74">
        <v>1</v>
      </c>
      <c r="V14" s="73">
        <v>0</v>
      </c>
      <c r="W14" s="73">
        <v>0</v>
      </c>
      <c r="X14" s="73">
        <v>0</v>
      </c>
      <c r="Y14" s="73">
        <v>0</v>
      </c>
      <c r="Z14" s="74">
        <v>0</v>
      </c>
      <c r="AA14" s="73">
        <v>0</v>
      </c>
      <c r="AB14" s="74">
        <v>1</v>
      </c>
      <c r="AC14" s="73">
        <v>0</v>
      </c>
      <c r="AD14" s="76">
        <v>1</v>
      </c>
    </row>
    <row r="15" spans="1:30" x14ac:dyDescent="0.25">
      <c r="A15" s="2" t="s">
        <v>1</v>
      </c>
      <c r="B15" s="6" t="s">
        <v>60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73">
        <v>60</v>
      </c>
      <c r="O15" s="41">
        <f t="shared" si="3"/>
        <v>0.5</v>
      </c>
      <c r="P15" s="34">
        <v>0</v>
      </c>
      <c r="Q15" s="73">
        <v>1</v>
      </c>
      <c r="R15" s="73">
        <v>2</v>
      </c>
      <c r="S15" s="73">
        <v>0</v>
      </c>
      <c r="T15" s="74">
        <v>1</v>
      </c>
      <c r="U15" s="73">
        <v>1</v>
      </c>
      <c r="V15" s="73">
        <v>0</v>
      </c>
      <c r="W15" s="73">
        <v>0</v>
      </c>
      <c r="X15" s="73">
        <v>0</v>
      </c>
      <c r="Y15" s="73">
        <v>0</v>
      </c>
      <c r="Z15" s="74">
        <v>0</v>
      </c>
      <c r="AA15" s="73">
        <v>1</v>
      </c>
      <c r="AB15" s="73">
        <v>3</v>
      </c>
      <c r="AC15" s="73">
        <v>2</v>
      </c>
      <c r="AD15" s="47">
        <v>4</v>
      </c>
    </row>
    <row r="16" spans="1:30" x14ac:dyDescent="0.25">
      <c r="A16" s="2" t="s">
        <v>29</v>
      </c>
      <c r="B16" s="6" t="s">
        <v>60</v>
      </c>
      <c r="D16" s="34">
        <v>132</v>
      </c>
      <c r="E16" s="4">
        <f t="shared" si="0"/>
        <v>9.4285714285714288</v>
      </c>
      <c r="F16" s="35">
        <v>21</v>
      </c>
      <c r="G16" s="34">
        <v>7</v>
      </c>
      <c r="H16" s="2">
        <v>7</v>
      </c>
      <c r="I16" s="41">
        <f t="shared" si="1"/>
        <v>0.5</v>
      </c>
      <c r="J16" s="34">
        <v>27</v>
      </c>
      <c r="K16" s="2">
        <v>29</v>
      </c>
      <c r="L16" s="41">
        <f t="shared" si="2"/>
        <v>0.48214285714285715</v>
      </c>
      <c r="M16" s="34">
        <v>117</v>
      </c>
      <c r="N16" s="73">
        <v>120</v>
      </c>
      <c r="O16" s="41">
        <f t="shared" si="3"/>
        <v>0.49367088607594939</v>
      </c>
      <c r="P16" s="34">
        <v>2</v>
      </c>
      <c r="Q16" s="73">
        <v>2</v>
      </c>
      <c r="R16" s="73">
        <v>1</v>
      </c>
      <c r="S16" s="73">
        <v>2</v>
      </c>
      <c r="T16" s="74">
        <v>1</v>
      </c>
      <c r="U16" s="73">
        <v>3</v>
      </c>
      <c r="V16" s="73">
        <v>1</v>
      </c>
      <c r="W16" s="73">
        <v>0</v>
      </c>
      <c r="X16" s="73">
        <v>0</v>
      </c>
      <c r="Y16" s="73">
        <v>0</v>
      </c>
      <c r="Z16" s="74">
        <v>1</v>
      </c>
      <c r="AA16" s="73">
        <v>3</v>
      </c>
      <c r="AB16" s="73">
        <v>5</v>
      </c>
      <c r="AC16" s="73">
        <v>2</v>
      </c>
      <c r="AD16" s="47">
        <v>4</v>
      </c>
    </row>
    <row r="17" spans="1:30" x14ac:dyDescent="0.25">
      <c r="A17" s="2" t="s">
        <v>46</v>
      </c>
      <c r="D17" s="34">
        <v>160</v>
      </c>
      <c r="E17" s="4">
        <f t="shared" si="0"/>
        <v>20</v>
      </c>
      <c r="F17" s="35">
        <v>36</v>
      </c>
      <c r="G17" s="34">
        <v>4</v>
      </c>
      <c r="H17" s="2">
        <v>4</v>
      </c>
      <c r="I17" s="41">
        <f t="shared" si="1"/>
        <v>0.5</v>
      </c>
      <c r="J17" s="34">
        <v>15</v>
      </c>
      <c r="K17" s="2">
        <v>17</v>
      </c>
      <c r="L17" s="41">
        <f t="shared" si="2"/>
        <v>0.46875</v>
      </c>
      <c r="M17" s="34">
        <v>65</v>
      </c>
      <c r="N17" s="73">
        <v>72</v>
      </c>
      <c r="O17" s="41">
        <f t="shared" si="3"/>
        <v>0.47445255474452552</v>
      </c>
      <c r="P17" s="34">
        <v>0</v>
      </c>
      <c r="Q17" s="73">
        <v>1</v>
      </c>
      <c r="R17" s="73">
        <v>1</v>
      </c>
      <c r="S17" s="73">
        <v>1</v>
      </c>
      <c r="T17" s="73">
        <v>0</v>
      </c>
      <c r="U17" s="73">
        <v>5</v>
      </c>
      <c r="V17" s="73">
        <v>0</v>
      </c>
      <c r="W17" s="73">
        <v>0</v>
      </c>
      <c r="X17" s="73">
        <v>0</v>
      </c>
      <c r="Y17" s="73">
        <v>0</v>
      </c>
      <c r="Z17" s="74">
        <v>0</v>
      </c>
      <c r="AA17" s="73">
        <v>1</v>
      </c>
      <c r="AB17" s="73">
        <v>3</v>
      </c>
      <c r="AC17" s="73">
        <v>1</v>
      </c>
      <c r="AD17" s="47">
        <v>2</v>
      </c>
    </row>
    <row r="18" spans="1:30" x14ac:dyDescent="0.25">
      <c r="A18" s="2" t="s">
        <v>28</v>
      </c>
      <c r="B18" s="6" t="s">
        <v>60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73">
        <v>130</v>
      </c>
      <c r="O18" s="41">
        <f t="shared" si="3"/>
        <v>0.45833333333333331</v>
      </c>
      <c r="P18" s="34">
        <v>3</v>
      </c>
      <c r="Q18" s="73">
        <v>0</v>
      </c>
      <c r="R18" s="73">
        <v>1</v>
      </c>
      <c r="S18" s="73">
        <v>0</v>
      </c>
      <c r="T18" s="74">
        <v>1</v>
      </c>
      <c r="U18" s="73">
        <v>2</v>
      </c>
      <c r="V18" s="73">
        <v>1</v>
      </c>
      <c r="W18" s="73">
        <v>0</v>
      </c>
      <c r="X18" s="73">
        <v>1</v>
      </c>
      <c r="Y18" s="73">
        <v>1</v>
      </c>
      <c r="Z18" s="74">
        <v>0</v>
      </c>
      <c r="AA18" s="73">
        <v>1</v>
      </c>
      <c r="AB18" s="73">
        <v>3</v>
      </c>
      <c r="AC18" s="73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/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74">
        <v>26</v>
      </c>
      <c r="O19" s="42">
        <f t="shared" si="3"/>
        <v>0.50943396226415094</v>
      </c>
      <c r="P19" s="34">
        <v>0</v>
      </c>
      <c r="Q19" s="73">
        <v>0</v>
      </c>
      <c r="R19" s="73">
        <v>0</v>
      </c>
      <c r="S19" s="73">
        <v>1</v>
      </c>
      <c r="T19" s="73">
        <v>2</v>
      </c>
      <c r="U19" s="73">
        <v>1</v>
      </c>
      <c r="V19" s="73">
        <v>2</v>
      </c>
      <c r="W19" s="73">
        <v>0</v>
      </c>
      <c r="X19" s="73">
        <v>0</v>
      </c>
      <c r="Y19" s="73">
        <v>0</v>
      </c>
      <c r="Z19" s="74">
        <v>0</v>
      </c>
      <c r="AA19" s="73">
        <v>0</v>
      </c>
      <c r="AB19" s="73">
        <v>0</v>
      </c>
      <c r="AC19" s="73">
        <v>0</v>
      </c>
      <c r="AD19" s="47">
        <v>0</v>
      </c>
    </row>
    <row r="20" spans="1:30" x14ac:dyDescent="0.25">
      <c r="A20" s="2" t="s">
        <v>51</v>
      </c>
      <c r="D20" s="34">
        <v>150</v>
      </c>
      <c r="E20" s="4">
        <f t="shared" si="0"/>
        <v>13.636363636363637</v>
      </c>
      <c r="F20" s="35">
        <v>22</v>
      </c>
      <c r="G20" s="36">
        <v>7</v>
      </c>
      <c r="H20" s="1">
        <v>4</v>
      </c>
      <c r="I20" s="42">
        <f t="shared" si="1"/>
        <v>0.63636363636363635</v>
      </c>
      <c r="J20" s="36">
        <v>26</v>
      </c>
      <c r="K20" s="1">
        <v>20</v>
      </c>
      <c r="L20" s="42">
        <f t="shared" si="2"/>
        <v>0.56521739130434778</v>
      </c>
      <c r="M20" s="36">
        <v>99</v>
      </c>
      <c r="N20" s="74">
        <v>88</v>
      </c>
      <c r="O20" s="42">
        <f t="shared" si="3"/>
        <v>0.52941176470588236</v>
      </c>
      <c r="P20" s="34">
        <v>4</v>
      </c>
      <c r="Q20" s="73">
        <v>1</v>
      </c>
      <c r="R20" s="73">
        <v>0</v>
      </c>
      <c r="S20" s="73">
        <v>3</v>
      </c>
      <c r="T20" s="74">
        <v>0</v>
      </c>
      <c r="U20" s="73">
        <v>3</v>
      </c>
      <c r="V20" s="73">
        <v>0</v>
      </c>
      <c r="W20" s="73">
        <v>0</v>
      </c>
      <c r="X20" s="73">
        <v>0</v>
      </c>
      <c r="Y20" s="73">
        <v>0</v>
      </c>
      <c r="Z20" s="74">
        <v>1</v>
      </c>
      <c r="AA20" s="73">
        <v>5</v>
      </c>
      <c r="AB20" s="73">
        <v>4</v>
      </c>
      <c r="AC20" s="73">
        <v>2</v>
      </c>
      <c r="AD20" s="47">
        <v>3</v>
      </c>
    </row>
    <row r="21" spans="1:30" x14ac:dyDescent="0.25">
      <c r="A21" s="2" t="s">
        <v>20</v>
      </c>
      <c r="D21" s="34">
        <v>196</v>
      </c>
      <c r="E21" s="4">
        <f t="shared" si="0"/>
        <v>13.066666666666666</v>
      </c>
      <c r="F21" s="35">
        <v>28</v>
      </c>
      <c r="G21" s="34">
        <v>5</v>
      </c>
      <c r="H21" s="2">
        <v>10</v>
      </c>
      <c r="I21" s="41">
        <f t="shared" si="1"/>
        <v>0.33333333333333331</v>
      </c>
      <c r="J21" s="34">
        <v>29</v>
      </c>
      <c r="K21" s="2">
        <v>34</v>
      </c>
      <c r="L21" s="41">
        <f t="shared" si="2"/>
        <v>0.46031746031746029</v>
      </c>
      <c r="M21" s="34">
        <v>129</v>
      </c>
      <c r="N21" s="73">
        <v>137</v>
      </c>
      <c r="O21" s="41">
        <f t="shared" si="3"/>
        <v>0.48496240601503759</v>
      </c>
      <c r="P21" s="34">
        <v>1</v>
      </c>
      <c r="Q21" s="73">
        <v>3</v>
      </c>
      <c r="R21" s="73">
        <v>0</v>
      </c>
      <c r="S21" s="73">
        <v>5</v>
      </c>
      <c r="T21" s="74">
        <v>0</v>
      </c>
      <c r="U21" s="73">
        <v>3</v>
      </c>
      <c r="V21" s="73">
        <v>1</v>
      </c>
      <c r="W21" s="73">
        <v>1</v>
      </c>
      <c r="X21" s="73">
        <v>0</v>
      </c>
      <c r="Y21" s="73">
        <v>0</v>
      </c>
      <c r="Z21" s="74">
        <v>2</v>
      </c>
      <c r="AA21" s="73">
        <v>6</v>
      </c>
      <c r="AB21" s="73">
        <v>5</v>
      </c>
      <c r="AC21" s="73">
        <v>1</v>
      </c>
      <c r="AD21" s="47">
        <v>1</v>
      </c>
    </row>
    <row r="22" spans="1:30" x14ac:dyDescent="0.25">
      <c r="A22" s="1" t="s">
        <v>47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74">
        <v>34</v>
      </c>
      <c r="O22" s="42">
        <f t="shared" si="3"/>
        <v>0.52777777777777779</v>
      </c>
      <c r="P22" s="34">
        <v>0</v>
      </c>
      <c r="Q22" s="73">
        <v>0</v>
      </c>
      <c r="R22" s="73">
        <v>1</v>
      </c>
      <c r="S22" s="73">
        <v>1</v>
      </c>
      <c r="T22" s="73">
        <v>0</v>
      </c>
      <c r="U22" s="73">
        <v>1</v>
      </c>
      <c r="V22" s="73">
        <v>0</v>
      </c>
      <c r="W22" s="73">
        <v>0</v>
      </c>
      <c r="X22" s="73">
        <v>0</v>
      </c>
      <c r="Y22" s="73">
        <v>0</v>
      </c>
      <c r="Z22" s="74">
        <v>0</v>
      </c>
      <c r="AA22" s="73">
        <v>3</v>
      </c>
      <c r="AB22" s="73">
        <v>1</v>
      </c>
      <c r="AC22" s="73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73">
        <v>88</v>
      </c>
      <c r="O23" s="41">
        <f t="shared" si="3"/>
        <v>0.49714285714285716</v>
      </c>
      <c r="P23" s="34">
        <v>2</v>
      </c>
      <c r="Q23" s="73">
        <v>3</v>
      </c>
      <c r="R23" s="73">
        <v>1</v>
      </c>
      <c r="S23" s="73">
        <v>1</v>
      </c>
      <c r="T23" s="73">
        <v>2</v>
      </c>
      <c r="U23" s="73">
        <v>2</v>
      </c>
      <c r="V23" s="73">
        <v>3</v>
      </c>
      <c r="W23" s="73">
        <v>0</v>
      </c>
      <c r="X23" s="73">
        <v>0</v>
      </c>
      <c r="Y23" s="73">
        <v>0</v>
      </c>
      <c r="Z23" s="74">
        <v>1</v>
      </c>
      <c r="AA23" s="73">
        <v>0</v>
      </c>
      <c r="AB23" s="73">
        <v>3</v>
      </c>
      <c r="AC23" s="73">
        <v>2</v>
      </c>
      <c r="AD23" s="47">
        <v>1</v>
      </c>
    </row>
    <row r="24" spans="1:30" x14ac:dyDescent="0.25">
      <c r="A24" s="2" t="s">
        <v>15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73">
        <v>159</v>
      </c>
      <c r="O24" s="41">
        <f t="shared" si="3"/>
        <v>0.46101694915254238</v>
      </c>
      <c r="P24" s="34">
        <v>2</v>
      </c>
      <c r="Q24" s="73">
        <v>0</v>
      </c>
      <c r="R24" s="73">
        <v>0</v>
      </c>
      <c r="S24" s="73">
        <v>3</v>
      </c>
      <c r="T24" s="74">
        <v>0</v>
      </c>
      <c r="U24" s="73">
        <v>4</v>
      </c>
      <c r="V24" s="73">
        <v>1</v>
      </c>
      <c r="W24" s="73">
        <v>0</v>
      </c>
      <c r="X24" s="73">
        <v>0</v>
      </c>
      <c r="Y24" s="73">
        <v>0</v>
      </c>
      <c r="Z24" s="74">
        <v>0</v>
      </c>
      <c r="AA24" s="73">
        <v>5</v>
      </c>
      <c r="AB24" s="73">
        <v>6</v>
      </c>
      <c r="AC24" s="73">
        <v>2</v>
      </c>
      <c r="AD24" s="47">
        <v>5</v>
      </c>
    </row>
    <row r="25" spans="1:30" x14ac:dyDescent="0.25">
      <c r="A25" s="1" t="s">
        <v>43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74">
        <v>4</v>
      </c>
      <c r="O25" s="42">
        <f t="shared" si="3"/>
        <v>0.69230769230769229</v>
      </c>
      <c r="P25" s="34">
        <v>0</v>
      </c>
      <c r="Q25" s="73">
        <v>0</v>
      </c>
      <c r="R25" s="73">
        <v>0</v>
      </c>
      <c r="S25" s="73">
        <v>0</v>
      </c>
      <c r="T25" s="73">
        <v>0</v>
      </c>
      <c r="U25" s="74">
        <v>1</v>
      </c>
      <c r="V25" s="73">
        <v>0</v>
      </c>
      <c r="W25" s="73">
        <v>0</v>
      </c>
      <c r="X25" s="73">
        <v>0</v>
      </c>
      <c r="Y25" s="73">
        <v>0</v>
      </c>
      <c r="Z25" s="74">
        <v>0</v>
      </c>
      <c r="AA25" s="73">
        <v>0</v>
      </c>
      <c r="AB25" s="74">
        <v>1</v>
      </c>
      <c r="AC25" s="73">
        <v>0</v>
      </c>
      <c r="AD25" s="76">
        <v>1</v>
      </c>
    </row>
    <row r="26" spans="1:30" x14ac:dyDescent="0.25">
      <c r="A26" s="2" t="s">
        <v>13</v>
      </c>
      <c r="B26" s="6" t="s">
        <v>60</v>
      </c>
      <c r="C26" s="6"/>
      <c r="D26" s="34">
        <v>581</v>
      </c>
      <c r="E26" s="4">
        <f t="shared" si="0"/>
        <v>27.666666666666668</v>
      </c>
      <c r="F26" s="35">
        <v>57</v>
      </c>
      <c r="G26" s="34">
        <v>14</v>
      </c>
      <c r="H26" s="2">
        <v>7</v>
      </c>
      <c r="I26" s="41">
        <f t="shared" si="1"/>
        <v>0.66666666666666663</v>
      </c>
      <c r="J26" s="34">
        <v>48</v>
      </c>
      <c r="K26" s="2">
        <v>37</v>
      </c>
      <c r="L26" s="41">
        <f t="shared" si="2"/>
        <v>0.56470588235294117</v>
      </c>
      <c r="M26" s="34">
        <v>188</v>
      </c>
      <c r="N26" s="73">
        <v>163</v>
      </c>
      <c r="O26" s="41">
        <f t="shared" si="3"/>
        <v>0.53561253561253563</v>
      </c>
      <c r="P26" s="34">
        <v>2</v>
      </c>
      <c r="Q26" s="73">
        <v>5</v>
      </c>
      <c r="R26" s="73">
        <v>2</v>
      </c>
      <c r="S26" s="73">
        <v>5</v>
      </c>
      <c r="T26" s="73">
        <v>2</v>
      </c>
      <c r="U26" s="73">
        <v>7</v>
      </c>
      <c r="V26" s="73">
        <v>3</v>
      </c>
      <c r="W26" s="73">
        <v>1</v>
      </c>
      <c r="X26" s="73">
        <v>1</v>
      </c>
      <c r="Y26" s="73">
        <v>1</v>
      </c>
      <c r="Z26" s="74">
        <v>2</v>
      </c>
      <c r="AA26" s="73">
        <v>5</v>
      </c>
      <c r="AB26" s="73">
        <v>6</v>
      </c>
      <c r="AC26" s="73">
        <v>0</v>
      </c>
      <c r="AD26" s="47">
        <v>6</v>
      </c>
    </row>
    <row r="27" spans="1:30" x14ac:dyDescent="0.25">
      <c r="A27" s="2" t="s">
        <v>2</v>
      </c>
      <c r="D27" s="34">
        <v>260</v>
      </c>
      <c r="E27" s="4">
        <f t="shared" si="0"/>
        <v>26</v>
      </c>
      <c r="F27" s="35">
        <v>42</v>
      </c>
      <c r="G27" s="34">
        <v>5</v>
      </c>
      <c r="H27" s="2">
        <v>5</v>
      </c>
      <c r="I27" s="41">
        <f t="shared" si="1"/>
        <v>0.5</v>
      </c>
      <c r="J27" s="34">
        <v>22</v>
      </c>
      <c r="K27" s="2">
        <v>20</v>
      </c>
      <c r="L27" s="41">
        <f t="shared" si="2"/>
        <v>0.52380952380952384</v>
      </c>
      <c r="M27" s="34">
        <v>91</v>
      </c>
      <c r="N27" s="73">
        <v>86</v>
      </c>
      <c r="O27" s="41">
        <f t="shared" si="3"/>
        <v>0.51412429378531077</v>
      </c>
      <c r="P27" s="34">
        <v>2</v>
      </c>
      <c r="Q27" s="73">
        <v>2</v>
      </c>
      <c r="R27" s="73">
        <v>2</v>
      </c>
      <c r="S27" s="73">
        <v>3</v>
      </c>
      <c r="T27" s="73">
        <v>0</v>
      </c>
      <c r="U27" s="73">
        <v>3</v>
      </c>
      <c r="V27" s="73">
        <v>0</v>
      </c>
      <c r="W27" s="73">
        <v>0</v>
      </c>
      <c r="X27" s="73">
        <v>0</v>
      </c>
      <c r="Y27" s="73">
        <v>0</v>
      </c>
      <c r="Z27" s="74">
        <v>0</v>
      </c>
      <c r="AA27" s="73">
        <v>4</v>
      </c>
      <c r="AB27" s="73">
        <v>0</v>
      </c>
      <c r="AC27" s="73">
        <v>4</v>
      </c>
      <c r="AD27" s="47">
        <v>2</v>
      </c>
    </row>
    <row r="28" spans="1:30" x14ac:dyDescent="0.25">
      <c r="A28" s="2" t="s">
        <v>54</v>
      </c>
      <c r="B28" s="6" t="s">
        <v>60</v>
      </c>
      <c r="C28" s="6"/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74">
        <v>26</v>
      </c>
      <c r="O28" s="42">
        <f t="shared" si="3"/>
        <v>0.58064516129032262</v>
      </c>
      <c r="P28" s="34">
        <v>0</v>
      </c>
      <c r="Q28" s="73">
        <v>1</v>
      </c>
      <c r="R28" s="73">
        <v>0</v>
      </c>
      <c r="S28" s="73">
        <v>1</v>
      </c>
      <c r="T28" s="73">
        <v>2</v>
      </c>
      <c r="U28" s="73">
        <v>1</v>
      </c>
      <c r="V28" s="73">
        <v>2</v>
      </c>
      <c r="W28" s="73">
        <v>0</v>
      </c>
      <c r="X28" s="73">
        <v>0</v>
      </c>
      <c r="Y28" s="73">
        <v>0</v>
      </c>
      <c r="Z28" s="74">
        <v>1</v>
      </c>
      <c r="AA28" s="73">
        <v>1</v>
      </c>
      <c r="AB28" s="73">
        <v>0</v>
      </c>
      <c r="AC28" s="73">
        <v>0</v>
      </c>
      <c r="AD28" s="47">
        <v>0</v>
      </c>
    </row>
    <row r="29" spans="1:30" x14ac:dyDescent="0.25">
      <c r="A29" s="2" t="s">
        <v>5</v>
      </c>
      <c r="B29" s="6" t="s">
        <v>60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73">
        <v>76</v>
      </c>
      <c r="O29" s="41">
        <f t="shared" si="3"/>
        <v>0.49333333333333335</v>
      </c>
      <c r="P29" s="34">
        <v>1</v>
      </c>
      <c r="Q29" s="73">
        <v>1</v>
      </c>
      <c r="R29" s="73">
        <v>2</v>
      </c>
      <c r="S29" s="73">
        <v>2</v>
      </c>
      <c r="T29" s="74">
        <v>1</v>
      </c>
      <c r="U29" s="73">
        <v>1</v>
      </c>
      <c r="V29" s="73">
        <v>0</v>
      </c>
      <c r="W29" s="73">
        <v>0</v>
      </c>
      <c r="X29" s="73">
        <v>0</v>
      </c>
      <c r="Y29" s="73">
        <v>0</v>
      </c>
      <c r="Z29" s="74">
        <v>0</v>
      </c>
      <c r="AA29" s="73">
        <v>1</v>
      </c>
      <c r="AB29" s="73">
        <v>3</v>
      </c>
      <c r="AC29" s="73">
        <v>3</v>
      </c>
      <c r="AD29" s="47">
        <v>2</v>
      </c>
    </row>
    <row r="30" spans="1:30" x14ac:dyDescent="0.25">
      <c r="A30" s="2" t="s">
        <v>38</v>
      </c>
      <c r="D30" s="34">
        <v>13</v>
      </c>
      <c r="E30" s="4">
        <f t="shared" si="0"/>
        <v>2.6</v>
      </c>
      <c r="F30" s="35">
        <v>6</v>
      </c>
      <c r="G30" s="34">
        <v>3</v>
      </c>
      <c r="H30" s="2">
        <v>2</v>
      </c>
      <c r="I30" s="41">
        <f t="shared" si="1"/>
        <v>0.6</v>
      </c>
      <c r="J30" s="34">
        <v>10</v>
      </c>
      <c r="K30" s="2">
        <v>7</v>
      </c>
      <c r="L30" s="41">
        <f t="shared" si="2"/>
        <v>0.58823529411764708</v>
      </c>
      <c r="M30" s="34">
        <v>36</v>
      </c>
      <c r="N30" s="73">
        <v>34</v>
      </c>
      <c r="O30" s="41">
        <f t="shared" si="3"/>
        <v>0.51428571428571423</v>
      </c>
      <c r="P30" s="34">
        <v>1</v>
      </c>
      <c r="Q30" s="73">
        <v>1</v>
      </c>
      <c r="R30" s="73">
        <v>1</v>
      </c>
      <c r="S30" s="73">
        <v>1</v>
      </c>
      <c r="T30" s="73">
        <v>0</v>
      </c>
      <c r="U30" s="73">
        <v>3</v>
      </c>
      <c r="V30" s="73">
        <v>0</v>
      </c>
      <c r="W30" s="73">
        <v>0</v>
      </c>
      <c r="X30" s="73">
        <v>0</v>
      </c>
      <c r="Y30" s="73">
        <v>0</v>
      </c>
      <c r="Z30" s="74">
        <v>0</v>
      </c>
      <c r="AA30" s="73">
        <v>1</v>
      </c>
      <c r="AB30" s="73">
        <v>1</v>
      </c>
      <c r="AC30" s="73">
        <v>0</v>
      </c>
      <c r="AD30" s="47">
        <v>1</v>
      </c>
    </row>
    <row r="31" spans="1:30" x14ac:dyDescent="0.25">
      <c r="A31" s="2" t="s">
        <v>40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74">
        <v>30</v>
      </c>
      <c r="O31" s="42">
        <f t="shared" si="3"/>
        <v>0.33333333333333331</v>
      </c>
      <c r="P31" s="36">
        <v>1</v>
      </c>
      <c r="Q31" s="73">
        <v>0</v>
      </c>
      <c r="R31" s="73">
        <v>0</v>
      </c>
      <c r="S31" s="73">
        <v>0</v>
      </c>
      <c r="T31" s="73">
        <v>0</v>
      </c>
      <c r="U31" s="73">
        <v>0</v>
      </c>
      <c r="V31" s="73">
        <v>0</v>
      </c>
      <c r="W31" s="73">
        <v>0</v>
      </c>
      <c r="X31" s="73">
        <v>0</v>
      </c>
      <c r="Y31" s="73">
        <v>0</v>
      </c>
      <c r="Z31" s="74">
        <v>0</v>
      </c>
      <c r="AA31" s="73">
        <v>0</v>
      </c>
      <c r="AB31" s="73">
        <v>0</v>
      </c>
      <c r="AC31" s="73">
        <v>0</v>
      </c>
      <c r="AD31" s="47">
        <v>1</v>
      </c>
    </row>
    <row r="32" spans="1:30" x14ac:dyDescent="0.25">
      <c r="A32" s="2" t="s">
        <v>17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73">
        <v>172</v>
      </c>
      <c r="O32" s="41">
        <f t="shared" si="3"/>
        <v>0.51955307262569828</v>
      </c>
      <c r="P32" s="34">
        <v>5</v>
      </c>
      <c r="Q32" s="73">
        <v>1</v>
      </c>
      <c r="R32" s="73">
        <v>2</v>
      </c>
      <c r="S32" s="73">
        <v>3</v>
      </c>
      <c r="T32" s="74">
        <v>0</v>
      </c>
      <c r="U32" s="73">
        <v>8</v>
      </c>
      <c r="V32" s="73">
        <v>2</v>
      </c>
      <c r="W32" s="73">
        <v>0</v>
      </c>
      <c r="X32" s="73">
        <v>1</v>
      </c>
      <c r="Y32" s="73">
        <v>1</v>
      </c>
      <c r="Z32" s="73">
        <v>0</v>
      </c>
      <c r="AA32" s="73">
        <v>6</v>
      </c>
      <c r="AB32" s="73">
        <v>4</v>
      </c>
      <c r="AC32" s="73">
        <v>3</v>
      </c>
      <c r="AD32" s="47">
        <v>7</v>
      </c>
    </row>
    <row r="33" spans="1:30" x14ac:dyDescent="0.25">
      <c r="A33" s="2" t="s">
        <v>6</v>
      </c>
      <c r="D33" s="34">
        <v>274</v>
      </c>
      <c r="E33" s="4">
        <f t="shared" si="0"/>
        <v>22.833333333333332</v>
      </c>
      <c r="F33" s="35">
        <v>43</v>
      </c>
      <c r="G33" s="34">
        <v>9</v>
      </c>
      <c r="H33" s="2">
        <v>3</v>
      </c>
      <c r="I33" s="41">
        <f t="shared" si="1"/>
        <v>0.75</v>
      </c>
      <c r="J33" s="34">
        <v>30</v>
      </c>
      <c r="K33" s="2">
        <v>19</v>
      </c>
      <c r="L33" s="41">
        <f t="shared" si="2"/>
        <v>0.61224489795918369</v>
      </c>
      <c r="M33" s="34">
        <v>112</v>
      </c>
      <c r="N33" s="73">
        <v>97</v>
      </c>
      <c r="O33" s="41">
        <f t="shared" si="3"/>
        <v>0.53588516746411485</v>
      </c>
      <c r="P33" s="34">
        <v>1</v>
      </c>
      <c r="Q33" s="73">
        <v>3</v>
      </c>
      <c r="R33" s="73">
        <v>1</v>
      </c>
      <c r="S33" s="73">
        <v>1</v>
      </c>
      <c r="T33" s="74">
        <v>0</v>
      </c>
      <c r="U33" s="73">
        <v>7</v>
      </c>
      <c r="V33" s="73">
        <v>0</v>
      </c>
      <c r="W33" s="73">
        <v>0</v>
      </c>
      <c r="X33" s="73">
        <v>0</v>
      </c>
      <c r="Y33" s="73">
        <v>0</v>
      </c>
      <c r="Z33" s="73">
        <v>1</v>
      </c>
      <c r="AA33" s="73">
        <v>4</v>
      </c>
      <c r="AB33" s="73">
        <v>5</v>
      </c>
      <c r="AC33" s="73">
        <v>2</v>
      </c>
      <c r="AD33" s="47">
        <v>5</v>
      </c>
    </row>
    <row r="34" spans="1:30" x14ac:dyDescent="0.25">
      <c r="A34" s="2" t="s">
        <v>18</v>
      </c>
      <c r="D34" s="34">
        <v>268</v>
      </c>
      <c r="E34" s="4">
        <f t="shared" si="0"/>
        <v>26.8</v>
      </c>
      <c r="F34" s="35">
        <v>41</v>
      </c>
      <c r="G34" s="34">
        <v>4</v>
      </c>
      <c r="H34" s="2">
        <v>6</v>
      </c>
      <c r="I34" s="41">
        <f t="shared" si="1"/>
        <v>0.4</v>
      </c>
      <c r="J34" s="34">
        <v>19</v>
      </c>
      <c r="K34" s="2">
        <v>23</v>
      </c>
      <c r="L34" s="41">
        <f t="shared" si="2"/>
        <v>0.45238095238095238</v>
      </c>
      <c r="M34" s="34">
        <v>83</v>
      </c>
      <c r="N34" s="73">
        <v>83</v>
      </c>
      <c r="O34" s="41">
        <f t="shared" si="3"/>
        <v>0.5</v>
      </c>
      <c r="P34" s="34">
        <v>2</v>
      </c>
      <c r="Q34" s="73">
        <v>0</v>
      </c>
      <c r="R34" s="73">
        <v>0</v>
      </c>
      <c r="S34" s="73">
        <v>4</v>
      </c>
      <c r="T34" s="73">
        <v>0</v>
      </c>
      <c r="U34" s="73">
        <v>3</v>
      </c>
      <c r="V34" s="73">
        <v>1</v>
      </c>
      <c r="W34" s="73">
        <v>0</v>
      </c>
      <c r="X34" s="73">
        <v>0</v>
      </c>
      <c r="Y34" s="73">
        <v>0</v>
      </c>
      <c r="Z34" s="74">
        <v>0</v>
      </c>
      <c r="AA34" s="73">
        <v>3</v>
      </c>
      <c r="AB34" s="73">
        <v>4</v>
      </c>
      <c r="AC34" s="73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73">
        <v>153</v>
      </c>
      <c r="O35" s="41">
        <f t="shared" si="3"/>
        <v>0.50162866449511401</v>
      </c>
      <c r="P35" s="34">
        <v>3</v>
      </c>
      <c r="Q35" s="73">
        <v>3</v>
      </c>
      <c r="R35" s="73">
        <v>2</v>
      </c>
      <c r="S35" s="73">
        <v>3</v>
      </c>
      <c r="T35" s="74">
        <v>1</v>
      </c>
      <c r="U35" s="73">
        <v>4</v>
      </c>
      <c r="V35" s="73">
        <v>0</v>
      </c>
      <c r="W35" s="73">
        <v>1</v>
      </c>
      <c r="X35" s="73">
        <v>0</v>
      </c>
      <c r="Y35" s="73">
        <v>0</v>
      </c>
      <c r="Z35" s="73">
        <v>2</v>
      </c>
      <c r="AA35" s="73">
        <v>5</v>
      </c>
      <c r="AB35" s="73">
        <v>9</v>
      </c>
      <c r="AC35" s="73">
        <v>2</v>
      </c>
      <c r="AD35" s="47">
        <v>3</v>
      </c>
    </row>
    <row r="36" spans="1:30" x14ac:dyDescent="0.25">
      <c r="A36" s="2" t="s">
        <v>4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73">
        <v>10</v>
      </c>
      <c r="O36" s="41">
        <f t="shared" si="3"/>
        <v>0.65517241379310343</v>
      </c>
      <c r="P36" s="34">
        <v>0</v>
      </c>
      <c r="Q36" s="73">
        <v>2</v>
      </c>
      <c r="R36" s="73">
        <v>2</v>
      </c>
      <c r="S36" s="73">
        <v>0</v>
      </c>
      <c r="T36" s="73">
        <v>0</v>
      </c>
      <c r="U36" s="73">
        <v>1</v>
      </c>
      <c r="V36" s="73">
        <v>0</v>
      </c>
      <c r="W36" s="73">
        <v>0</v>
      </c>
      <c r="X36" s="73">
        <v>0</v>
      </c>
      <c r="Y36" s="73">
        <v>0</v>
      </c>
      <c r="Z36" s="73">
        <v>0</v>
      </c>
      <c r="AA36" s="73">
        <v>0</v>
      </c>
      <c r="AB36" s="73">
        <v>0</v>
      </c>
      <c r="AC36" s="73">
        <v>1</v>
      </c>
      <c r="AD36" s="47">
        <v>0</v>
      </c>
    </row>
    <row r="37" spans="1:30" ht="15.75" thickBot="1" x14ac:dyDescent="0.3">
      <c r="A37" s="2" t="s">
        <v>55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  <row r="38" spans="1:30" x14ac:dyDescent="0.25"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</row>
  </sheetData>
  <autoFilter ref="A1:AD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I50" sqref="I5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70" t="s">
        <v>120</v>
      </c>
    </row>
    <row r="3" spans="1:3" x14ac:dyDescent="0.25">
      <c r="A3" s="54"/>
      <c r="B3" s="54"/>
      <c r="C3" s="54"/>
    </row>
    <row r="4" spans="1:3" x14ac:dyDescent="0.25">
      <c r="A4" s="71" t="s">
        <v>121</v>
      </c>
      <c r="B4" s="72"/>
      <c r="C4" s="72"/>
    </row>
    <row r="5" spans="1:3" x14ac:dyDescent="0.25">
      <c r="A5" s="71" t="s">
        <v>122</v>
      </c>
      <c r="B5" s="72"/>
      <c r="C5" s="7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G34" sqref="G34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66" t="s">
        <v>7</v>
      </c>
      <c r="D1" s="67"/>
      <c r="E1" s="67"/>
      <c r="F1" s="66" t="s">
        <v>22</v>
      </c>
      <c r="G1" s="67"/>
      <c r="H1" s="68"/>
      <c r="I1" s="66" t="s">
        <v>16</v>
      </c>
      <c r="J1" s="67"/>
      <c r="K1" s="68"/>
      <c r="L1" s="66" t="s">
        <v>23</v>
      </c>
      <c r="M1" s="67"/>
      <c r="N1" s="68"/>
      <c r="O1" s="67" t="s">
        <v>64</v>
      </c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8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21" t="s">
        <v>10</v>
      </c>
      <c r="Q2" s="21" t="s">
        <v>11</v>
      </c>
      <c r="R2" s="21" t="s">
        <v>12</v>
      </c>
      <c r="S2" s="21" t="s">
        <v>30</v>
      </c>
      <c r="T2" s="21" t="s">
        <v>31</v>
      </c>
      <c r="U2" s="21" t="s">
        <v>32</v>
      </c>
      <c r="V2" s="21" t="s">
        <v>33</v>
      </c>
      <c r="W2" s="22" t="s">
        <v>65</v>
      </c>
      <c r="X2" s="21" t="s">
        <v>39</v>
      </c>
      <c r="Y2" s="21" t="s">
        <v>41</v>
      </c>
      <c r="Z2" s="21" t="s">
        <v>48</v>
      </c>
      <c r="AA2" s="21" t="s">
        <v>56</v>
      </c>
      <c r="AB2" s="21" t="s">
        <v>57</v>
      </c>
      <c r="AC2" s="23" t="s">
        <v>58</v>
      </c>
    </row>
    <row r="3" spans="1:29" x14ac:dyDescent="0.25">
      <c r="A3" s="69" t="s">
        <v>75</v>
      </c>
      <c r="B3" s="7" t="s">
        <v>34</v>
      </c>
      <c r="C3" s="13">
        <f>INDEX('Old Bow'!D2:D37, MATCH($B$3, 'Old Bow'!$A$2:$A$37, 0))</f>
        <v>5</v>
      </c>
      <c r="D3" s="25">
        <f>INDEX('Old Bow'!E2:E37, MATCH($B$3, 'Old Bow'!$A$2:$A$37, 0))</f>
        <v>5</v>
      </c>
      <c r="E3" s="26">
        <f>INDEX('Old Bow'!F2:F37, MATCH($B$3, 'Old Bow'!$A$2:$A$37, 0))</f>
        <v>5</v>
      </c>
      <c r="F3" s="13">
        <f>INDEX('Old Bow'!G2:G37, MATCH($B$3, 'Old Bow'!$A$2:$A$37, 0))</f>
        <v>1</v>
      </c>
      <c r="G3" s="26">
        <f>INDEX('Old Bow'!H2:H37, MATCH($B$3, 'Old Bow'!$A$2:$A$37, 0))</f>
        <v>0</v>
      </c>
      <c r="H3" s="27">
        <f>INDEX('Old Bow'!I2:I37, MATCH($B$3, 'Old Bow'!$A$2:$A$37, 0))</f>
        <v>1</v>
      </c>
      <c r="I3" s="13">
        <f>INDEX('Old Bow'!J2:J37, MATCH($B$3, 'Old Bow'!$A$2:$A$37, 0))</f>
        <v>3</v>
      </c>
      <c r="J3" s="26">
        <f>INDEX('Old Bow'!K2:K37, MATCH($B$3, 'Old Bow'!$A$2:$A$37, 0))</f>
        <v>0</v>
      </c>
      <c r="K3" s="27">
        <f>INDEX('Old Bow'!L2:L37, MATCH($B$3, 'Old Bow'!$A$2:$A$37, 0))</f>
        <v>1</v>
      </c>
      <c r="L3" s="13">
        <f>INDEX('Old Bow'!M2:M37, MATCH($B$3, 'Old Bow'!$A$2:$A$37, 0))</f>
        <v>9</v>
      </c>
      <c r="M3" s="26">
        <f>INDEX('Old Bow'!N2:N37, MATCH($B$3, 'Old Bow'!$A$2:$A$37, 0))</f>
        <v>3</v>
      </c>
      <c r="N3" s="27">
        <f>INDEX('Old Bow'!O2:O37, MATCH($B$3, 'Old Bow'!$A$2:$A$37, 0))</f>
        <v>0.75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0</v>
      </c>
      <c r="R3" s="26">
        <f>INDEX('Old Bow'!Q2:Q37, MATCH($B$3, 'Old Bow'!$A$2:$A$37, 0))</f>
        <v>0</v>
      </c>
      <c r="S3" s="26">
        <f>INDEX('Old Bow'!AB2:AB37, MATCH($B$3, 'Old Bow'!$A$2:$A$37, 0))</f>
        <v>1</v>
      </c>
      <c r="T3" s="26">
        <f>INDEX('Old Bow'!W2:W37, MATCH($B$3, 'Old Bow'!$A$2:$A$37, 0))</f>
        <v>0</v>
      </c>
      <c r="U3" s="26">
        <f>INDEX('Old Bow'!U2:U37, MATCH($B$3, 'Old Bow'!$A$2:$A$37, 0))</f>
        <v>0</v>
      </c>
      <c r="V3" s="26">
        <f>INDEX('Old Bow'!S2:S37, MATCH($B$3, 'Old Bow'!$A$2:$A$37, 0))</f>
        <v>1</v>
      </c>
      <c r="W3" s="26">
        <f>INDEX('Old Bow'!V2:V37, MATCH($B$3, 'Old Bow'!$A$2:$A$37, 0))</f>
        <v>0</v>
      </c>
      <c r="X3" s="26">
        <f>INDEX('Old Bow'!AD2:AD37, MATCH($B$3, 'Old Bow'!$A$2:$A$37, 0))</f>
        <v>0</v>
      </c>
      <c r="Y3" s="26">
        <f>INDEX('Old Bow'!P2:P37, MATCH($B$3, 'Old Bow'!$A$2:$A$37, 0))</f>
        <v>0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69"/>
      <c r="B4" s="7" t="s">
        <v>37</v>
      </c>
      <c r="C4" s="13">
        <f>INDEX('Old Bow'!D2:D37, MATCH($B$4, 'Old Bow'!$A$2:$A$37, 0))</f>
        <v>190</v>
      </c>
      <c r="D4" s="25">
        <f>INDEX('Old Bow'!E2:E37, MATCH($B$4, 'Old Bow'!$A$2:$A$37, 0))</f>
        <v>17.272727272727273</v>
      </c>
      <c r="E4" s="26">
        <f>INDEX('Old Bow'!F2:F37, MATCH($B$4, 'Old Bow'!$A$2:$A$37, 0))</f>
        <v>25</v>
      </c>
      <c r="F4" s="13">
        <f>INDEX('Old Bow'!G2:G37, MATCH($B$4, 'Old Bow'!$A$2:$A$37, 0))</f>
        <v>4</v>
      </c>
      <c r="G4" s="26">
        <f>INDEX('Old Bow'!H2:H37, MATCH($B$4, 'Old Bow'!$A$2:$A$37, 0))</f>
        <v>7</v>
      </c>
      <c r="H4" s="27">
        <f>INDEX('Old Bow'!I2:I37, MATCH($B$4, 'Old Bow'!$A$2:$A$37, 0))</f>
        <v>0.36363636363636365</v>
      </c>
      <c r="I4" s="13">
        <f>INDEX('Old Bow'!J2:J37, MATCH($B$4, 'Old Bow'!$A$2:$A$37, 0))</f>
        <v>19</v>
      </c>
      <c r="J4" s="26">
        <f>INDEX('Old Bow'!K2:K37, MATCH($B$4, 'Old Bow'!$A$2:$A$37, 0))</f>
        <v>25</v>
      </c>
      <c r="K4" s="27">
        <f>INDEX('Old Bow'!L2:L37, MATCH($B$4, 'Old Bow'!$A$2:$A$37, 0))</f>
        <v>0.43181818181818182</v>
      </c>
      <c r="L4" s="13">
        <f>INDEX('Old Bow'!M2:M37, MATCH($B$4, 'Old Bow'!$A$2:$A$37, 0))</f>
        <v>83</v>
      </c>
      <c r="M4" s="26">
        <f>INDEX('Old Bow'!N2:N37, MATCH($B$4, 'Old Bow'!$A$2:$A$37, 0))</f>
        <v>95</v>
      </c>
      <c r="N4" s="27">
        <f>INDEX('Old Bow'!O2:O37, MATCH($B$4, 'Old Bow'!$A$2:$A$37, 0))</f>
        <v>0.46629213483146065</v>
      </c>
      <c r="O4" s="26">
        <f>INDEX('Old Bow'!AA2:AA37, MATCH($B$4, 'Old Bow'!$A$2:$A$37, 0))</f>
        <v>1</v>
      </c>
      <c r="P4" s="26">
        <f>INDEX('Old Bow'!R2:R37, MATCH($B$4, 'Old Bow'!$A$2:$A$37, 0))</f>
        <v>0</v>
      </c>
      <c r="Q4" s="26">
        <f>INDEX('Old Bow'!AC2:AC37, MATCH($B$4, 'Old Bow'!$A$2:$A$37, 0))</f>
        <v>1</v>
      </c>
      <c r="R4" s="26">
        <f>INDEX('Old Bow'!Q2:Q37, MATCH($B$4, 'Old Bow'!$A$2:$A$37, 0))</f>
        <v>0</v>
      </c>
      <c r="S4" s="26">
        <f>INDEX('Old Bow'!AB2:AB37, MATCH($B$4, 'Old Bow'!$A$2:$A$37, 0))</f>
        <v>5</v>
      </c>
      <c r="T4" s="26">
        <f>INDEX('Old Bow'!W2:W37, MATCH($B$4, 'Old Bow'!$A$2:$A$37, 0))</f>
        <v>0</v>
      </c>
      <c r="U4" s="26">
        <f>INDEX('Old Bow'!U2:U37, MATCH($B$4, 'Old Bow'!$A$2:$A$37, 0))</f>
        <v>3</v>
      </c>
      <c r="V4" s="26">
        <f>INDEX('Old Bow'!S2:S37, MATCH($B$4, 'Old Bow'!$A$2:$A$37, 0))</f>
        <v>3</v>
      </c>
      <c r="W4" s="26">
        <f>INDEX('Old Bow'!V2:V37, MATCH($B$4, 'Old Bow'!$A$2:$A$37, 0))</f>
        <v>0</v>
      </c>
      <c r="X4" s="26">
        <f>INDEX('Old Bow'!AD2:AD37, MATCH($B$4, 'Old Bow'!$A$2:$A$37, 0))</f>
        <v>4</v>
      </c>
      <c r="Y4" s="26">
        <f>INDEX('Old Bow'!P2:P37, MATCH($B$4, 'Old Bow'!$A$2:$A$37, 0))</f>
        <v>3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69"/>
      <c r="B5" s="7" t="s">
        <v>35</v>
      </c>
      <c r="C5" s="13">
        <f>INDEX('Old Bow'!D2:D37, MATCH($B$5, 'Old Bow'!$A$2:$A$37, 0))</f>
        <v>98</v>
      </c>
      <c r="D5" s="25">
        <f>INDEX('Old Bow'!E2:E37, MATCH($B$5, 'Old Bow'!$A$2:$A$37, 0))</f>
        <v>9.8000000000000007</v>
      </c>
      <c r="E5" s="26">
        <f>INDEX('Old Bow'!F2:F37, MATCH($B$5, 'Old Bow'!$A$2:$A$37, 0))</f>
        <v>21</v>
      </c>
      <c r="F5" s="13">
        <f>INDEX('Old Bow'!G2:G37, MATCH($B$5, 'Old Bow'!$A$2:$A$37, 0))</f>
        <v>6</v>
      </c>
      <c r="G5" s="26">
        <f>INDEX('Old Bow'!H2:H37, MATCH($B$5, 'Old Bow'!$A$2:$A$37, 0))</f>
        <v>4</v>
      </c>
      <c r="H5" s="27">
        <f>INDEX('Old Bow'!I2:I37, MATCH($B$5, 'Old Bow'!$A$2:$A$37, 0))</f>
        <v>0.6</v>
      </c>
      <c r="I5" s="13">
        <f>INDEX('Old Bow'!J2:J37, MATCH($B$5, 'Old Bow'!$A$2:$A$37, 0))</f>
        <v>20</v>
      </c>
      <c r="J5" s="26">
        <f>INDEX('Old Bow'!K2:K37, MATCH($B$5, 'Old Bow'!$A$2:$A$37, 0))</f>
        <v>19</v>
      </c>
      <c r="K5" s="27">
        <f>INDEX('Old Bow'!L2:L37, MATCH($B$5, 'Old Bow'!$A$2:$A$37, 0))</f>
        <v>0.51282051282051277</v>
      </c>
      <c r="L5" s="13">
        <f>INDEX('Old Bow'!M2:M37, MATCH($B$5, 'Old Bow'!$A$2:$A$37, 0))</f>
        <v>82</v>
      </c>
      <c r="M5" s="26">
        <f>INDEX('Old Bow'!N2:N37, MATCH($B$5, 'Old Bow'!$A$2:$A$37, 0))</f>
        <v>75</v>
      </c>
      <c r="N5" s="27">
        <f>INDEX('Old Bow'!O2:O37, MATCH($B$5, 'Old Bow'!$A$2:$A$37, 0))</f>
        <v>0.52229299363057324</v>
      </c>
      <c r="O5" s="26">
        <f>INDEX('Old Bow'!AA2:AA37, MATCH($B$5, 'Old Bow'!$A$2:$A$37, 0))</f>
        <v>3</v>
      </c>
      <c r="P5" s="26">
        <f>INDEX('Old Bow'!R2:R37, MATCH($B$5, 'Old Bow'!$A$2:$A$37, 0))</f>
        <v>0</v>
      </c>
      <c r="Q5" s="26">
        <f>INDEX('Old Bow'!AC2:AC37, MATCH($B$5, 'Old Bow'!$A$2:$A$37, 0))</f>
        <v>1</v>
      </c>
      <c r="R5" s="26">
        <f>INDEX('Old Bow'!Q2:Q37, MATCH($B$5, 'Old Bow'!$A$2:$A$37, 0))</f>
        <v>2</v>
      </c>
      <c r="S5" s="26">
        <f>INDEX('Old Bow'!AB2:AB37, MATCH($B$5, 'Old Bow'!$A$2:$A$37, 0))</f>
        <v>3</v>
      </c>
      <c r="T5" s="26">
        <f>INDEX('Old Bow'!W2:W37, MATCH($B$5, 'Old Bow'!$A$2:$A$37, 0))</f>
        <v>0</v>
      </c>
      <c r="U5" s="26">
        <f>INDEX('Old Bow'!U2:U37, MATCH($B$5, 'Old Bow'!$A$2:$A$37, 0))</f>
        <v>5</v>
      </c>
      <c r="V5" s="26">
        <f>INDEX('Old Bow'!S2:S37, MATCH($B$5, 'Old Bow'!$A$2:$A$37, 0))</f>
        <v>2</v>
      </c>
      <c r="W5" s="26">
        <f>INDEX('Old Bow'!V2:V37, MATCH($B$5, 'Old Bow'!$A$2:$A$37, 0))</f>
        <v>0</v>
      </c>
      <c r="X5" s="26">
        <f>INDEX('Old Bow'!AD2:AD37, MATCH($B$5, 'Old Bow'!$A$2:$A$37, 0))</f>
        <v>2</v>
      </c>
      <c r="Y5" s="26">
        <f>INDEX('Old Bow'!P2:P37, MATCH($B$5, 'Old Bow'!$A$2:$A$37, 0))</f>
        <v>2</v>
      </c>
      <c r="Z5" s="26">
        <f>INDEX('Old Bow'!T2:T37, MATCH($B$5, 'Old Bow'!$A$2:$A$37, 0))</f>
        <v>0</v>
      </c>
      <c r="AA5" s="26">
        <f>INDEX('Old Bow'!Z2:Z37, MATCH($B$5, 'Old Bow'!$A$2:$A$37, 0))</f>
        <v>0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69"/>
      <c r="B6" s="7" t="s">
        <v>19</v>
      </c>
      <c r="C6" s="13">
        <f>INDEX('Old Bow'!D2:D37, MATCH($B$6, 'Old Bow'!$A$2:$A$37, 0))</f>
        <v>213</v>
      </c>
      <c r="D6" s="25">
        <f>INDEX('Old Bow'!E2:E37, MATCH($B$6, 'Old Bow'!$A$2:$A$37, 0))</f>
        <v>11.210526315789474</v>
      </c>
      <c r="E6" s="26">
        <f>INDEX('Old Bow'!F2:F37, MATCH($B$6, 'Old Bow'!$A$2:$A$37, 0))</f>
        <v>26</v>
      </c>
      <c r="F6" s="13">
        <f>INDEX('Old Bow'!G2:G37, MATCH($B$6, 'Old Bow'!$A$2:$A$37, 0))</f>
        <v>6</v>
      </c>
      <c r="G6" s="26">
        <f>INDEX('Old Bow'!H2:H37, MATCH($B$6, 'Old Bow'!$A$2:$A$37, 0))</f>
        <v>13</v>
      </c>
      <c r="H6" s="27">
        <f>INDEX('Old Bow'!I2:I37, MATCH($B$6, 'Old Bow'!$A$2:$A$37, 0))</f>
        <v>0.31578947368421051</v>
      </c>
      <c r="I6" s="13">
        <f>INDEX('Old Bow'!J2:J37, MATCH($B$6, 'Old Bow'!$A$2:$A$37, 0))</f>
        <v>31</v>
      </c>
      <c r="J6" s="26">
        <f>INDEX('Old Bow'!K2:K37, MATCH($B$6, 'Old Bow'!$A$2:$A$37, 0))</f>
        <v>46</v>
      </c>
      <c r="K6" s="27">
        <f>INDEX('Old Bow'!L2:L37, MATCH($B$6, 'Old Bow'!$A$2:$A$37, 0))</f>
        <v>0.40259740259740262</v>
      </c>
      <c r="L6" s="13">
        <f>INDEX('Old Bow'!M2:M37, MATCH($B$6, 'Old Bow'!$A$2:$A$37, 0))</f>
        <v>144</v>
      </c>
      <c r="M6" s="26">
        <f>INDEX('Old Bow'!N2:N37, MATCH($B$6, 'Old Bow'!$A$2:$A$37, 0))</f>
        <v>174</v>
      </c>
      <c r="N6" s="27">
        <f>INDEX('Old Bow'!O2:O37, MATCH($B$6, 'Old Bow'!$A$2:$A$37, 0))</f>
        <v>0.45283018867924529</v>
      </c>
      <c r="O6" s="26">
        <f>INDEX('Old Bow'!AA2:AA37, MATCH($B$6, 'Old Bow'!$A$2:$A$37, 0))</f>
        <v>4</v>
      </c>
      <c r="P6" s="26">
        <f>INDEX('Old Bow'!R2:R37, MATCH($B$6, 'Old Bow'!$A$2:$A$37, 0))</f>
        <v>1</v>
      </c>
      <c r="Q6" s="26">
        <f>INDEX('Old Bow'!AC2:AC37, MATCH($B$6, 'Old Bow'!$A$2:$A$37, 0))</f>
        <v>0</v>
      </c>
      <c r="R6" s="26">
        <f>INDEX('Old Bow'!Q2:Q37, MATCH($B$6, 'Old Bow'!$A$2:$A$37, 0))</f>
        <v>0</v>
      </c>
      <c r="S6" s="26">
        <f>INDEX('Old Bow'!AB2:AB37, MATCH($B$6, 'Old Bow'!$A$2:$A$37, 0))</f>
        <v>8</v>
      </c>
      <c r="T6" s="26">
        <f>INDEX('Old Bow'!W2:W37, MATCH($B$6, 'Old Bow'!$A$2:$A$37, 0))</f>
        <v>0</v>
      </c>
      <c r="U6" s="26">
        <f>INDEX('Old Bow'!U2:U37, MATCH($B$6, 'Old Bow'!$A$2:$A$37, 0))</f>
        <v>5</v>
      </c>
      <c r="V6" s="26">
        <f>INDEX('Old Bow'!S2:S37, MATCH($B$6, 'Old Bow'!$A$2:$A$37, 0))</f>
        <v>2</v>
      </c>
      <c r="W6" s="26">
        <f>INDEX('Old Bow'!V2:V37, MATCH($B$6, 'Old Bow'!$A$2:$A$37, 0))</f>
        <v>1</v>
      </c>
      <c r="X6" s="26">
        <f>INDEX('Old Bow'!AD2:AD37, MATCH($B$6, 'Old Bow'!$A$2:$A$37, 0))</f>
        <v>5</v>
      </c>
      <c r="Y6" s="26">
        <f>INDEX('Old Bow'!P2:P37, MATCH($B$6, 'Old Bow'!$A$2:$A$37, 0))</f>
        <v>3</v>
      </c>
      <c r="Z6" s="26">
        <f>INDEX('Old Bow'!T2:T37, MATCH($B$6, 'Old Bow'!$A$2:$A$37, 0))</f>
        <v>0</v>
      </c>
      <c r="AA6" s="26">
        <f>INDEX('Old Bow'!Z2:Z37, MATCH($B$6, 'Old Bow'!$A$2:$A$37, 0))</f>
        <v>0</v>
      </c>
      <c r="AB6" s="26">
        <f>INDEX('Old Bow'!Y2:Y37, MATCH($B$6, 'Old Bow'!$A$2:$A$37, 0))</f>
        <v>1</v>
      </c>
      <c r="AC6" s="14">
        <f>INDEX('Old Bow'!X2:X37, MATCH($B$6, 'Old Bow'!$A$2:$A$37, 0))</f>
        <v>1</v>
      </c>
    </row>
    <row r="7" spans="1:29" x14ac:dyDescent="0.25">
      <c r="A7" s="69"/>
      <c r="B7" s="7" t="s">
        <v>25</v>
      </c>
      <c r="C7" s="13">
        <f>INDEX('Old Bow'!D2:D37, MATCH($B$7, 'Old Bow'!$A$2:$A$37, 0))</f>
        <v>117</v>
      </c>
      <c r="D7" s="25">
        <f>INDEX('Old Bow'!E2:E37, MATCH($B$7, 'Old Bow'!$A$2:$A$37, 0))</f>
        <v>14.625</v>
      </c>
      <c r="E7" s="26">
        <f>INDEX('Old Bow'!F2:F37, MATCH($B$7, 'Old Bow'!$A$2:$A$37, 0))</f>
        <v>21</v>
      </c>
      <c r="F7" s="13">
        <f>INDEX('Old Bow'!G2:G37, MATCH($B$7, 'Old Bow'!$A$2:$A$37, 0))</f>
        <v>5</v>
      </c>
      <c r="G7" s="26">
        <f>INDEX('Old Bow'!H2:H37, MATCH($B$7, 'Old Bow'!$A$2:$A$37, 0))</f>
        <v>3</v>
      </c>
      <c r="H7" s="27">
        <f>INDEX('Old Bow'!I2:I37, MATCH($B$7, 'Old Bow'!$A$2:$A$37, 0))</f>
        <v>0.625</v>
      </c>
      <c r="I7" s="13">
        <f>INDEX('Old Bow'!J2:J37, MATCH($B$7, 'Old Bow'!$A$2:$A$37, 0))</f>
        <v>20</v>
      </c>
      <c r="J7" s="26">
        <f>INDEX('Old Bow'!K2:K37, MATCH($B$7, 'Old Bow'!$A$2:$A$37, 0))</f>
        <v>12</v>
      </c>
      <c r="K7" s="27">
        <f>INDEX('Old Bow'!L2:L37, MATCH($B$7, 'Old Bow'!$A$2:$A$37, 0))</f>
        <v>0.625</v>
      </c>
      <c r="L7" s="13">
        <f>INDEX('Old Bow'!M2:M37, MATCH($B$7, 'Old Bow'!$A$2:$A$37, 0))</f>
        <v>78</v>
      </c>
      <c r="M7" s="26">
        <f>INDEX('Old Bow'!N2:N37, MATCH($B$7, 'Old Bow'!$A$2:$A$37, 0))</f>
        <v>57</v>
      </c>
      <c r="N7" s="27">
        <f>INDEX('Old Bow'!O2:O37, MATCH($B$7, 'Old Bow'!$A$2:$A$37, 0))</f>
        <v>0.57777777777777772</v>
      </c>
      <c r="O7" s="26">
        <f>INDEX('Old Bow'!AA2:AA37, MATCH($B$7, 'Old Bow'!$A$2:$A$37, 0))</f>
        <v>2</v>
      </c>
      <c r="P7" s="26">
        <f>INDEX('Old Bow'!R2:R37, MATCH($B$7, 'Old Bow'!$A$2:$A$37, 0))</f>
        <v>0</v>
      </c>
      <c r="Q7" s="26">
        <f>INDEX('Old Bow'!AC2:AC37, MATCH($B$7, 'Old Bow'!$A$2:$A$37, 0))</f>
        <v>1</v>
      </c>
      <c r="R7" s="26">
        <f>INDEX('Old Bow'!Q2:Q37, MATCH($B$7, 'Old Bow'!$A$2:$A$37, 0))</f>
        <v>0</v>
      </c>
      <c r="S7" s="26">
        <f>INDEX('Old Bow'!AB2:AB37, MATCH($B$7, 'Old Bow'!$A$2:$A$37, 0))</f>
        <v>3</v>
      </c>
      <c r="T7" s="26">
        <f>INDEX('Old Bow'!W2:W37, MATCH($B$7, 'Old Bow'!$A$2:$A$37, 0))</f>
        <v>1</v>
      </c>
      <c r="U7" s="26">
        <f>INDEX('Old Bow'!U2:U37, MATCH($B$7, 'Old Bow'!$A$2:$A$37, 0))</f>
        <v>3</v>
      </c>
      <c r="V7" s="26">
        <f>INDEX('Old Bow'!S2:S37, MATCH($B$7, 'Old Bow'!$A$2:$A$37, 0))</f>
        <v>2</v>
      </c>
      <c r="W7" s="26">
        <f>INDEX('Old Bow'!V2:V37, MATCH($B$7, 'Old Bow'!$A$2:$A$37, 0))</f>
        <v>2</v>
      </c>
      <c r="X7" s="26">
        <f>INDEX('Old Bow'!AD2:AD37, MATCH($B$7, 'Old Bow'!$A$2:$A$37, 0))</f>
        <v>4</v>
      </c>
      <c r="Y7" s="26">
        <f>INDEX('Old Bow'!P2:P37, MATCH($B$7, 'Old Bow'!$A$2:$A$37, 0))</f>
        <v>2</v>
      </c>
      <c r="Z7" s="26">
        <f>INDEX('Old Bow'!T2:T37, MATCH($B$7, 'Old Bow'!$A$2:$A$37, 0))</f>
        <v>0</v>
      </c>
      <c r="AA7" s="26">
        <f>INDEX('Old Bow'!Z2:Z37, MATCH($B$7, 'Old Bow'!$A$2:$A$37, 0))</f>
        <v>0</v>
      </c>
      <c r="AB7" s="26">
        <f>INDEX('Old Bow'!Y2:Y37, MATCH($B$7, 'Old Bow'!$A$2:$A$37, 0))</f>
        <v>0</v>
      </c>
      <c r="AC7" s="14">
        <f>INDEX('Old Bow'!X2:X37, MATCH($B$7, 'Old Bow'!$A$2:$A$37, 0))</f>
        <v>0</v>
      </c>
    </row>
    <row r="8" spans="1:29" x14ac:dyDescent="0.25">
      <c r="A8" s="69"/>
      <c r="B8" s="7" t="s">
        <v>27</v>
      </c>
      <c r="C8" s="13">
        <f>INDEX('Old Bow'!D2:D37, MATCH($B$8, 'Old Bow'!$A$2:$A$37, 0))</f>
        <v>161</v>
      </c>
      <c r="D8" s="25">
        <f>INDEX('Old Bow'!E2:E37, MATCH($B$8, 'Old Bow'!$A$2:$A$37, 0))</f>
        <v>13.416666666666666</v>
      </c>
      <c r="E8" s="26">
        <f>INDEX('Old Bow'!F2:F37, MATCH($B$8, 'Old Bow'!$A$2:$A$37, 0))</f>
        <v>24</v>
      </c>
      <c r="F8" s="13">
        <f>INDEX('Old Bow'!G2:G37, MATCH($B$8, 'Old Bow'!$A$2:$A$37, 0))</f>
        <v>6</v>
      </c>
      <c r="G8" s="26">
        <f>INDEX('Old Bow'!H2:H37, MATCH($B$8, 'Old Bow'!$A$2:$A$37, 0))</f>
        <v>6</v>
      </c>
      <c r="H8" s="27">
        <f>INDEX('Old Bow'!I2:I37, MATCH($B$8, 'Old Bow'!$A$2:$A$37, 0))</f>
        <v>0.5</v>
      </c>
      <c r="I8" s="13">
        <f>INDEX('Old Bow'!J2:J37, MATCH($B$8, 'Old Bow'!$A$2:$A$37, 0))</f>
        <v>23</v>
      </c>
      <c r="J8" s="26">
        <f>INDEX('Old Bow'!K2:K37, MATCH($B$8, 'Old Bow'!$A$2:$A$37, 0))</f>
        <v>26</v>
      </c>
      <c r="K8" s="27">
        <f>INDEX('Old Bow'!L2:L37, MATCH($B$8, 'Old Bow'!$A$2:$A$37, 0))</f>
        <v>0.46938775510204084</v>
      </c>
      <c r="L8" s="13">
        <f>INDEX('Old Bow'!M2:M37, MATCH($B$8, 'Old Bow'!$A$2:$A$37, 0))</f>
        <v>100</v>
      </c>
      <c r="M8" s="26">
        <f>INDEX('Old Bow'!N2:N37, MATCH($B$8, 'Old Bow'!$A$2:$A$37, 0))</f>
        <v>108</v>
      </c>
      <c r="N8" s="27">
        <f>INDEX('Old Bow'!O2:O37, MATCH($B$8, 'Old Bow'!$A$2:$A$37, 0))</f>
        <v>0.48076923076923078</v>
      </c>
      <c r="O8" s="26">
        <f>INDEX('Old Bow'!AA2:AA37, MATCH($B$8, 'Old Bow'!$A$2:$A$37, 0))</f>
        <v>4</v>
      </c>
      <c r="P8" s="26">
        <f>INDEX('Old Bow'!R2:R37, MATCH($B$8, 'Old Bow'!$A$2:$A$37, 0))</f>
        <v>2</v>
      </c>
      <c r="Q8" s="26">
        <f>INDEX('Old Bow'!AC2:AC37, MATCH($B$8, 'Old Bow'!$A$2:$A$37, 0))</f>
        <v>1</v>
      </c>
      <c r="R8" s="26">
        <f>INDEX('Old Bow'!Q2:Q37, MATCH($B$8, 'Old Bow'!$A$2:$A$37, 0))</f>
        <v>1</v>
      </c>
      <c r="S8" s="26">
        <f>INDEX('Old Bow'!AB2:AB37, MATCH($B$8, 'Old Bow'!$A$2:$A$37, 0))</f>
        <v>4</v>
      </c>
      <c r="T8" s="26">
        <f>INDEX('Old Bow'!W2:W37, MATCH($B$8, 'Old Bow'!$A$2:$A$37, 0))</f>
        <v>0</v>
      </c>
      <c r="U8" s="26">
        <f>INDEX('Old Bow'!U2:U37, MATCH($B$8, 'Old Bow'!$A$2:$A$37, 0))</f>
        <v>4</v>
      </c>
      <c r="V8" s="26">
        <f>INDEX('Old Bow'!S2:S37, MATCH($B$8, 'Old Bow'!$A$2:$A$37, 0))</f>
        <v>1</v>
      </c>
      <c r="W8" s="26">
        <f>INDEX('Old Bow'!V2:V37, MATCH($B$8, 'Old Bow'!$A$2:$A$37, 0))</f>
        <v>1</v>
      </c>
      <c r="X8" s="26">
        <f>INDEX('Old Bow'!AD2:AD37, MATCH($B$8, 'Old Bow'!$A$2:$A$37, 0))</f>
        <v>3</v>
      </c>
      <c r="Y8" s="26">
        <f>INDEX('Old Bow'!P2:P37, MATCH($B$8, 'Old Bow'!$A$2:$A$37, 0))</f>
        <v>0</v>
      </c>
      <c r="Z8" s="26">
        <f>INDEX('Old Bow'!T2:T37, MATCH($B$8, 'Old Bow'!$A$2:$A$37, 0))</f>
        <v>2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69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69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71.324920255183414</v>
      </c>
      <c r="H11" s="9">
        <f>AVERAGE(H3:H10)</f>
        <v>0.56740430622009574</v>
      </c>
      <c r="I11" s="1"/>
      <c r="J11" s="1"/>
      <c r="K11" s="9">
        <f>AVERAGE(K3:K10)</f>
        <v>0.57360397538968966</v>
      </c>
      <c r="N11" s="9">
        <f>AVERAGE(N3:N10)</f>
        <v>0.54166038761471469</v>
      </c>
      <c r="O11" s="5">
        <f>SUM(O3:O10)</f>
        <v>15</v>
      </c>
      <c r="P11" s="5">
        <f t="shared" ref="P11:AC11" si="0">SUM(P3:P10)</f>
        <v>3</v>
      </c>
      <c r="Q11" s="5">
        <f t="shared" si="0"/>
        <v>4</v>
      </c>
      <c r="R11" s="5">
        <f t="shared" si="0"/>
        <v>3</v>
      </c>
      <c r="S11" s="5">
        <f t="shared" si="0"/>
        <v>24</v>
      </c>
      <c r="T11" s="5">
        <f t="shared" si="0"/>
        <v>1</v>
      </c>
      <c r="U11" s="5">
        <f t="shared" si="0"/>
        <v>20</v>
      </c>
      <c r="V11" s="5">
        <f t="shared" si="0"/>
        <v>11</v>
      </c>
      <c r="W11" s="5">
        <f t="shared" si="0"/>
        <v>4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0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66" t="s">
        <v>7</v>
      </c>
      <c r="D15" s="67"/>
      <c r="E15" s="68"/>
      <c r="F15" s="66" t="s">
        <v>22</v>
      </c>
      <c r="G15" s="67"/>
      <c r="H15" s="68"/>
      <c r="I15" s="66" t="s">
        <v>16</v>
      </c>
      <c r="J15" s="67"/>
      <c r="K15" s="68"/>
      <c r="L15" s="66" t="s">
        <v>23</v>
      </c>
      <c r="M15" s="67"/>
      <c r="N15" s="68"/>
      <c r="O15" s="66" t="s">
        <v>64</v>
      </c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8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65" t="s">
        <v>77</v>
      </c>
      <c r="B17" s="7" t="s">
        <v>34</v>
      </c>
      <c r="C17" s="13">
        <f>INDEX('Old Bow'!D2:D37, MATCH($B$17, 'Old Bow'!$A$2:$A$37, 0))</f>
        <v>5</v>
      </c>
      <c r="D17" s="25">
        <f>INDEX('Old Bow'!E2:E37, MATCH($B$17, 'Old Bow'!$A$2:$A$37, 0))</f>
        <v>5</v>
      </c>
      <c r="E17" s="14">
        <f>INDEX('Old Bow'!F2:F37, MATCH($B$17, 'Old Bow'!$A$2:$A$37, 0))</f>
        <v>5</v>
      </c>
      <c r="F17" s="13">
        <f>INDEX('Old Bow'!G2:G37, MATCH($B$17, 'Old Bow'!$A$2:$A$37, 0))</f>
        <v>1</v>
      </c>
      <c r="G17" s="26">
        <f>INDEX('Old Bow'!H2:H37, MATCH($B$17, 'Old Bow'!$A$2:$A$37, 0))</f>
        <v>0</v>
      </c>
      <c r="H17" s="27">
        <f>INDEX('Old Bow'!I2:I37, MATCH($B$17, 'Old Bow'!$A$2:$A$37, 0))</f>
        <v>1</v>
      </c>
      <c r="I17" s="13">
        <f>INDEX('Old Bow'!J2:J37, MATCH($B$17, 'Old Bow'!$A$2:$A$37, 0))</f>
        <v>3</v>
      </c>
      <c r="J17" s="26">
        <f>INDEX('Old Bow'!K2:K37, MATCH($B$17, 'Old Bow'!$A$2:$A$37, 0))</f>
        <v>0</v>
      </c>
      <c r="K17" s="27">
        <f>INDEX('Old Bow'!L2:L37, MATCH($B$17, 'Old Bow'!$A$2:$A$37, 0))</f>
        <v>1</v>
      </c>
      <c r="L17" s="13">
        <f>INDEX('Old Bow'!M2:M37, MATCH($B$17, 'Old Bow'!$A$2:$A$37, 0))</f>
        <v>9</v>
      </c>
      <c r="M17" s="26">
        <f>INDEX('Old Bow'!N2:N37, MATCH($B$17, 'Old Bow'!$A$2:$A$37, 0))</f>
        <v>3</v>
      </c>
      <c r="N17" s="27">
        <f>INDEX('Old Bow'!O2:O37, MATCH($B$17, 'Old Bow'!$A$2:$A$37, 0))</f>
        <v>0.75</v>
      </c>
      <c r="O17" s="13">
        <f>INDEX('Old Bow'!AA2:AA37, MATCH($B$17, 'Old Bow'!$A$2:$A$37, 0))</f>
        <v>1</v>
      </c>
      <c r="P17" s="26">
        <f>INDEX('Old Bow'!R2:R37, MATCH($B$17, 'Old Bow'!$A$2:$A$37, 0))</f>
        <v>0</v>
      </c>
      <c r="Q17" s="26">
        <f>INDEX('Old Bow'!AC2:AC37, MATCH($B$17, 'Old Bow'!$A$2:$A$37, 0))</f>
        <v>0</v>
      </c>
      <c r="R17" s="26">
        <f>INDEX('Old Bow'!Q2:Q37, MATCH($B$17, 'Old Bow'!$A$2:$A$37, 0))</f>
        <v>0</v>
      </c>
      <c r="S17" s="26">
        <f>INDEX('Old Bow'!AB2:AB37, MATCH($B$17, 'Old Bow'!$A$2:$A$37, 0))</f>
        <v>1</v>
      </c>
      <c r="T17" s="26">
        <f>INDEX('Old Bow'!W2:W37, MATCH($B$17, 'Old Bow'!$A$2:$A$37, 0))</f>
        <v>0</v>
      </c>
      <c r="U17" s="26">
        <f>INDEX('Old Bow'!U2:U37, MATCH($B$17, 'Old Bow'!$A$2:$A$37, 0))</f>
        <v>0</v>
      </c>
      <c r="V17" s="26">
        <f>INDEX('Old Bow'!S2:S37, MATCH($B$17, 'Old Bow'!$A$2:$A$37, 0))</f>
        <v>1</v>
      </c>
      <c r="W17" s="26">
        <f>INDEX('Old Bow'!V2:V37, MATCH($B$17, 'Old Bow'!$A$2:$A$37, 0))</f>
        <v>0</v>
      </c>
      <c r="X17" s="26">
        <f>INDEX('Old Bow'!AD2:AD37, MATCH($B$17, 'Old Bow'!$A$2:$A$37, 0))</f>
        <v>0</v>
      </c>
      <c r="Y17" s="26">
        <f>INDEX('Old Bow'!P2:P37, MATCH($B$17, 'Old Bow'!$A$2:$A$37, 0))</f>
        <v>0</v>
      </c>
      <c r="Z17" s="26">
        <f>INDEX('Old Bow'!T2:T37, MATCH($B$17, 'Old Bow'!$A$2:$A$37, 0))</f>
        <v>0</v>
      </c>
      <c r="AA17" s="26">
        <f>INDEX('Old Bow'!Z2:Z37, MATCH($B$17, 'Old Bow'!$A$2:$A$37, 0))</f>
        <v>0</v>
      </c>
      <c r="AB17" s="26">
        <f>INDEX('Old Bow'!Y2:Y37, MATCH($B$17, 'Old Bow'!$A$2:$A$37, 0))</f>
        <v>0</v>
      </c>
      <c r="AC17" s="14">
        <f>INDEX('Old Bow'!X2:X37, MATCH($B$17, 'Old Bow'!$A$2:$A$37, 0))</f>
        <v>0</v>
      </c>
    </row>
    <row r="18" spans="1:29" x14ac:dyDescent="0.25">
      <c r="A18" s="65"/>
      <c r="B18" s="7" t="s">
        <v>42</v>
      </c>
      <c r="C18" s="13">
        <f>INDEX('Old Bow'!D2:D37, MATCH($B$18, 'Old Bow'!$A$2:$A$37, 0))</f>
        <v>5</v>
      </c>
      <c r="D18" s="25">
        <f>INDEX('Old Bow'!E2:E37, MATCH($B$18, 'Old Bow'!$A$2:$A$37, 0))</f>
        <v>5</v>
      </c>
      <c r="E18" s="14">
        <f>INDEX('Old Bow'!F2:F37, MATCH($B$18, 'Old Bow'!$A$2:$A$37, 0))</f>
        <v>5</v>
      </c>
      <c r="F18" s="13">
        <f>INDEX('Old Bow'!G2:G37, MATCH($B$18, 'Old Bow'!$A$2:$A$37, 0))</f>
        <v>0</v>
      </c>
      <c r="G18" s="26">
        <f>INDEX('Old Bow'!H2:H37, MATCH($B$18, 'Old Bow'!$A$2:$A$37, 0))</f>
        <v>1</v>
      </c>
      <c r="H18" s="27">
        <f>INDEX('Old Bow'!I2:I37, MATCH($B$18, 'Old Bow'!$A$2:$A$37, 0))</f>
        <v>0</v>
      </c>
      <c r="I18" s="13">
        <f>INDEX('Old Bow'!J2:J37, MATCH($B$18, 'Old Bow'!$A$2:$A$37, 0))</f>
        <v>0</v>
      </c>
      <c r="J18" s="26">
        <f>INDEX('Old Bow'!K2:K37, MATCH($B$18, 'Old Bow'!$A$2:$A$37, 0))</f>
        <v>3</v>
      </c>
      <c r="K18" s="27">
        <f>INDEX('Old Bow'!L2:L37, MATCH($B$18, 'Old Bow'!$A$2:$A$37, 0))</f>
        <v>0</v>
      </c>
      <c r="L18" s="13">
        <f>INDEX('Old Bow'!M2:M37, MATCH($B$18, 'Old Bow'!$A$2:$A$37, 0))</f>
        <v>2</v>
      </c>
      <c r="M18" s="26">
        <f>INDEX('Old Bow'!N2:N37, MATCH($B$18, 'Old Bow'!$A$2:$A$37, 0))</f>
        <v>9</v>
      </c>
      <c r="N18" s="27">
        <f>INDEX('Old Bow'!O2:O37, MATCH($B$18, 'Old Bow'!$A$2:$A$37, 0))</f>
        <v>0.18181818181818182</v>
      </c>
      <c r="O18" s="13">
        <f>INDEX('Old Bow'!AA2:AA37, MATCH($B$18, 'Old Bow'!$A$2:$A$37, 0))</f>
        <v>0</v>
      </c>
      <c r="P18" s="26">
        <f>INDEX('Old Bow'!R2:R37, MATCH($B$18, 'Old Bow'!$A$2:$A$37, 0))</f>
        <v>0</v>
      </c>
      <c r="Q18" s="26">
        <f>INDEX('Old Bow'!AC2:AC37, MATCH($B$18, 'Old Bow'!$A$2:$A$37, 0))</f>
        <v>0</v>
      </c>
      <c r="R18" s="26">
        <f>INDEX('Old Bow'!Q2:Q37, MATCH($B$18, 'Old Bow'!$A$2:$A$37, 0))</f>
        <v>0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0</v>
      </c>
      <c r="V18" s="26">
        <f>INDEX('Old Bow'!S2:S37, MATCH($B$18, 'Old Bow'!$A$2:$A$37, 0))</f>
        <v>0</v>
      </c>
      <c r="W18" s="26">
        <f>INDEX('Old Bow'!V2:V37, MATCH($B$18, 'Old Bow'!$A$2:$A$37, 0))</f>
        <v>0</v>
      </c>
      <c r="X18" s="26">
        <f>INDEX('Old Bow'!AD2:AD37, MATCH($B$18, 'Old Bow'!$A$2:$A$37, 0))</f>
        <v>0</v>
      </c>
      <c r="Y18" s="26">
        <f>INDEX('Old Bow'!P2:P37, MATCH($B$18, 'Old Bow'!$A$2:$A$37, 0))</f>
        <v>0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65"/>
      <c r="B19" s="7" t="s">
        <v>52</v>
      </c>
      <c r="C19" s="13">
        <f>INDEX('Old Bow'!D2:D37, MATCH($B$19, 'Old Bow'!$A$2:$A$37, 0))</f>
        <v>5</v>
      </c>
      <c r="D19" s="25">
        <f>INDEX('Old Bow'!E2:E37, MATCH($B$19, 'Old Bow'!$A$2:$A$37, 0))</f>
        <v>5</v>
      </c>
      <c r="E19" s="14">
        <f>INDEX('Old Bow'!F2:F37, MATCH($B$19, 'Old Bow'!$A$2:$A$37, 0))</f>
        <v>5</v>
      </c>
      <c r="F19" s="13">
        <f>INDEX('Old Bow'!G2:G37, MATCH($B$19, 'Old Bow'!$A$2:$A$37, 0))</f>
        <v>0</v>
      </c>
      <c r="G19" s="26">
        <f>INDEX('Old Bow'!H2:H37, MATCH($B$19, 'Old Bow'!$A$2:$A$37, 0))</f>
        <v>1</v>
      </c>
      <c r="H19" s="27">
        <f>INDEX('Old Bow'!I2:I37, MATCH($B$19, 'Old Bow'!$A$2:$A$37, 0))</f>
        <v>0</v>
      </c>
      <c r="I19" s="13">
        <f>INDEX('Old Bow'!J2:J37, MATCH($B$19, 'Old Bow'!$A$2:$A$37, 0))</f>
        <v>0</v>
      </c>
      <c r="J19" s="26">
        <f>INDEX('Old Bow'!K2:K37, MATCH($B$19, 'Old Bow'!$A$2:$A$37, 0))</f>
        <v>3</v>
      </c>
      <c r="K19" s="27">
        <f>INDEX('Old Bow'!L2:L37, MATCH($B$19, 'Old Bow'!$A$2:$A$37, 0))</f>
        <v>0</v>
      </c>
      <c r="L19" s="13">
        <f>INDEX('Old Bow'!M2:M37, MATCH($B$19, 'Old Bow'!$A$2:$A$37, 0))</f>
        <v>4</v>
      </c>
      <c r="M19" s="26">
        <f>INDEX('Old Bow'!N2:N37, MATCH($B$19, 'Old Bow'!$A$2:$A$37, 0))</f>
        <v>9</v>
      </c>
      <c r="N19" s="27">
        <f>INDEX('Old Bow'!O2:O37, MATCH($B$19, 'Old Bow'!$A$2:$A$37, 0))</f>
        <v>0.30769230769230771</v>
      </c>
      <c r="O19" s="13">
        <f>INDEX('Old Bow'!AA2:AA37, MATCH($B$19, 'Old Bow'!$A$2:$A$37, 0))</f>
        <v>0</v>
      </c>
      <c r="P19" s="26">
        <f>INDEX('Old Bow'!R2:R37, MATCH($B$19, 'Old Bow'!$A$2:$A$37, 0))</f>
        <v>0</v>
      </c>
      <c r="Q19" s="26">
        <f>INDEX('Old Bow'!AC2:AC37, MATCH($B$19, 'Old Bow'!$A$2:$A$37, 0))</f>
        <v>0</v>
      </c>
      <c r="R19" s="26">
        <f>INDEX('Old Bow'!Q2:Q37, MATCH($B$19, 'Old Bow'!$A$2:$A$37, 0))</f>
        <v>0</v>
      </c>
      <c r="S19" s="26">
        <f>INDEX('Old Bow'!AB2:AB37, MATCH($B$19, 'Old Bow'!$A$2:$A$37, 0))</f>
        <v>0</v>
      </c>
      <c r="T19" s="26">
        <f>INDEX('Old Bow'!W2:W37, MATCH($B$19, 'Old Bow'!$A$2:$A$37, 0))</f>
        <v>0</v>
      </c>
      <c r="U19" s="26">
        <f>INDEX('Old Bow'!U2:U37, MATCH($B$19, 'Old Bow'!$A$2:$A$37, 0))</f>
        <v>0</v>
      </c>
      <c r="V19" s="26">
        <f>INDEX('Old Bow'!S2:S37, MATCH($B$19, 'Old Bow'!$A$2:$A$37, 0))</f>
        <v>0</v>
      </c>
      <c r="W19" s="26">
        <f>INDEX('Old Bow'!V2:V37, MATCH($B$19, 'Old Bow'!$A$2:$A$37, 0))</f>
        <v>0</v>
      </c>
      <c r="X19" s="26">
        <f>INDEX('Old Bow'!AD2:AD37, MATCH($B$19, 'Old Bow'!$A$2:$A$37, 0))</f>
        <v>0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65"/>
      <c r="B20" s="7" t="s">
        <v>19</v>
      </c>
      <c r="C20" s="13">
        <f>INDEX('Old Bow'!D2:D37, MATCH($B$20, 'Old Bow'!$A$2:$A$37, 0))</f>
        <v>213</v>
      </c>
      <c r="D20" s="25">
        <f>INDEX('Old Bow'!E2:E37, MATCH($B$20, 'Old Bow'!$A$2:$A$37, 0))</f>
        <v>11.210526315789474</v>
      </c>
      <c r="E20" s="14">
        <f>INDEX('Old Bow'!F2:F37, MATCH($B$20, 'Old Bow'!$A$2:$A$37, 0))</f>
        <v>26</v>
      </c>
      <c r="F20" s="13">
        <f>INDEX('Old Bow'!G2:G37, MATCH($B$20, 'Old Bow'!$A$2:$A$37, 0))</f>
        <v>6</v>
      </c>
      <c r="G20" s="26">
        <f>INDEX('Old Bow'!H2:H37, MATCH($B$20, 'Old Bow'!$A$2:$A$37, 0))</f>
        <v>13</v>
      </c>
      <c r="H20" s="27">
        <f>INDEX('Old Bow'!I2:I37, MATCH($B$20, 'Old Bow'!$A$2:$A$37, 0))</f>
        <v>0.31578947368421051</v>
      </c>
      <c r="I20" s="13">
        <f>INDEX('Old Bow'!J2:J37, MATCH($B$20, 'Old Bow'!$A$2:$A$37, 0))</f>
        <v>31</v>
      </c>
      <c r="J20" s="26">
        <f>INDEX('Old Bow'!K2:K37, MATCH($B$20, 'Old Bow'!$A$2:$A$37, 0))</f>
        <v>46</v>
      </c>
      <c r="K20" s="27">
        <f>INDEX('Old Bow'!L2:L37, MATCH($B$20, 'Old Bow'!$A$2:$A$37, 0))</f>
        <v>0.40259740259740262</v>
      </c>
      <c r="L20" s="13">
        <f>INDEX('Old Bow'!M2:M37, MATCH($B$20, 'Old Bow'!$A$2:$A$37, 0))</f>
        <v>144</v>
      </c>
      <c r="M20" s="26">
        <f>INDEX('Old Bow'!N2:N37, MATCH($B$20, 'Old Bow'!$A$2:$A$37, 0))</f>
        <v>174</v>
      </c>
      <c r="N20" s="27">
        <f>INDEX('Old Bow'!O2:O37, MATCH($B$20, 'Old Bow'!$A$2:$A$37, 0))</f>
        <v>0.45283018867924529</v>
      </c>
      <c r="O20" s="13">
        <f>INDEX('Old Bow'!AA2:AA37, MATCH($B$20, 'Old Bow'!$A$2:$A$37, 0))</f>
        <v>4</v>
      </c>
      <c r="P20" s="26">
        <f>INDEX('Old Bow'!R2:R37, MATCH($B$20, 'Old Bow'!$A$2:$A$37, 0))</f>
        <v>1</v>
      </c>
      <c r="Q20" s="26">
        <f>INDEX('Old Bow'!AC2:AC37, MATCH($B$20, 'Old Bow'!$A$2:$A$37, 0))</f>
        <v>0</v>
      </c>
      <c r="R20" s="26">
        <f>INDEX('Old Bow'!Q2:Q37, MATCH($B$20, 'Old Bow'!$A$2:$A$37, 0))</f>
        <v>0</v>
      </c>
      <c r="S20" s="26">
        <f>INDEX('Old Bow'!AB2:AB37, MATCH($B$20, 'Old Bow'!$A$2:$A$37, 0))</f>
        <v>8</v>
      </c>
      <c r="T20" s="26">
        <f>INDEX('Old Bow'!W2:W37, MATCH($B$20, 'Old Bow'!$A$2:$A$37, 0))</f>
        <v>0</v>
      </c>
      <c r="U20" s="26">
        <f>INDEX('Old Bow'!U2:U37, MATCH($B$20, 'Old Bow'!$A$2:$A$37, 0))</f>
        <v>5</v>
      </c>
      <c r="V20" s="26">
        <f>INDEX('Old Bow'!S2:S37, MATCH($B$20, 'Old Bow'!$A$2:$A$37, 0))</f>
        <v>2</v>
      </c>
      <c r="W20" s="26">
        <f>INDEX('Old Bow'!V2:V37, MATCH($B$20, 'Old Bow'!$A$2:$A$37, 0))</f>
        <v>1</v>
      </c>
      <c r="X20" s="26">
        <f>INDEX('Old Bow'!AD2:AD37, MATCH($B$20, 'Old Bow'!$A$2:$A$37, 0))</f>
        <v>5</v>
      </c>
      <c r="Y20" s="26">
        <f>INDEX('Old Bow'!P2:P37, MATCH($B$20, 'Old Bow'!$A$2:$A$37, 0))</f>
        <v>3</v>
      </c>
      <c r="Z20" s="26">
        <f>INDEX('Old Bow'!T2:T37, MATCH($B$20, 'Old Bow'!$A$2:$A$37, 0))</f>
        <v>0</v>
      </c>
      <c r="AA20" s="26">
        <f>INDEX('Old Bow'!Z2:Z37, MATCH($B$20, 'Old Bow'!$A$2:$A$37, 0))</f>
        <v>0</v>
      </c>
      <c r="AB20" s="26">
        <f>INDEX('Old Bow'!Y2:Y37, MATCH($B$20, 'Old Bow'!$A$2:$A$37, 0))</f>
        <v>1</v>
      </c>
      <c r="AC20" s="14">
        <f>INDEX('Old Bow'!X2:X37, MATCH($B$20, 'Old Bow'!$A$2:$A$37, 0))</f>
        <v>1</v>
      </c>
    </row>
    <row r="21" spans="1:29" x14ac:dyDescent="0.25">
      <c r="A21" s="65"/>
      <c r="B21" s="7" t="s">
        <v>3</v>
      </c>
      <c r="C21" s="13">
        <f>INDEX('Old Bow'!D2:D37, MATCH($B$21, 'Old Bow'!$A$2:$A$37, 0))</f>
        <v>230</v>
      </c>
      <c r="D21" s="25">
        <f>INDEX('Old Bow'!E2:E37, MATCH($B$21, 'Old Bow'!$A$2:$A$37, 0))</f>
        <v>23</v>
      </c>
      <c r="E21" s="14">
        <f>INDEX('Old Bow'!F2:F37, MATCH($B$21, 'Old Bow'!$A$2:$A$37, 0))</f>
        <v>44</v>
      </c>
      <c r="F21" s="13">
        <f>INDEX('Old Bow'!G2:G37, MATCH($B$21, 'Old Bow'!$A$2:$A$37, 0))</f>
        <v>6</v>
      </c>
      <c r="G21" s="26">
        <f>INDEX('Old Bow'!H2:H37, MATCH($B$21, 'Old Bow'!$A$2:$A$37, 0))</f>
        <v>4</v>
      </c>
      <c r="H21" s="27">
        <f>INDEX('Old Bow'!I2:I37, MATCH($B$21, 'Old Bow'!$A$2:$A$37, 0))</f>
        <v>0.6</v>
      </c>
      <c r="I21" s="13">
        <f>INDEX('Old Bow'!J2:J37, MATCH($B$21, 'Old Bow'!$A$2:$A$37, 0))</f>
        <v>22</v>
      </c>
      <c r="J21" s="26">
        <f>INDEX('Old Bow'!K2:K37, MATCH($B$21, 'Old Bow'!$A$2:$A$37, 0))</f>
        <v>21</v>
      </c>
      <c r="K21" s="27">
        <f>INDEX('Old Bow'!L2:L37, MATCH($B$21, 'Old Bow'!$A$2:$A$37, 0))</f>
        <v>0.51162790697674421</v>
      </c>
      <c r="L21" s="13">
        <f>INDEX('Old Bow'!M2:M37, MATCH($B$21, 'Old Bow'!$A$2:$A$37, 0))</f>
        <v>87</v>
      </c>
      <c r="M21" s="26">
        <f>INDEX('Old Bow'!N2:N37, MATCH($B$21, 'Old Bow'!$A$2:$A$37, 0))</f>
        <v>88</v>
      </c>
      <c r="N21" s="27">
        <f>INDEX('Old Bow'!O2:O37, MATCH($B$21, 'Old Bow'!$A$2:$A$37, 0))</f>
        <v>0.49714285714285716</v>
      </c>
      <c r="O21" s="13">
        <f>INDEX('Old Bow'!AA2:AA37, MATCH($B$21, 'Old Bow'!$A$2:$A$37, 0))</f>
        <v>0</v>
      </c>
      <c r="P21" s="26">
        <f>INDEX('Old Bow'!R2:R37, MATCH($B$21, 'Old Bow'!$A$2:$A$37, 0))</f>
        <v>1</v>
      </c>
      <c r="Q21" s="26">
        <f>INDEX('Old Bow'!AC2:AC37, MATCH($B$21, 'Old Bow'!$A$2:$A$37, 0))</f>
        <v>2</v>
      </c>
      <c r="R21" s="26">
        <f>INDEX('Old Bow'!Q2:Q37, MATCH($B$21, 'Old Bow'!$A$2:$A$37, 0))</f>
        <v>3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2</v>
      </c>
      <c r="V21" s="26">
        <f>INDEX('Old Bow'!S2:S37, MATCH($B$21, 'Old Bow'!$A$2:$A$37, 0))</f>
        <v>1</v>
      </c>
      <c r="W21" s="26">
        <f>INDEX('Old Bow'!V2:V37, MATCH($B$21, 'Old Bow'!$A$2:$A$37, 0))</f>
        <v>3</v>
      </c>
      <c r="X21" s="26">
        <f>INDEX('Old Bow'!AD2:AD37, MATCH($B$21, 'Old Bow'!$A$2:$A$37, 0))</f>
        <v>1</v>
      </c>
      <c r="Y21" s="26">
        <f>INDEX('Old Bow'!P2:P37, MATCH($B$21, 'Old Bow'!$A$2:$A$37, 0))</f>
        <v>2</v>
      </c>
      <c r="Z21" s="26">
        <f>INDEX('Old Bow'!T2:T37, MATCH($B$21, 'Old Bow'!$A$2:$A$37, 0))</f>
        <v>2</v>
      </c>
      <c r="AA21" s="26">
        <f>INDEX('Old Bow'!Z2:Z37, MATCH($B$21, 'Old Bow'!$A$2:$A$37, 0))</f>
        <v>1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65"/>
      <c r="B22" s="7" t="s">
        <v>14</v>
      </c>
      <c r="C22" s="13">
        <f>INDEX('Old Bow'!D2:D37, MATCH($B$22, 'Old Bow'!$A$2:$A$37, 0))</f>
        <v>457</v>
      </c>
      <c r="D22" s="25">
        <f>INDEX('Old Bow'!E2:E37, MATCH($B$22, 'Old Bow'!$A$2:$A$37, 0))</f>
        <v>25.388888888888889</v>
      </c>
      <c r="E22" s="14">
        <f>INDEX('Old Bow'!F2:F37, MATCH($B$22, 'Old Bow'!$A$2:$A$37, 0))</f>
        <v>56</v>
      </c>
      <c r="F22" s="13">
        <f>INDEX('Old Bow'!G2:G37, MATCH($B$22, 'Old Bow'!$A$2:$A$37, 0))</f>
        <v>10</v>
      </c>
      <c r="G22" s="26">
        <f>INDEX('Old Bow'!H2:H37, MATCH($B$22, 'Old Bow'!$A$2:$A$37, 0))</f>
        <v>8</v>
      </c>
      <c r="H22" s="27">
        <f>INDEX('Old Bow'!I2:I37, MATCH($B$22, 'Old Bow'!$A$2:$A$37, 0))</f>
        <v>0.55555555555555558</v>
      </c>
      <c r="I22" s="13">
        <f>INDEX('Old Bow'!J2:J37, MATCH($B$22, 'Old Bow'!$A$2:$A$37, 0))</f>
        <v>38</v>
      </c>
      <c r="J22" s="26">
        <f>INDEX('Old Bow'!K2:K37, MATCH($B$22, 'Old Bow'!$A$2:$A$37, 0))</f>
        <v>35</v>
      </c>
      <c r="K22" s="27">
        <f>INDEX('Old Bow'!L2:L37, MATCH($B$22, 'Old Bow'!$A$2:$A$37, 0))</f>
        <v>0.52054794520547942</v>
      </c>
      <c r="L22" s="13">
        <f>INDEX('Old Bow'!M2:M37, MATCH($B$22, 'Old Bow'!$A$2:$A$37, 0))</f>
        <v>154</v>
      </c>
      <c r="M22" s="26">
        <f>INDEX('Old Bow'!N2:N37, MATCH($B$22, 'Old Bow'!$A$2:$A$37, 0))</f>
        <v>153</v>
      </c>
      <c r="N22" s="27">
        <f>INDEX('Old Bow'!O2:O37, MATCH($B$22, 'Old Bow'!$A$2:$A$37, 0))</f>
        <v>0.50162866449511401</v>
      </c>
      <c r="O22" s="13">
        <f>INDEX('Old Bow'!AA2:AA37, MATCH($B$22, 'Old Bow'!$A$2:$A$37, 0))</f>
        <v>5</v>
      </c>
      <c r="P22" s="26">
        <f>INDEX('Old Bow'!R2:R37, MATCH($B$22, 'Old Bow'!$A$2:$A$37, 0))</f>
        <v>2</v>
      </c>
      <c r="Q22" s="26">
        <f>INDEX('Old Bow'!AC2:AC37, MATCH($B$22, 'Old Bow'!$A$2:$A$37, 0))</f>
        <v>2</v>
      </c>
      <c r="R22" s="26">
        <f>INDEX('Old Bow'!Q2:Q37, MATCH($B$22, 'Old Bow'!$A$2:$A$37, 0))</f>
        <v>3</v>
      </c>
      <c r="S22" s="26">
        <f>INDEX('Old Bow'!AB2:AB37, MATCH($B$22, 'Old Bow'!$A$2:$A$37, 0))</f>
        <v>9</v>
      </c>
      <c r="T22" s="26">
        <f>INDEX('Old Bow'!W2:W37, MATCH($B$22, 'Old Bow'!$A$2:$A$37, 0))</f>
        <v>1</v>
      </c>
      <c r="U22" s="26">
        <f>INDEX('Old Bow'!U2:U37, MATCH($B$22, 'Old Bow'!$A$2:$A$37, 0))</f>
        <v>4</v>
      </c>
      <c r="V22" s="26">
        <f>INDEX('Old Bow'!S2:S37, MATCH($B$22, 'Old Bow'!$A$2:$A$37, 0))</f>
        <v>3</v>
      </c>
      <c r="W22" s="26">
        <f>INDEX('Old Bow'!V2:V37, MATCH($B$22, 'Old Bow'!$A$2:$A$37, 0))</f>
        <v>0</v>
      </c>
      <c r="X22" s="26">
        <f>INDEX('Old Bow'!AD2:AD37, MATCH($B$22, 'Old Bow'!$A$2:$A$37, 0))</f>
        <v>3</v>
      </c>
      <c r="Y22" s="26">
        <f>INDEX('Old Bow'!P2:P37, MATCH($B$22, 'Old Bow'!$A$2:$A$37, 0))</f>
        <v>3</v>
      </c>
      <c r="Z22" s="26">
        <f>INDEX('Old Bow'!T2:T37, MATCH($B$22, 'Old Bow'!$A$2:$A$37, 0))</f>
        <v>1</v>
      </c>
      <c r="AA22" s="26">
        <f>INDEX('Old Bow'!Z2:Z37, MATCH($B$22, 'Old Bow'!$A$2:$A$37, 0))</f>
        <v>2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65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65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74.599415204678365</v>
      </c>
      <c r="H25" s="9">
        <f>AVERAGE(H17:H24)</f>
        <v>0.41189083820662775</v>
      </c>
      <c r="I25" s="1"/>
      <c r="J25" s="1"/>
      <c r="K25" s="9">
        <f>AVERAGE(K17:K24)</f>
        <v>0.40579554246327104</v>
      </c>
      <c r="N25" s="9">
        <f>AVERAGE(N17:N24)</f>
        <v>0.4485186999712843</v>
      </c>
      <c r="O25" s="5">
        <f>SUM(O17:O24)</f>
        <v>10</v>
      </c>
      <c r="P25" s="5">
        <f t="shared" ref="P25" si="1">SUM(P17:P24)</f>
        <v>4</v>
      </c>
      <c r="Q25" s="5">
        <f t="shared" ref="Q25" si="2">SUM(Q17:Q24)</f>
        <v>4</v>
      </c>
      <c r="R25" s="5">
        <f t="shared" ref="R25" si="3">SUM(R17:R24)</f>
        <v>6</v>
      </c>
      <c r="S25" s="5">
        <f t="shared" ref="S25" si="4">SUM(S17:S24)</f>
        <v>21</v>
      </c>
      <c r="T25" s="5">
        <f t="shared" ref="T25" si="5">SUM(T17:T24)</f>
        <v>1</v>
      </c>
      <c r="U25" s="5">
        <f t="shared" ref="U25" si="6">SUM(U17:U24)</f>
        <v>11</v>
      </c>
      <c r="V25" s="5">
        <f t="shared" ref="V25" si="7">SUM(V17:V24)</f>
        <v>7</v>
      </c>
      <c r="W25" s="5">
        <f t="shared" ref="W25" si="8">SUM(W17:W24)</f>
        <v>4</v>
      </c>
      <c r="X25" s="5">
        <f t="shared" ref="X25" si="9">SUM(X17:X24)</f>
        <v>9</v>
      </c>
      <c r="Y25" s="5">
        <f t="shared" ref="Y25" si="10">SUM(Y17:Y24)</f>
        <v>8</v>
      </c>
      <c r="Z25" s="5">
        <f t="shared" ref="Z25" si="11">SUM(Z17:Z24)</f>
        <v>3</v>
      </c>
      <c r="AA25" s="5">
        <f t="shared" ref="AA25" si="12">SUM(AA17:AA24)</f>
        <v>3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Training</v>
      </c>
      <c r="D34" s="14" t="str">
        <f>INDEX(O16:AC16, MATCH(LARGE(O25:AC25, 1), O25:AC25, 0))</f>
        <v>Training</v>
      </c>
    </row>
    <row r="35" spans="2:4" x14ac:dyDescent="0.25">
      <c r="B35" s="15" t="s">
        <v>87</v>
      </c>
      <c r="C35" s="13" t="str">
        <f>INDEX(O2:AC2, MATCH(LARGE(O11:AC11, 2), O11:AC11, 0))</f>
        <v>Garage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Scharins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1" sqref="A51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24</v>
      </c>
      <c r="H1" s="51" t="s">
        <v>64</v>
      </c>
      <c r="I1" s="52" t="s">
        <v>101</v>
      </c>
      <c r="J1" s="46" t="s">
        <v>24</v>
      </c>
      <c r="K1" s="51" t="s">
        <v>99</v>
      </c>
      <c r="L1" s="52" t="s">
        <v>100</v>
      </c>
      <c r="M1" s="46" t="s">
        <v>24</v>
      </c>
      <c r="N1" s="80" t="s">
        <v>93</v>
      </c>
      <c r="O1" s="81" t="s">
        <v>41</v>
      </c>
      <c r="P1" s="81" t="s">
        <v>69</v>
      </c>
      <c r="Q1" s="82" t="s">
        <v>63</v>
      </c>
      <c r="R1" s="82" t="s">
        <v>117</v>
      </c>
      <c r="S1" s="81" t="s">
        <v>112</v>
      </c>
      <c r="T1" s="82" t="s">
        <v>32</v>
      </c>
      <c r="U1" s="81" t="s">
        <v>106</v>
      </c>
      <c r="V1" s="82" t="s">
        <v>62</v>
      </c>
      <c r="W1" s="81" t="s">
        <v>73</v>
      </c>
      <c r="X1" s="81" t="s">
        <v>91</v>
      </c>
      <c r="Y1" s="82" t="s">
        <v>95</v>
      </c>
      <c r="Z1" s="81" t="s">
        <v>92</v>
      </c>
      <c r="AA1" s="82" t="s">
        <v>67</v>
      </c>
      <c r="AB1" s="82" t="s">
        <v>56</v>
      </c>
      <c r="AC1" s="81" t="s">
        <v>104</v>
      </c>
      <c r="AD1" s="81" t="s">
        <v>66</v>
      </c>
      <c r="AE1" s="81" t="s">
        <v>72</v>
      </c>
      <c r="AF1" s="82" t="s">
        <v>68</v>
      </c>
      <c r="AG1" s="83" t="s">
        <v>96</v>
      </c>
    </row>
    <row r="2" spans="1:33" x14ac:dyDescent="0.25">
      <c r="A2" s="2" t="s">
        <v>37</v>
      </c>
      <c r="B2" s="34">
        <v>95</v>
      </c>
      <c r="C2" s="77">
        <f>B2/(E2+F2)</f>
        <v>13.571428571428571</v>
      </c>
      <c r="D2" s="35">
        <v>19</v>
      </c>
      <c r="E2" s="34">
        <v>3</v>
      </c>
      <c r="F2" s="73">
        <v>4</v>
      </c>
      <c r="G2" s="41">
        <f>E2/(E2+F2)</f>
        <v>0.42857142857142855</v>
      </c>
      <c r="H2" s="34">
        <v>17</v>
      </c>
      <c r="I2" s="73">
        <v>14</v>
      </c>
      <c r="J2" s="41">
        <f>H2/(H2+I2)</f>
        <v>0.54838709677419351</v>
      </c>
      <c r="K2" s="34">
        <v>69</v>
      </c>
      <c r="L2" s="73">
        <v>62</v>
      </c>
      <c r="M2" s="41">
        <f>K2/(K2+L2)</f>
        <v>0.52671755725190839</v>
      </c>
      <c r="N2" s="34">
        <v>1</v>
      </c>
      <c r="O2" s="73">
        <v>1</v>
      </c>
      <c r="P2" s="73">
        <v>2</v>
      </c>
      <c r="Q2" s="73">
        <v>0</v>
      </c>
      <c r="R2" s="73">
        <v>0</v>
      </c>
      <c r="S2" s="73">
        <v>0</v>
      </c>
      <c r="T2" s="73">
        <v>0</v>
      </c>
      <c r="U2" s="73">
        <v>2</v>
      </c>
      <c r="V2" s="73">
        <v>0</v>
      </c>
      <c r="W2" s="73">
        <v>0</v>
      </c>
      <c r="X2" s="73">
        <v>2</v>
      </c>
      <c r="Y2" s="73">
        <v>0</v>
      </c>
      <c r="Z2" s="73">
        <v>0</v>
      </c>
      <c r="AA2" s="73">
        <v>2</v>
      </c>
      <c r="AB2" s="73">
        <v>1</v>
      </c>
      <c r="AC2" s="73">
        <v>0</v>
      </c>
      <c r="AD2" s="73">
        <v>1</v>
      </c>
      <c r="AE2" s="73">
        <v>2</v>
      </c>
      <c r="AF2" s="73">
        <v>1</v>
      </c>
      <c r="AG2" s="47">
        <v>2</v>
      </c>
    </row>
    <row r="3" spans="1:33" x14ac:dyDescent="0.25">
      <c r="A3" s="2" t="s">
        <v>103</v>
      </c>
      <c r="B3" s="34">
        <v>9</v>
      </c>
      <c r="C3" s="77">
        <f>B3/(E3+F3)</f>
        <v>9</v>
      </c>
      <c r="D3" s="47">
        <v>9</v>
      </c>
      <c r="E3" s="34">
        <v>0</v>
      </c>
      <c r="F3" s="73">
        <v>1</v>
      </c>
      <c r="G3" s="41">
        <f>E3/(E3+F3)</f>
        <v>0</v>
      </c>
      <c r="H3" s="34">
        <v>2</v>
      </c>
      <c r="I3" s="73">
        <v>3</v>
      </c>
      <c r="J3" s="41">
        <f>H3/(H3+I3)</f>
        <v>0.4</v>
      </c>
      <c r="K3" s="34">
        <v>11</v>
      </c>
      <c r="L3" s="73">
        <v>11</v>
      </c>
      <c r="M3" s="41">
        <f>K3/(K3+L3)</f>
        <v>0.5</v>
      </c>
      <c r="N3" s="34">
        <v>0</v>
      </c>
      <c r="O3" s="73">
        <v>0</v>
      </c>
      <c r="P3" s="73">
        <v>0</v>
      </c>
      <c r="Q3" s="73">
        <v>1</v>
      </c>
      <c r="R3" s="73">
        <v>0</v>
      </c>
      <c r="S3" s="73">
        <v>0</v>
      </c>
      <c r="T3" s="73">
        <v>0</v>
      </c>
      <c r="U3" s="73">
        <v>0</v>
      </c>
      <c r="V3" s="73">
        <v>0</v>
      </c>
      <c r="W3" s="73">
        <v>0</v>
      </c>
      <c r="X3" s="73">
        <v>0</v>
      </c>
      <c r="Y3" s="73">
        <v>0</v>
      </c>
      <c r="Z3" s="73">
        <v>0</v>
      </c>
      <c r="AA3" s="73">
        <v>0</v>
      </c>
      <c r="AB3" s="73">
        <v>0</v>
      </c>
      <c r="AC3" s="73">
        <v>0</v>
      </c>
      <c r="AD3" s="73">
        <v>0</v>
      </c>
      <c r="AE3" s="73">
        <v>0</v>
      </c>
      <c r="AF3" s="73">
        <v>1</v>
      </c>
      <c r="AG3" s="47">
        <v>0</v>
      </c>
    </row>
    <row r="4" spans="1:33" x14ac:dyDescent="0.25">
      <c r="A4" s="2" t="s">
        <v>71</v>
      </c>
      <c r="B4" s="34">
        <v>21</v>
      </c>
      <c r="C4" s="77">
        <f>B4/(E4+F4)</f>
        <v>10.5</v>
      </c>
      <c r="D4" s="47">
        <v>6</v>
      </c>
      <c r="E4" s="34">
        <v>1</v>
      </c>
      <c r="F4" s="73">
        <v>1</v>
      </c>
      <c r="G4" s="41">
        <f>E4/(E4+F4)</f>
        <v>0.5</v>
      </c>
      <c r="H4" s="34">
        <v>4</v>
      </c>
      <c r="I4" s="73">
        <v>5</v>
      </c>
      <c r="J4" s="41">
        <f>H4/(H4+I4)</f>
        <v>0.44444444444444442</v>
      </c>
      <c r="K4" s="34">
        <v>15</v>
      </c>
      <c r="L4" s="73">
        <v>20</v>
      </c>
      <c r="M4" s="41">
        <f>K4/(K4+L4)</f>
        <v>0.42857142857142855</v>
      </c>
      <c r="N4" s="34">
        <v>0</v>
      </c>
      <c r="O4" s="73">
        <v>0</v>
      </c>
      <c r="P4" s="73">
        <v>1</v>
      </c>
      <c r="Q4" s="73">
        <v>0</v>
      </c>
      <c r="R4" s="73">
        <v>0</v>
      </c>
      <c r="S4" s="73">
        <v>0</v>
      </c>
      <c r="T4" s="73">
        <v>0</v>
      </c>
      <c r="U4" s="73">
        <v>0</v>
      </c>
      <c r="V4" s="73">
        <v>0</v>
      </c>
      <c r="W4" s="73">
        <v>0</v>
      </c>
      <c r="X4" s="73">
        <v>0</v>
      </c>
      <c r="Y4" s="73">
        <v>0</v>
      </c>
      <c r="Z4" s="73">
        <v>0</v>
      </c>
      <c r="AA4" s="73">
        <v>2</v>
      </c>
      <c r="AB4" s="73">
        <v>0</v>
      </c>
      <c r="AC4" s="73">
        <v>0</v>
      </c>
      <c r="AD4" s="73">
        <v>0</v>
      </c>
      <c r="AE4" s="73">
        <v>0</v>
      </c>
      <c r="AF4" s="73">
        <v>1</v>
      </c>
      <c r="AG4" s="47">
        <v>0</v>
      </c>
    </row>
    <row r="5" spans="1:33" x14ac:dyDescent="0.25">
      <c r="A5" s="2" t="s">
        <v>115</v>
      </c>
      <c r="B5" s="36">
        <v>6</v>
      </c>
      <c r="C5" s="77">
        <f>B5/(E5+F5)</f>
        <v>6</v>
      </c>
      <c r="D5" s="76">
        <v>6</v>
      </c>
      <c r="E5" s="36">
        <v>0</v>
      </c>
      <c r="F5" s="74">
        <v>1</v>
      </c>
      <c r="G5" s="41">
        <f>E5/(E5+F5)</f>
        <v>0</v>
      </c>
      <c r="H5" s="36">
        <v>1</v>
      </c>
      <c r="I5" s="74">
        <v>3</v>
      </c>
      <c r="J5" s="41">
        <f>H5/(H5+I5)</f>
        <v>0.25</v>
      </c>
      <c r="K5" s="36">
        <v>8</v>
      </c>
      <c r="L5" s="74">
        <v>11</v>
      </c>
      <c r="M5" s="41">
        <f>K5/(K5+L5)</f>
        <v>0.42105263157894735</v>
      </c>
      <c r="N5" s="36">
        <v>0</v>
      </c>
      <c r="O5" s="74">
        <v>0</v>
      </c>
      <c r="P5" s="74">
        <v>0</v>
      </c>
      <c r="Q5" s="74">
        <v>0</v>
      </c>
      <c r="R5" s="74">
        <v>1</v>
      </c>
      <c r="S5" s="74">
        <v>0</v>
      </c>
      <c r="T5" s="74">
        <v>0</v>
      </c>
      <c r="U5" s="74">
        <v>0</v>
      </c>
      <c r="V5" s="74">
        <v>0</v>
      </c>
      <c r="W5" s="74">
        <v>0</v>
      </c>
      <c r="X5" s="74">
        <v>0</v>
      </c>
      <c r="Y5" s="74">
        <v>0</v>
      </c>
      <c r="Z5" s="74">
        <v>0</v>
      </c>
      <c r="AA5" s="74">
        <v>0</v>
      </c>
      <c r="AB5" s="74">
        <v>0</v>
      </c>
      <c r="AC5" s="74">
        <v>0</v>
      </c>
      <c r="AD5" s="74">
        <v>0</v>
      </c>
      <c r="AE5" s="74">
        <v>0</v>
      </c>
      <c r="AF5" s="74">
        <v>0</v>
      </c>
      <c r="AG5" s="76">
        <v>0</v>
      </c>
    </row>
    <row r="6" spans="1:33" x14ac:dyDescent="0.25">
      <c r="A6" s="2" t="s">
        <v>35</v>
      </c>
      <c r="B6" s="34">
        <v>188</v>
      </c>
      <c r="C6" s="77">
        <f>B6/(E6+F6)</f>
        <v>11.75</v>
      </c>
      <c r="D6" s="35">
        <v>20</v>
      </c>
      <c r="E6" s="34">
        <v>6</v>
      </c>
      <c r="F6" s="73">
        <v>10</v>
      </c>
      <c r="G6" s="41">
        <f>E6/(E6+F6)</f>
        <v>0.375</v>
      </c>
      <c r="H6" s="34">
        <v>30</v>
      </c>
      <c r="I6" s="73">
        <v>38</v>
      </c>
      <c r="J6" s="41">
        <f>H6/(H6+I6)</f>
        <v>0.44117647058823528</v>
      </c>
      <c r="K6" s="34">
        <v>144</v>
      </c>
      <c r="L6" s="73">
        <v>144</v>
      </c>
      <c r="M6" s="41">
        <f>K6/(K6+L6)</f>
        <v>0.5</v>
      </c>
      <c r="N6" s="34">
        <v>0</v>
      </c>
      <c r="O6" s="73">
        <v>2</v>
      </c>
      <c r="P6" s="73">
        <v>2</v>
      </c>
      <c r="Q6" s="73">
        <v>2</v>
      </c>
      <c r="R6" s="74">
        <v>1</v>
      </c>
      <c r="S6" s="74">
        <v>0</v>
      </c>
      <c r="T6" s="73">
        <v>1</v>
      </c>
      <c r="U6" s="73">
        <v>3</v>
      </c>
      <c r="V6" s="73">
        <v>1</v>
      </c>
      <c r="W6" s="73">
        <v>1</v>
      </c>
      <c r="X6" s="73">
        <v>2</v>
      </c>
      <c r="Y6" s="73">
        <v>0</v>
      </c>
      <c r="Z6" s="73">
        <v>1</v>
      </c>
      <c r="AA6" s="73">
        <v>1</v>
      </c>
      <c r="AB6" s="73">
        <v>3</v>
      </c>
      <c r="AC6" s="73">
        <v>0</v>
      </c>
      <c r="AD6" s="73">
        <v>3</v>
      </c>
      <c r="AE6" s="73">
        <v>3</v>
      </c>
      <c r="AF6" s="73">
        <v>3</v>
      </c>
      <c r="AG6" s="47">
        <v>1</v>
      </c>
    </row>
    <row r="7" spans="1:33" x14ac:dyDescent="0.25">
      <c r="A7" s="2" t="s">
        <v>19</v>
      </c>
      <c r="B7" s="34">
        <v>88</v>
      </c>
      <c r="C7" s="77">
        <f>B7/(E7+F7)</f>
        <v>8</v>
      </c>
      <c r="D7" s="35">
        <v>11</v>
      </c>
      <c r="E7" s="34">
        <v>9</v>
      </c>
      <c r="F7" s="73">
        <v>2</v>
      </c>
      <c r="G7" s="41">
        <f>E7/(E7+F7)</f>
        <v>0.81818181818181823</v>
      </c>
      <c r="H7" s="34">
        <v>30</v>
      </c>
      <c r="I7" s="73">
        <v>16</v>
      </c>
      <c r="J7" s="41">
        <f>H7/(H7+I7)</f>
        <v>0.65217391304347827</v>
      </c>
      <c r="K7" s="34">
        <v>106</v>
      </c>
      <c r="L7" s="73">
        <v>79</v>
      </c>
      <c r="M7" s="41">
        <f>K7/(K7+L7)</f>
        <v>0.572972972972973</v>
      </c>
      <c r="N7" s="34">
        <v>1</v>
      </c>
      <c r="O7" s="73">
        <v>1</v>
      </c>
      <c r="P7" s="73">
        <v>2</v>
      </c>
      <c r="Q7" s="73">
        <v>2</v>
      </c>
      <c r="R7" s="74">
        <v>0</v>
      </c>
      <c r="S7" s="74">
        <v>0</v>
      </c>
      <c r="T7" s="73">
        <v>1</v>
      </c>
      <c r="U7" s="73">
        <v>1</v>
      </c>
      <c r="V7" s="73">
        <v>1</v>
      </c>
      <c r="W7" s="73">
        <v>2</v>
      </c>
      <c r="X7" s="73">
        <v>1</v>
      </c>
      <c r="Y7" s="73">
        <v>0</v>
      </c>
      <c r="Z7" s="73">
        <v>1</v>
      </c>
      <c r="AA7" s="73">
        <v>2</v>
      </c>
      <c r="AB7" s="73">
        <v>3</v>
      </c>
      <c r="AC7" s="73">
        <v>0</v>
      </c>
      <c r="AD7" s="73">
        <v>5</v>
      </c>
      <c r="AE7" s="73">
        <v>3</v>
      </c>
      <c r="AF7" s="73">
        <v>3</v>
      </c>
      <c r="AG7" s="47">
        <v>1</v>
      </c>
    </row>
    <row r="8" spans="1:33" x14ac:dyDescent="0.25">
      <c r="A8" s="2" t="s">
        <v>42</v>
      </c>
      <c r="B8" s="34">
        <v>143</v>
      </c>
      <c r="C8" s="77">
        <f>B8/(E8+F8)</f>
        <v>15.888888888888889</v>
      </c>
      <c r="D8" s="35">
        <v>31</v>
      </c>
      <c r="E8" s="34">
        <v>5</v>
      </c>
      <c r="F8" s="73">
        <v>4</v>
      </c>
      <c r="G8" s="41">
        <f>E8/(E8+F8)</f>
        <v>0.55555555555555558</v>
      </c>
      <c r="H8" s="34">
        <v>19</v>
      </c>
      <c r="I8" s="73">
        <v>20</v>
      </c>
      <c r="J8" s="41">
        <f>H8/(H8+I8)</f>
        <v>0.48717948717948717</v>
      </c>
      <c r="K8" s="34">
        <v>80</v>
      </c>
      <c r="L8" s="73">
        <v>84</v>
      </c>
      <c r="M8" s="41">
        <f>K8/(K8+L8)</f>
        <v>0.48780487804878048</v>
      </c>
      <c r="N8" s="34">
        <v>0</v>
      </c>
      <c r="O8" s="73">
        <v>3</v>
      </c>
      <c r="P8" s="73">
        <v>1</v>
      </c>
      <c r="Q8" s="73">
        <v>1</v>
      </c>
      <c r="R8" s="73">
        <v>0</v>
      </c>
      <c r="S8" s="73">
        <v>0</v>
      </c>
      <c r="T8" s="73">
        <v>1</v>
      </c>
      <c r="U8" s="73">
        <v>1</v>
      </c>
      <c r="V8" s="73">
        <v>0</v>
      </c>
      <c r="W8" s="73">
        <v>0</v>
      </c>
      <c r="X8" s="73">
        <v>2</v>
      </c>
      <c r="Y8" s="73">
        <v>1</v>
      </c>
      <c r="Z8" s="73">
        <v>0</v>
      </c>
      <c r="AA8" s="73">
        <v>2</v>
      </c>
      <c r="AB8" s="73">
        <v>3</v>
      </c>
      <c r="AC8" s="73">
        <v>1</v>
      </c>
      <c r="AD8" s="73">
        <v>0</v>
      </c>
      <c r="AE8" s="73">
        <v>1</v>
      </c>
      <c r="AF8" s="73">
        <v>1</v>
      </c>
      <c r="AG8" s="47">
        <v>1</v>
      </c>
    </row>
    <row r="9" spans="1:33" x14ac:dyDescent="0.25">
      <c r="A9" s="2" t="s">
        <v>25</v>
      </c>
      <c r="B9" s="34">
        <v>24</v>
      </c>
      <c r="C9" s="77">
        <f>B9/(E9+F9)</f>
        <v>8</v>
      </c>
      <c r="D9" s="35">
        <v>12</v>
      </c>
      <c r="E9" s="34">
        <v>2</v>
      </c>
      <c r="F9" s="73">
        <v>1</v>
      </c>
      <c r="G9" s="41">
        <f>E9/(E9+F9)</f>
        <v>0.66666666666666663</v>
      </c>
      <c r="H9" s="34">
        <v>7</v>
      </c>
      <c r="I9" s="73">
        <v>5</v>
      </c>
      <c r="J9" s="41">
        <f>H9/(H9+I9)</f>
        <v>0.58333333333333337</v>
      </c>
      <c r="K9" s="34">
        <v>27</v>
      </c>
      <c r="L9" s="73">
        <v>19</v>
      </c>
      <c r="M9" s="41">
        <f>K9/(K9+L9)</f>
        <v>0.58695652173913049</v>
      </c>
      <c r="N9" s="34">
        <v>1</v>
      </c>
      <c r="O9" s="73">
        <v>0</v>
      </c>
      <c r="P9" s="73">
        <v>0</v>
      </c>
      <c r="Q9" s="73">
        <v>1</v>
      </c>
      <c r="R9" s="73">
        <v>0</v>
      </c>
      <c r="S9" s="74">
        <v>1</v>
      </c>
      <c r="T9" s="73">
        <v>0</v>
      </c>
      <c r="U9" s="73">
        <v>0</v>
      </c>
      <c r="V9" s="73">
        <v>0</v>
      </c>
      <c r="W9" s="73">
        <v>0</v>
      </c>
      <c r="X9" s="73">
        <v>1</v>
      </c>
      <c r="Y9" s="73">
        <v>0</v>
      </c>
      <c r="Z9" s="73">
        <v>0</v>
      </c>
      <c r="AA9" s="73">
        <v>1</v>
      </c>
      <c r="AB9" s="73">
        <v>1</v>
      </c>
      <c r="AC9" s="73">
        <v>0</v>
      </c>
      <c r="AD9" s="73">
        <v>1</v>
      </c>
      <c r="AE9" s="73">
        <v>0</v>
      </c>
      <c r="AF9" s="73">
        <v>0</v>
      </c>
      <c r="AG9" s="47">
        <v>0</v>
      </c>
    </row>
    <row r="10" spans="1:33" x14ac:dyDescent="0.25">
      <c r="A10" s="2" t="s">
        <v>116</v>
      </c>
      <c r="B10" s="36">
        <v>44</v>
      </c>
      <c r="C10" s="77">
        <f>B10/(E10+F10)</f>
        <v>11</v>
      </c>
      <c r="D10" s="76">
        <v>14</v>
      </c>
      <c r="E10" s="36">
        <v>1</v>
      </c>
      <c r="F10" s="74">
        <v>3</v>
      </c>
      <c r="G10" s="41">
        <f>E10/(E10+F10)</f>
        <v>0.25</v>
      </c>
      <c r="H10" s="36">
        <v>7</v>
      </c>
      <c r="I10" s="74">
        <v>11</v>
      </c>
      <c r="J10" s="41">
        <f>H10/(H10+I10)</f>
        <v>0.3888888888888889</v>
      </c>
      <c r="K10" s="36">
        <v>31</v>
      </c>
      <c r="L10" s="74">
        <v>39</v>
      </c>
      <c r="M10" s="41">
        <f>K10/(K10+L10)</f>
        <v>0.44285714285714284</v>
      </c>
      <c r="N10" s="36">
        <v>0</v>
      </c>
      <c r="O10" s="74">
        <v>1</v>
      </c>
      <c r="P10" s="74">
        <v>1</v>
      </c>
      <c r="Q10" s="74">
        <v>0</v>
      </c>
      <c r="R10" s="74">
        <v>1</v>
      </c>
      <c r="S10" s="74">
        <v>0</v>
      </c>
      <c r="T10" s="74">
        <v>1</v>
      </c>
      <c r="U10" s="74">
        <v>0</v>
      </c>
      <c r="V10" s="74">
        <v>0</v>
      </c>
      <c r="W10" s="74">
        <v>1</v>
      </c>
      <c r="X10" s="74">
        <v>0</v>
      </c>
      <c r="Y10" s="74">
        <v>0</v>
      </c>
      <c r="Z10" s="74">
        <v>0</v>
      </c>
      <c r="AA10" s="74">
        <v>1</v>
      </c>
      <c r="AB10" s="74">
        <v>0</v>
      </c>
      <c r="AC10" s="74">
        <v>0</v>
      </c>
      <c r="AD10" s="74">
        <v>0</v>
      </c>
      <c r="AE10" s="74">
        <v>1</v>
      </c>
      <c r="AF10" s="74">
        <v>0</v>
      </c>
      <c r="AG10" s="76">
        <v>0</v>
      </c>
    </row>
    <row r="11" spans="1:33" x14ac:dyDescent="0.25">
      <c r="A11" s="2" t="s">
        <v>27</v>
      </c>
      <c r="B11" s="34">
        <v>61</v>
      </c>
      <c r="C11" s="77">
        <f>B11/(E11+F11)</f>
        <v>15.25</v>
      </c>
      <c r="D11" s="35">
        <v>20</v>
      </c>
      <c r="E11" s="34">
        <v>2</v>
      </c>
      <c r="F11" s="73">
        <v>2</v>
      </c>
      <c r="G11" s="41">
        <f>E11/(E11+F11)</f>
        <v>0.5</v>
      </c>
      <c r="H11" s="34">
        <v>10</v>
      </c>
      <c r="I11" s="73">
        <v>9</v>
      </c>
      <c r="J11" s="41">
        <f>H11/(H11+I11)</f>
        <v>0.52631578947368418</v>
      </c>
      <c r="K11" s="34">
        <v>39</v>
      </c>
      <c r="L11" s="73">
        <v>41</v>
      </c>
      <c r="M11" s="41">
        <f>K11/(K11+L11)</f>
        <v>0.48749999999999999</v>
      </c>
      <c r="N11" s="34">
        <v>0</v>
      </c>
      <c r="O11" s="73">
        <v>0</v>
      </c>
      <c r="P11" s="73">
        <v>1</v>
      </c>
      <c r="Q11" s="73">
        <v>2</v>
      </c>
      <c r="R11" s="73">
        <v>0</v>
      </c>
      <c r="S11" s="73">
        <v>0</v>
      </c>
      <c r="T11" s="73">
        <v>0</v>
      </c>
      <c r="U11" s="73">
        <v>0</v>
      </c>
      <c r="V11" s="73">
        <v>0</v>
      </c>
      <c r="W11" s="73">
        <v>1</v>
      </c>
      <c r="X11" s="73">
        <v>0</v>
      </c>
      <c r="Y11" s="73">
        <v>0</v>
      </c>
      <c r="Z11" s="73">
        <v>0</v>
      </c>
      <c r="AA11" s="73">
        <v>1</v>
      </c>
      <c r="AB11" s="73">
        <v>2</v>
      </c>
      <c r="AC11" s="73">
        <v>0</v>
      </c>
      <c r="AD11" s="73">
        <v>2</v>
      </c>
      <c r="AE11" s="73">
        <v>1</v>
      </c>
      <c r="AF11" s="73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77">
        <f>B12/(E12+F12)</f>
        <v>3</v>
      </c>
      <c r="D12" s="76">
        <v>3</v>
      </c>
      <c r="E12" s="36">
        <v>0</v>
      </c>
      <c r="F12" s="74">
        <v>1</v>
      </c>
      <c r="G12" s="41">
        <f>E12/(E12+F12)</f>
        <v>0</v>
      </c>
      <c r="H12" s="36">
        <v>2</v>
      </c>
      <c r="I12" s="74">
        <v>3</v>
      </c>
      <c r="J12" s="41">
        <f>H12/(H12+I12)</f>
        <v>0.4</v>
      </c>
      <c r="K12" s="36">
        <v>10</v>
      </c>
      <c r="L12" s="74">
        <v>13</v>
      </c>
      <c r="M12" s="41">
        <f>K12/(K12+L12)</f>
        <v>0.43478260869565216</v>
      </c>
      <c r="N12" s="36">
        <v>0</v>
      </c>
      <c r="O12" s="74">
        <v>0</v>
      </c>
      <c r="P12" s="74">
        <v>1</v>
      </c>
      <c r="Q12" s="74">
        <v>0</v>
      </c>
      <c r="R12" s="74">
        <v>0</v>
      </c>
      <c r="S12" s="74">
        <v>0</v>
      </c>
      <c r="T12" s="74">
        <v>0</v>
      </c>
      <c r="U12" s="74">
        <v>0</v>
      </c>
      <c r="V12" s="74">
        <v>0</v>
      </c>
      <c r="W12" s="74">
        <v>0</v>
      </c>
      <c r="X12" s="74">
        <v>0</v>
      </c>
      <c r="Y12" s="74">
        <v>0</v>
      </c>
      <c r="Z12" s="74">
        <v>0</v>
      </c>
      <c r="AA12" s="74">
        <v>1</v>
      </c>
      <c r="AB12" s="74">
        <v>0</v>
      </c>
      <c r="AC12" s="74">
        <v>0</v>
      </c>
      <c r="AD12" s="74">
        <v>0</v>
      </c>
      <c r="AE12" s="74">
        <v>0</v>
      </c>
      <c r="AF12" s="74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77">
        <v>0</v>
      </c>
      <c r="D13" s="76">
        <v>0</v>
      </c>
      <c r="E13" s="36">
        <v>0</v>
      </c>
      <c r="F13" s="74">
        <v>0</v>
      </c>
      <c r="G13" s="41" t="s">
        <v>79</v>
      </c>
      <c r="H13" s="36">
        <v>0</v>
      </c>
      <c r="I13" s="74">
        <v>0</v>
      </c>
      <c r="J13" s="41" t="s">
        <v>79</v>
      </c>
      <c r="K13" s="36">
        <v>0</v>
      </c>
      <c r="L13" s="74">
        <v>0</v>
      </c>
      <c r="M13" s="41" t="s">
        <v>79</v>
      </c>
      <c r="N13" s="36">
        <v>0</v>
      </c>
      <c r="O13" s="74">
        <v>0</v>
      </c>
      <c r="P13" s="74">
        <v>0</v>
      </c>
      <c r="Q13" s="74">
        <v>0</v>
      </c>
      <c r="R13" s="74">
        <v>0</v>
      </c>
      <c r="S13" s="74">
        <v>0</v>
      </c>
      <c r="T13" s="74">
        <v>0</v>
      </c>
      <c r="U13" s="74">
        <v>0</v>
      </c>
      <c r="V13" s="74">
        <v>0</v>
      </c>
      <c r="W13" s="74">
        <v>0</v>
      </c>
      <c r="X13" s="74">
        <v>0</v>
      </c>
      <c r="Y13" s="74">
        <v>0</v>
      </c>
      <c r="Z13" s="74">
        <v>0</v>
      </c>
      <c r="AA13" s="74">
        <v>0</v>
      </c>
      <c r="AB13" s="74">
        <v>0</v>
      </c>
      <c r="AC13" s="74">
        <v>0</v>
      </c>
      <c r="AD13" s="74">
        <v>0</v>
      </c>
      <c r="AE13" s="74">
        <v>0</v>
      </c>
      <c r="AF13" s="74">
        <v>0</v>
      </c>
      <c r="AG13" s="76">
        <v>0</v>
      </c>
    </row>
    <row r="14" spans="1:33" x14ac:dyDescent="0.25">
      <c r="A14" s="2" t="s">
        <v>74</v>
      </c>
      <c r="B14" s="34">
        <v>9</v>
      </c>
      <c r="C14" s="77">
        <f>B14/(E14+F14)</f>
        <v>9</v>
      </c>
      <c r="D14" s="47">
        <v>9</v>
      </c>
      <c r="E14" s="34">
        <v>0</v>
      </c>
      <c r="F14" s="73">
        <v>1</v>
      </c>
      <c r="G14" s="41">
        <f>E14/(E14+F14)</f>
        <v>0</v>
      </c>
      <c r="H14" s="34">
        <v>1</v>
      </c>
      <c r="I14" s="73">
        <v>3</v>
      </c>
      <c r="J14" s="41">
        <f>H14/(H14+I14)</f>
        <v>0.25</v>
      </c>
      <c r="K14" s="34">
        <v>6</v>
      </c>
      <c r="L14" s="73">
        <v>9</v>
      </c>
      <c r="M14" s="41">
        <f>K14/(K14+L14)</f>
        <v>0.4</v>
      </c>
      <c r="N14" s="34">
        <v>0</v>
      </c>
      <c r="O14" s="73">
        <v>0</v>
      </c>
      <c r="P14" s="73">
        <v>0</v>
      </c>
      <c r="Q14" s="73">
        <v>0</v>
      </c>
      <c r="R14" s="73">
        <v>0</v>
      </c>
      <c r="S14" s="73">
        <v>0</v>
      </c>
      <c r="T14" s="73">
        <v>0</v>
      </c>
      <c r="U14" s="73">
        <v>0</v>
      </c>
      <c r="V14" s="73">
        <v>0</v>
      </c>
      <c r="W14" s="73">
        <v>0</v>
      </c>
      <c r="X14" s="73">
        <v>0</v>
      </c>
      <c r="Y14" s="73">
        <v>0</v>
      </c>
      <c r="Z14" s="73">
        <v>0</v>
      </c>
      <c r="AA14" s="73">
        <v>0</v>
      </c>
      <c r="AB14" s="73">
        <v>1</v>
      </c>
      <c r="AC14" s="73">
        <v>0</v>
      </c>
      <c r="AD14" s="73">
        <v>0</v>
      </c>
      <c r="AE14" s="73">
        <v>0</v>
      </c>
      <c r="AF14" s="73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77">
        <f>B15/(E15+F15)</f>
        <v>3</v>
      </c>
      <c r="D15" s="47">
        <v>3</v>
      </c>
      <c r="E15" s="34">
        <v>0</v>
      </c>
      <c r="F15" s="73">
        <v>1</v>
      </c>
      <c r="G15" s="41">
        <f>E15/(E15+F15)</f>
        <v>0</v>
      </c>
      <c r="H15" s="34">
        <v>0</v>
      </c>
      <c r="I15" s="73">
        <v>3</v>
      </c>
      <c r="J15" s="41">
        <f>H15/(H15+I15)</f>
        <v>0</v>
      </c>
      <c r="K15" s="34">
        <v>4</v>
      </c>
      <c r="L15" s="73">
        <v>9</v>
      </c>
      <c r="M15" s="41">
        <f>K15/(K15+L15)</f>
        <v>0.30769230769230771</v>
      </c>
      <c r="N15" s="34">
        <v>0</v>
      </c>
      <c r="O15" s="73">
        <v>0</v>
      </c>
      <c r="P15" s="73">
        <v>0</v>
      </c>
      <c r="Q15" s="73">
        <v>0</v>
      </c>
      <c r="R15" s="73">
        <v>0</v>
      </c>
      <c r="S15" s="73">
        <v>0</v>
      </c>
      <c r="T15" s="73">
        <v>0</v>
      </c>
      <c r="U15" s="73">
        <v>0</v>
      </c>
      <c r="V15" s="73">
        <v>0</v>
      </c>
      <c r="W15" s="73">
        <v>0</v>
      </c>
      <c r="X15" s="73">
        <v>0</v>
      </c>
      <c r="Y15" s="73">
        <v>0</v>
      </c>
      <c r="Z15" s="73">
        <v>0</v>
      </c>
      <c r="AA15" s="73">
        <v>0</v>
      </c>
      <c r="AB15" s="73">
        <v>0</v>
      </c>
      <c r="AC15" s="73">
        <v>0</v>
      </c>
      <c r="AD15" s="73">
        <v>0</v>
      </c>
      <c r="AE15" s="73">
        <v>0</v>
      </c>
      <c r="AF15" s="73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77">
        <f>B16/(E16+F16)</f>
        <v>10.666666666666666</v>
      </c>
      <c r="D16" s="35">
        <v>13</v>
      </c>
      <c r="E16" s="34">
        <v>2</v>
      </c>
      <c r="F16" s="73">
        <v>1</v>
      </c>
      <c r="G16" s="41">
        <f>E16/(E16+F16)</f>
        <v>0.66666666666666663</v>
      </c>
      <c r="H16" s="34">
        <v>8</v>
      </c>
      <c r="I16" s="73">
        <v>5</v>
      </c>
      <c r="J16" s="41">
        <f>H16/(H16+I16)</f>
        <v>0.61538461538461542</v>
      </c>
      <c r="K16" s="34">
        <v>32</v>
      </c>
      <c r="L16" s="73">
        <v>27</v>
      </c>
      <c r="M16" s="41">
        <f>K16/(K16+L16)</f>
        <v>0.5423728813559322</v>
      </c>
      <c r="N16" s="34">
        <v>0</v>
      </c>
      <c r="O16" s="73">
        <v>0</v>
      </c>
      <c r="P16" s="73">
        <v>1</v>
      </c>
      <c r="Q16" s="73">
        <v>2</v>
      </c>
      <c r="R16" s="73">
        <v>0</v>
      </c>
      <c r="S16" s="73">
        <v>0</v>
      </c>
      <c r="T16" s="73">
        <v>0</v>
      </c>
      <c r="U16" s="73">
        <v>0</v>
      </c>
      <c r="V16" s="73">
        <v>0</v>
      </c>
      <c r="W16" s="73">
        <v>1</v>
      </c>
      <c r="X16" s="73">
        <v>0</v>
      </c>
      <c r="Y16" s="73">
        <v>0</v>
      </c>
      <c r="Z16" s="73">
        <v>0</v>
      </c>
      <c r="AA16" s="73">
        <v>1</v>
      </c>
      <c r="AB16" s="73">
        <v>1</v>
      </c>
      <c r="AC16" s="73">
        <v>0</v>
      </c>
      <c r="AD16" s="73">
        <v>1</v>
      </c>
      <c r="AE16" s="73">
        <v>1</v>
      </c>
      <c r="AF16" s="73">
        <v>0</v>
      </c>
      <c r="AG16" s="47">
        <v>0</v>
      </c>
    </row>
    <row r="17" spans="1:33" x14ac:dyDescent="0.25">
      <c r="A17" s="2" t="s">
        <v>50</v>
      </c>
      <c r="B17" s="34">
        <v>370</v>
      </c>
      <c r="C17" s="77">
        <f>B17/(E17+F17)</f>
        <v>21.764705882352942</v>
      </c>
      <c r="D17" s="35">
        <v>31</v>
      </c>
      <c r="E17" s="34">
        <v>10</v>
      </c>
      <c r="F17" s="73">
        <v>7</v>
      </c>
      <c r="G17" s="41">
        <f>E17/(E17+F17)</f>
        <v>0.58823529411764708</v>
      </c>
      <c r="H17" s="34">
        <v>39</v>
      </c>
      <c r="I17" s="73">
        <v>33</v>
      </c>
      <c r="J17" s="41">
        <f>H17/(H17+I17)</f>
        <v>0.54166666666666663</v>
      </c>
      <c r="K17" s="34">
        <v>162</v>
      </c>
      <c r="L17" s="73">
        <v>152</v>
      </c>
      <c r="M17" s="41">
        <f>K17/(K17+L17)</f>
        <v>0.51592356687898089</v>
      </c>
      <c r="N17" s="34">
        <v>1</v>
      </c>
      <c r="O17" s="73">
        <v>2</v>
      </c>
      <c r="P17" s="73">
        <v>1</v>
      </c>
      <c r="Q17" s="73">
        <v>3</v>
      </c>
      <c r="R17" s="73">
        <v>1</v>
      </c>
      <c r="S17" s="73">
        <v>1</v>
      </c>
      <c r="T17" s="73">
        <v>1</v>
      </c>
      <c r="U17" s="73">
        <v>1</v>
      </c>
      <c r="V17" s="73">
        <v>1</v>
      </c>
      <c r="W17" s="73">
        <v>0</v>
      </c>
      <c r="X17" s="73">
        <v>4</v>
      </c>
      <c r="Y17" s="73">
        <v>1</v>
      </c>
      <c r="Z17" s="73">
        <v>1</v>
      </c>
      <c r="AA17" s="73">
        <v>2</v>
      </c>
      <c r="AB17" s="73">
        <v>7</v>
      </c>
      <c r="AC17" s="73">
        <v>1</v>
      </c>
      <c r="AD17" s="73">
        <v>4</v>
      </c>
      <c r="AE17" s="73">
        <v>1</v>
      </c>
      <c r="AF17" s="73">
        <v>5</v>
      </c>
      <c r="AG17" s="47">
        <v>1</v>
      </c>
    </row>
    <row r="18" spans="1:33" x14ac:dyDescent="0.25">
      <c r="A18" s="2" t="s">
        <v>52</v>
      </c>
      <c r="B18" s="34">
        <v>58</v>
      </c>
      <c r="C18" s="77">
        <f>B18/(E18+F18)</f>
        <v>11.6</v>
      </c>
      <c r="D18" s="35">
        <v>19</v>
      </c>
      <c r="E18" s="34">
        <v>1</v>
      </c>
      <c r="F18" s="73">
        <v>4</v>
      </c>
      <c r="G18" s="41">
        <f>E18/(E18+F18)</f>
        <v>0.2</v>
      </c>
      <c r="H18" s="34">
        <v>8</v>
      </c>
      <c r="I18" s="73">
        <v>14</v>
      </c>
      <c r="J18" s="41">
        <f>H18/(H18+I18)</f>
        <v>0.36363636363636365</v>
      </c>
      <c r="K18" s="34">
        <v>34</v>
      </c>
      <c r="L18" s="73">
        <v>52</v>
      </c>
      <c r="M18" s="41">
        <f>K18/(K18+L18)</f>
        <v>0.39534883720930231</v>
      </c>
      <c r="N18" s="34">
        <v>0</v>
      </c>
      <c r="O18" s="73">
        <v>1</v>
      </c>
      <c r="P18" s="73">
        <v>0</v>
      </c>
      <c r="Q18" s="73">
        <v>0</v>
      </c>
      <c r="R18" s="73">
        <v>0</v>
      </c>
      <c r="S18" s="73">
        <v>0</v>
      </c>
      <c r="T18" s="73">
        <v>0</v>
      </c>
      <c r="U18" s="73">
        <v>0</v>
      </c>
      <c r="V18" s="73">
        <v>0</v>
      </c>
      <c r="W18" s="73">
        <v>2</v>
      </c>
      <c r="X18" s="73">
        <v>0</v>
      </c>
      <c r="Y18" s="73">
        <v>0</v>
      </c>
      <c r="Z18" s="73">
        <v>0</v>
      </c>
      <c r="AA18" s="73">
        <v>0</v>
      </c>
      <c r="AB18" s="73">
        <v>1</v>
      </c>
      <c r="AC18" s="73">
        <v>0</v>
      </c>
      <c r="AD18" s="73">
        <v>3</v>
      </c>
      <c r="AE18" s="73">
        <v>1</v>
      </c>
      <c r="AF18" s="73">
        <v>0</v>
      </c>
      <c r="AG18" s="47">
        <v>0</v>
      </c>
    </row>
    <row r="19" spans="1:33" x14ac:dyDescent="0.25">
      <c r="A19" s="2" t="s">
        <v>102</v>
      </c>
      <c r="B19" s="34">
        <v>94</v>
      </c>
      <c r="C19" s="77">
        <f>B19/(E19+F19)</f>
        <v>18.8</v>
      </c>
      <c r="D19" s="35">
        <v>31</v>
      </c>
      <c r="E19" s="34">
        <v>4</v>
      </c>
      <c r="F19" s="73">
        <v>1</v>
      </c>
      <c r="G19" s="41">
        <f>E19/(E19+F19)</f>
        <v>0.8</v>
      </c>
      <c r="H19" s="34">
        <v>14</v>
      </c>
      <c r="I19" s="73">
        <v>9</v>
      </c>
      <c r="J19" s="41">
        <f>H19/(H19+I19)</f>
        <v>0.60869565217391308</v>
      </c>
      <c r="K19" s="34">
        <v>52</v>
      </c>
      <c r="L19" s="73">
        <v>40</v>
      </c>
      <c r="M19" s="41">
        <f>K19/(K19+L19)</f>
        <v>0.56521739130434778</v>
      </c>
      <c r="N19" s="34">
        <v>1</v>
      </c>
      <c r="O19" s="73">
        <v>0</v>
      </c>
      <c r="P19" s="73">
        <v>2</v>
      </c>
      <c r="Q19" s="73">
        <v>1</v>
      </c>
      <c r="R19" s="74">
        <v>0</v>
      </c>
      <c r="S19" s="73">
        <v>0</v>
      </c>
      <c r="T19" s="73">
        <v>0</v>
      </c>
      <c r="U19" s="73">
        <v>1</v>
      </c>
      <c r="V19" s="73">
        <v>0</v>
      </c>
      <c r="W19" s="73">
        <v>0</v>
      </c>
      <c r="X19" s="73">
        <v>1</v>
      </c>
      <c r="Y19" s="73">
        <v>2</v>
      </c>
      <c r="Z19" s="73">
        <v>0</v>
      </c>
      <c r="AA19" s="73">
        <v>1</v>
      </c>
      <c r="AB19" s="73">
        <v>2</v>
      </c>
      <c r="AC19" s="73">
        <v>1</v>
      </c>
      <c r="AD19" s="73">
        <v>0</v>
      </c>
      <c r="AE19" s="73">
        <v>1</v>
      </c>
      <c r="AF19" s="73">
        <v>0</v>
      </c>
      <c r="AG19" s="47">
        <v>1</v>
      </c>
    </row>
    <row r="20" spans="1:33" x14ac:dyDescent="0.25">
      <c r="A20" s="2" t="s">
        <v>1</v>
      </c>
      <c r="B20" s="34">
        <v>239</v>
      </c>
      <c r="C20" s="77">
        <f>B20/(E20+F20)</f>
        <v>29.875</v>
      </c>
      <c r="D20" s="35">
        <v>44</v>
      </c>
      <c r="E20" s="34">
        <v>4</v>
      </c>
      <c r="F20" s="73">
        <v>4</v>
      </c>
      <c r="G20" s="41">
        <f>E20/(E20+F20)</f>
        <v>0.5</v>
      </c>
      <c r="H20" s="34">
        <v>15</v>
      </c>
      <c r="I20" s="73">
        <v>19</v>
      </c>
      <c r="J20" s="41">
        <f>H20/(H20+I20)</f>
        <v>0.44117647058823528</v>
      </c>
      <c r="K20" s="34">
        <v>74</v>
      </c>
      <c r="L20" s="73">
        <v>78</v>
      </c>
      <c r="M20" s="41">
        <f>K20/(K20+L20)</f>
        <v>0.48684210526315791</v>
      </c>
      <c r="N20" s="34">
        <v>1</v>
      </c>
      <c r="O20" s="73">
        <v>1</v>
      </c>
      <c r="P20" s="73">
        <v>1</v>
      </c>
      <c r="Q20" s="73">
        <v>1</v>
      </c>
      <c r="R20" s="74">
        <v>1</v>
      </c>
      <c r="S20" s="74">
        <v>0</v>
      </c>
      <c r="T20" s="73">
        <v>0</v>
      </c>
      <c r="U20" s="73">
        <v>0</v>
      </c>
      <c r="V20" s="73">
        <v>0</v>
      </c>
      <c r="W20" s="73">
        <v>0</v>
      </c>
      <c r="X20" s="73">
        <v>2</v>
      </c>
      <c r="Y20" s="73">
        <v>1</v>
      </c>
      <c r="Z20" s="73">
        <v>0</v>
      </c>
      <c r="AA20" s="73">
        <v>2</v>
      </c>
      <c r="AB20" s="73">
        <v>1</v>
      </c>
      <c r="AC20" s="73">
        <v>1</v>
      </c>
      <c r="AD20" s="73">
        <v>0</v>
      </c>
      <c r="AE20" s="73">
        <v>1</v>
      </c>
      <c r="AF20" s="73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77">
        <f>B21/(E21+F21)</f>
        <v>9.5</v>
      </c>
      <c r="D21" s="76">
        <v>11</v>
      </c>
      <c r="E21" s="36">
        <v>2</v>
      </c>
      <c r="F21" s="74">
        <v>0</v>
      </c>
      <c r="G21" s="41">
        <f>E21/(E21+F21)</f>
        <v>1</v>
      </c>
      <c r="H21" s="36">
        <v>6</v>
      </c>
      <c r="I21" s="74">
        <v>4</v>
      </c>
      <c r="J21" s="41">
        <f>H21/(H21+I21)</f>
        <v>0.6</v>
      </c>
      <c r="K21" s="36">
        <v>24</v>
      </c>
      <c r="L21" s="74">
        <v>19</v>
      </c>
      <c r="M21" s="41">
        <f>K21/(K21+L21)</f>
        <v>0.55813953488372092</v>
      </c>
      <c r="N21" s="36">
        <v>1</v>
      </c>
      <c r="O21" s="74">
        <v>0</v>
      </c>
      <c r="P21" s="74">
        <v>1</v>
      </c>
      <c r="Q21" s="74">
        <v>0</v>
      </c>
      <c r="R21" s="74">
        <v>0</v>
      </c>
      <c r="S21" s="74">
        <v>0</v>
      </c>
      <c r="T21" s="74">
        <v>0</v>
      </c>
      <c r="U21" s="74">
        <v>1</v>
      </c>
      <c r="V21" s="74">
        <v>0</v>
      </c>
      <c r="W21" s="74">
        <v>0</v>
      </c>
      <c r="X21" s="74">
        <v>0</v>
      </c>
      <c r="Y21" s="74">
        <v>1</v>
      </c>
      <c r="Z21" s="74">
        <v>0</v>
      </c>
      <c r="AA21" s="74">
        <v>0</v>
      </c>
      <c r="AB21" s="74">
        <v>0</v>
      </c>
      <c r="AC21" s="74">
        <v>0</v>
      </c>
      <c r="AD21" s="74">
        <v>0</v>
      </c>
      <c r="AE21" s="74">
        <v>0</v>
      </c>
      <c r="AF21" s="74">
        <v>0</v>
      </c>
      <c r="AG21" s="76">
        <v>2</v>
      </c>
    </row>
    <row r="22" spans="1:33" x14ac:dyDescent="0.25">
      <c r="A22" s="2" t="s">
        <v>46</v>
      </c>
      <c r="B22" s="34">
        <v>244</v>
      </c>
      <c r="C22" s="77">
        <f>B22/(E22+F22)</f>
        <v>20.333333333333332</v>
      </c>
      <c r="D22" s="35">
        <v>27</v>
      </c>
      <c r="E22" s="34">
        <v>4</v>
      </c>
      <c r="F22" s="73">
        <v>8</v>
      </c>
      <c r="G22" s="41">
        <f>E22/(E22+F22)</f>
        <v>0.33333333333333331</v>
      </c>
      <c r="H22" s="34">
        <v>24</v>
      </c>
      <c r="I22" s="73">
        <v>31</v>
      </c>
      <c r="J22" s="41">
        <f>H22/(H22+I22)</f>
        <v>0.43636363636363634</v>
      </c>
      <c r="K22" s="34">
        <v>112</v>
      </c>
      <c r="L22" s="73">
        <v>116</v>
      </c>
      <c r="M22" s="41">
        <f>K22/(K22+L22)</f>
        <v>0.49122807017543857</v>
      </c>
      <c r="N22" s="34">
        <v>2</v>
      </c>
      <c r="O22" s="73">
        <v>0</v>
      </c>
      <c r="P22" s="73">
        <v>1</v>
      </c>
      <c r="Q22" s="73">
        <v>3</v>
      </c>
      <c r="R22" s="73">
        <v>1</v>
      </c>
      <c r="S22" s="74">
        <v>0</v>
      </c>
      <c r="T22" s="73">
        <v>0</v>
      </c>
      <c r="U22" s="73">
        <v>1</v>
      </c>
      <c r="V22" s="73">
        <v>0</v>
      </c>
      <c r="W22" s="73">
        <v>1</v>
      </c>
      <c r="X22" s="73">
        <v>0</v>
      </c>
      <c r="Y22" s="73">
        <v>2</v>
      </c>
      <c r="Z22" s="73">
        <v>1</v>
      </c>
      <c r="AA22" s="73">
        <v>0</v>
      </c>
      <c r="AB22" s="73">
        <v>5</v>
      </c>
      <c r="AC22" s="73">
        <v>0</v>
      </c>
      <c r="AD22" s="73">
        <v>4</v>
      </c>
      <c r="AE22" s="73">
        <v>0</v>
      </c>
      <c r="AF22" s="73">
        <v>1</v>
      </c>
      <c r="AG22" s="47">
        <v>2</v>
      </c>
    </row>
    <row r="23" spans="1:33" x14ac:dyDescent="0.25">
      <c r="A23" s="2" t="s">
        <v>28</v>
      </c>
      <c r="B23" s="34">
        <v>141</v>
      </c>
      <c r="C23" s="77">
        <f>B23/(E23+F23)</f>
        <v>15.666666666666666</v>
      </c>
      <c r="D23" s="35">
        <v>22</v>
      </c>
      <c r="E23" s="34">
        <v>4</v>
      </c>
      <c r="F23" s="73">
        <v>5</v>
      </c>
      <c r="G23" s="41">
        <f>E23/(E23+F23)</f>
        <v>0.44444444444444442</v>
      </c>
      <c r="H23" s="34">
        <v>17</v>
      </c>
      <c r="I23" s="73">
        <v>19</v>
      </c>
      <c r="J23" s="41">
        <f>H23/(H23+I23)</f>
        <v>0.47222222222222221</v>
      </c>
      <c r="K23" s="34">
        <v>76</v>
      </c>
      <c r="L23" s="73">
        <v>78</v>
      </c>
      <c r="M23" s="41">
        <f>K23/(K23+L23)</f>
        <v>0.4935064935064935</v>
      </c>
      <c r="N23" s="34">
        <v>0</v>
      </c>
      <c r="O23" s="73">
        <v>0</v>
      </c>
      <c r="P23" s="73">
        <v>1</v>
      </c>
      <c r="Q23" s="73">
        <v>0</v>
      </c>
      <c r="R23" s="74">
        <v>1</v>
      </c>
      <c r="S23" s="74">
        <v>0</v>
      </c>
      <c r="T23" s="73">
        <v>1</v>
      </c>
      <c r="U23" s="73">
        <v>1</v>
      </c>
      <c r="V23" s="73">
        <v>1</v>
      </c>
      <c r="W23" s="73">
        <v>1</v>
      </c>
      <c r="X23" s="73">
        <v>1</v>
      </c>
      <c r="Y23" s="73">
        <v>0</v>
      </c>
      <c r="Z23" s="73">
        <v>1</v>
      </c>
      <c r="AA23" s="73">
        <v>1</v>
      </c>
      <c r="AB23" s="73">
        <v>3</v>
      </c>
      <c r="AC23" s="73">
        <v>0</v>
      </c>
      <c r="AD23" s="73">
        <v>3</v>
      </c>
      <c r="AE23" s="73">
        <v>1</v>
      </c>
      <c r="AF23" s="73">
        <v>1</v>
      </c>
      <c r="AG23" s="47">
        <v>0</v>
      </c>
    </row>
    <row r="24" spans="1:33" x14ac:dyDescent="0.25">
      <c r="A24" s="2" t="s">
        <v>53</v>
      </c>
      <c r="B24" s="34">
        <v>143</v>
      </c>
      <c r="C24" s="77">
        <f>B24/(E24+F24)</f>
        <v>17.875</v>
      </c>
      <c r="D24" s="35">
        <v>36</v>
      </c>
      <c r="E24" s="34">
        <v>3</v>
      </c>
      <c r="F24" s="73">
        <v>5</v>
      </c>
      <c r="G24" s="41">
        <f>E24/(E24+F24)</f>
        <v>0.375</v>
      </c>
      <c r="H24" s="34">
        <v>15</v>
      </c>
      <c r="I24" s="73">
        <v>17</v>
      </c>
      <c r="J24" s="41">
        <f>H24/(H24+I24)</f>
        <v>0.46875</v>
      </c>
      <c r="K24" s="34">
        <v>68</v>
      </c>
      <c r="L24" s="73">
        <v>68</v>
      </c>
      <c r="M24" s="41">
        <f>K24/(K24+L24)</f>
        <v>0.5</v>
      </c>
      <c r="N24" s="34">
        <v>0</v>
      </c>
      <c r="O24" s="73">
        <v>1</v>
      </c>
      <c r="P24" s="73">
        <v>0</v>
      </c>
      <c r="Q24" s="73">
        <v>2</v>
      </c>
      <c r="R24" s="73">
        <v>0</v>
      </c>
      <c r="S24" s="73">
        <v>0</v>
      </c>
      <c r="T24" s="73">
        <v>0</v>
      </c>
      <c r="U24" s="73">
        <v>0</v>
      </c>
      <c r="V24" s="73">
        <v>0</v>
      </c>
      <c r="W24" s="73">
        <v>0</v>
      </c>
      <c r="X24" s="73">
        <v>1</v>
      </c>
      <c r="Y24" s="73">
        <v>1</v>
      </c>
      <c r="Z24" s="73">
        <v>1</v>
      </c>
      <c r="AA24" s="73">
        <v>0</v>
      </c>
      <c r="AB24" s="73">
        <v>4</v>
      </c>
      <c r="AC24" s="73">
        <v>0</v>
      </c>
      <c r="AD24" s="73">
        <v>3</v>
      </c>
      <c r="AE24" s="73">
        <v>1</v>
      </c>
      <c r="AF24" s="73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77">
        <f>B25/(E25+F25)</f>
        <v>5</v>
      </c>
      <c r="D25" s="35">
        <v>5</v>
      </c>
      <c r="E25" s="34">
        <v>0</v>
      </c>
      <c r="F25" s="73">
        <v>1</v>
      </c>
      <c r="G25" s="41">
        <f>E25/(E25+F25)</f>
        <v>0</v>
      </c>
      <c r="H25" s="34">
        <v>0</v>
      </c>
      <c r="I25" s="73">
        <v>3</v>
      </c>
      <c r="J25" s="41">
        <f>H25/(H25+I25)</f>
        <v>0</v>
      </c>
      <c r="K25" s="34">
        <v>2</v>
      </c>
      <c r="L25" s="73">
        <v>9</v>
      </c>
      <c r="M25" s="41">
        <f>K25/(K25+L25)</f>
        <v>0.18181818181818182</v>
      </c>
      <c r="N25" s="34">
        <v>0</v>
      </c>
      <c r="O25" s="73">
        <v>0</v>
      </c>
      <c r="P25" s="73">
        <v>0</v>
      </c>
      <c r="Q25" s="73">
        <v>0</v>
      </c>
      <c r="R25" s="73">
        <v>0</v>
      </c>
      <c r="S25" s="73">
        <v>0</v>
      </c>
      <c r="T25" s="73">
        <v>0</v>
      </c>
      <c r="U25" s="73">
        <v>0</v>
      </c>
      <c r="V25" s="73">
        <v>0</v>
      </c>
      <c r="W25" s="73">
        <v>0</v>
      </c>
      <c r="X25" s="73">
        <v>0</v>
      </c>
      <c r="Y25" s="73">
        <v>0</v>
      </c>
      <c r="Z25" s="73">
        <v>0</v>
      </c>
      <c r="AA25" s="73">
        <v>0</v>
      </c>
      <c r="AB25" s="73">
        <v>0</v>
      </c>
      <c r="AC25" s="73">
        <v>0</v>
      </c>
      <c r="AD25" s="73">
        <v>0</v>
      </c>
      <c r="AE25" s="73">
        <v>0</v>
      </c>
      <c r="AF25" s="73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77">
        <f>B26/(E26+F26)</f>
        <v>5.25</v>
      </c>
      <c r="D26" s="35">
        <v>8</v>
      </c>
      <c r="E26" s="34">
        <v>1</v>
      </c>
      <c r="F26" s="73">
        <v>3</v>
      </c>
      <c r="G26" s="41">
        <f>E26/(E26+F26)</f>
        <v>0.25</v>
      </c>
      <c r="H26" s="34">
        <v>8</v>
      </c>
      <c r="I26" s="73">
        <v>11</v>
      </c>
      <c r="J26" s="41">
        <f>H26/(H26+I26)</f>
        <v>0.42105263157894735</v>
      </c>
      <c r="K26" s="34">
        <v>32</v>
      </c>
      <c r="L26" s="73">
        <v>40</v>
      </c>
      <c r="M26" s="41">
        <f>K26/(K26+L26)</f>
        <v>0.44444444444444442</v>
      </c>
      <c r="N26" s="34">
        <v>1</v>
      </c>
      <c r="O26" s="73">
        <v>1</v>
      </c>
      <c r="P26" s="73">
        <v>0</v>
      </c>
      <c r="Q26" s="73">
        <v>1</v>
      </c>
      <c r="R26" s="73">
        <v>0</v>
      </c>
      <c r="S26" s="73">
        <v>0</v>
      </c>
      <c r="T26" s="73">
        <v>0</v>
      </c>
      <c r="U26" s="73">
        <v>0</v>
      </c>
      <c r="V26" s="73">
        <v>0</v>
      </c>
      <c r="W26" s="73">
        <v>0</v>
      </c>
      <c r="X26" s="73">
        <v>0</v>
      </c>
      <c r="Y26" s="73">
        <v>1</v>
      </c>
      <c r="Z26" s="73">
        <v>0</v>
      </c>
      <c r="AA26" s="73">
        <v>1</v>
      </c>
      <c r="AB26" s="73">
        <v>1</v>
      </c>
      <c r="AC26" s="73">
        <v>0</v>
      </c>
      <c r="AD26" s="73">
        <v>0</v>
      </c>
      <c r="AE26" s="73">
        <v>0</v>
      </c>
      <c r="AF26" s="73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77">
        <f>B27/(E27+F27)</f>
        <v>23.714285714285715</v>
      </c>
      <c r="D27" s="35">
        <v>27</v>
      </c>
      <c r="E27" s="34">
        <v>2</v>
      </c>
      <c r="F27" s="73">
        <v>5</v>
      </c>
      <c r="G27" s="41">
        <f>E27/(E27+F27)</f>
        <v>0.2857142857142857</v>
      </c>
      <c r="H27" s="34">
        <v>16</v>
      </c>
      <c r="I27" s="73">
        <v>20</v>
      </c>
      <c r="J27" s="41">
        <f>H27/(H27+I27)</f>
        <v>0.44444444444444442</v>
      </c>
      <c r="K27" s="34">
        <v>74</v>
      </c>
      <c r="L27" s="73">
        <v>83</v>
      </c>
      <c r="M27" s="41">
        <f>K27/(K27+L27)</f>
        <v>0.4713375796178344</v>
      </c>
      <c r="N27" s="34">
        <v>0</v>
      </c>
      <c r="O27" s="73">
        <v>2</v>
      </c>
      <c r="P27" s="73">
        <v>2</v>
      </c>
      <c r="Q27" s="73">
        <v>1</v>
      </c>
      <c r="R27" s="73">
        <v>0</v>
      </c>
      <c r="S27" s="74">
        <v>1</v>
      </c>
      <c r="T27" s="73">
        <v>0</v>
      </c>
      <c r="U27" s="73">
        <v>0</v>
      </c>
      <c r="V27" s="73">
        <v>0</v>
      </c>
      <c r="W27" s="73">
        <v>1</v>
      </c>
      <c r="X27" s="73">
        <v>0</v>
      </c>
      <c r="Y27" s="73">
        <v>0</v>
      </c>
      <c r="Z27" s="73">
        <v>0</v>
      </c>
      <c r="AA27" s="73">
        <v>2</v>
      </c>
      <c r="AB27" s="73">
        <v>1</v>
      </c>
      <c r="AC27" s="73">
        <v>0</v>
      </c>
      <c r="AD27" s="73">
        <v>1</v>
      </c>
      <c r="AE27" s="73">
        <v>3</v>
      </c>
      <c r="AF27" s="73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77">
        <f>B28/(E28+F28)</f>
        <v>3</v>
      </c>
      <c r="D28" s="47">
        <v>3</v>
      </c>
      <c r="E28" s="34">
        <v>1</v>
      </c>
      <c r="F28" s="73">
        <v>0</v>
      </c>
      <c r="G28" s="41">
        <f>E28/(E28+F28)</f>
        <v>1</v>
      </c>
      <c r="H28" s="34">
        <v>3</v>
      </c>
      <c r="I28" s="73">
        <v>0</v>
      </c>
      <c r="J28" s="41">
        <f>H28/(H28+I28)</f>
        <v>1</v>
      </c>
      <c r="K28" s="34">
        <v>9</v>
      </c>
      <c r="L28" s="73">
        <v>5</v>
      </c>
      <c r="M28" s="41">
        <f>K28/(K28+L28)</f>
        <v>0.6428571428571429</v>
      </c>
      <c r="N28" s="34">
        <v>0</v>
      </c>
      <c r="O28" s="73">
        <v>1</v>
      </c>
      <c r="P28" s="73">
        <v>0</v>
      </c>
      <c r="Q28" s="73">
        <v>0</v>
      </c>
      <c r="R28" s="73">
        <v>0</v>
      </c>
      <c r="S28" s="73">
        <v>0</v>
      </c>
      <c r="T28" s="73">
        <v>0</v>
      </c>
      <c r="U28" s="73">
        <v>0</v>
      </c>
      <c r="V28" s="73">
        <v>0</v>
      </c>
      <c r="W28" s="73">
        <v>0</v>
      </c>
      <c r="X28" s="73">
        <v>1</v>
      </c>
      <c r="Y28" s="73">
        <v>0</v>
      </c>
      <c r="Z28" s="73">
        <v>0</v>
      </c>
      <c r="AA28" s="73">
        <v>0</v>
      </c>
      <c r="AB28" s="73">
        <v>0</v>
      </c>
      <c r="AC28" s="73">
        <v>0</v>
      </c>
      <c r="AD28" s="73">
        <v>1</v>
      </c>
      <c r="AE28" s="73">
        <v>1</v>
      </c>
      <c r="AF28" s="73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77">
        <f>B29/(E29+F29)</f>
        <v>9.3333333333333339</v>
      </c>
      <c r="D29" s="35">
        <v>12</v>
      </c>
      <c r="E29" s="34">
        <v>1</v>
      </c>
      <c r="F29" s="73">
        <v>2</v>
      </c>
      <c r="G29" s="41">
        <f>E29/(E29+F29)</f>
        <v>0.33333333333333331</v>
      </c>
      <c r="H29" s="34">
        <v>7</v>
      </c>
      <c r="I29" s="73">
        <v>8</v>
      </c>
      <c r="J29" s="41">
        <f>H29/(H29+I29)</f>
        <v>0.46666666666666667</v>
      </c>
      <c r="K29" s="34">
        <v>28</v>
      </c>
      <c r="L29" s="73">
        <v>35</v>
      </c>
      <c r="M29" s="41">
        <f>K29/(K29+L29)</f>
        <v>0.44444444444444442</v>
      </c>
      <c r="N29" s="34">
        <v>0</v>
      </c>
      <c r="O29" s="73">
        <v>0</v>
      </c>
      <c r="P29" s="73">
        <v>1</v>
      </c>
      <c r="Q29" s="73">
        <v>1</v>
      </c>
      <c r="R29" s="73">
        <v>0</v>
      </c>
      <c r="S29" s="73">
        <v>0</v>
      </c>
      <c r="T29" s="73">
        <v>0</v>
      </c>
      <c r="U29" s="73">
        <v>0</v>
      </c>
      <c r="V29" s="73">
        <v>0</v>
      </c>
      <c r="W29" s="73">
        <v>0</v>
      </c>
      <c r="X29" s="73">
        <v>0</v>
      </c>
      <c r="Y29" s="73">
        <v>0</v>
      </c>
      <c r="Z29" s="73">
        <v>0</v>
      </c>
      <c r="AA29" s="73">
        <v>2</v>
      </c>
      <c r="AB29" s="73">
        <v>1</v>
      </c>
      <c r="AC29" s="73">
        <v>0</v>
      </c>
      <c r="AD29" s="73">
        <v>0</v>
      </c>
      <c r="AE29" s="73">
        <v>1</v>
      </c>
      <c r="AF29" s="73">
        <v>1</v>
      </c>
      <c r="AG29" s="47">
        <v>0</v>
      </c>
    </row>
    <row r="30" spans="1:33" x14ac:dyDescent="0.25">
      <c r="A30" s="2" t="s">
        <v>2</v>
      </c>
      <c r="B30" s="34">
        <v>354</v>
      </c>
      <c r="C30" s="77">
        <f>B30/(E30+F30)</f>
        <v>23.6</v>
      </c>
      <c r="D30" s="35">
        <v>35</v>
      </c>
      <c r="E30" s="34">
        <v>9</v>
      </c>
      <c r="F30" s="73">
        <v>6</v>
      </c>
      <c r="G30" s="41">
        <f>E30/(E30+F30)</f>
        <v>0.6</v>
      </c>
      <c r="H30" s="34">
        <v>35</v>
      </c>
      <c r="I30" s="73">
        <v>28</v>
      </c>
      <c r="J30" s="41">
        <f>H30/(H30+I30)</f>
        <v>0.55555555555555558</v>
      </c>
      <c r="K30" s="34">
        <v>135</v>
      </c>
      <c r="L30" s="73">
        <v>123</v>
      </c>
      <c r="M30" s="41">
        <f>K30/(K30+L30)</f>
        <v>0.52325581395348841</v>
      </c>
      <c r="N30" s="34">
        <v>2</v>
      </c>
      <c r="O30" s="73">
        <v>1</v>
      </c>
      <c r="P30" s="73">
        <v>3</v>
      </c>
      <c r="Q30" s="73">
        <v>3</v>
      </c>
      <c r="R30" s="73">
        <v>0</v>
      </c>
      <c r="S30" s="74">
        <v>1</v>
      </c>
      <c r="T30" s="73">
        <v>0</v>
      </c>
      <c r="U30" s="73">
        <v>0</v>
      </c>
      <c r="V30" s="73">
        <v>0</v>
      </c>
      <c r="W30" s="73">
        <v>1</v>
      </c>
      <c r="X30" s="73">
        <v>2</v>
      </c>
      <c r="Y30" s="73">
        <v>1</v>
      </c>
      <c r="Z30" s="73">
        <v>1</v>
      </c>
      <c r="AA30" s="73">
        <v>4</v>
      </c>
      <c r="AB30" s="73">
        <v>4</v>
      </c>
      <c r="AC30" s="73">
        <v>0</v>
      </c>
      <c r="AD30" s="73">
        <v>5</v>
      </c>
      <c r="AE30" s="73">
        <v>3</v>
      </c>
      <c r="AF30" s="73">
        <v>3</v>
      </c>
      <c r="AG30" s="47">
        <v>1</v>
      </c>
    </row>
    <row r="31" spans="1:33" x14ac:dyDescent="0.25">
      <c r="A31" s="2" t="s">
        <v>54</v>
      </c>
      <c r="B31" s="34">
        <v>487</v>
      </c>
      <c r="C31" s="77">
        <f>B31/(E31+F31)</f>
        <v>27.055555555555557</v>
      </c>
      <c r="D31" s="35">
        <v>37</v>
      </c>
      <c r="E31" s="34">
        <v>7</v>
      </c>
      <c r="F31" s="73">
        <v>11</v>
      </c>
      <c r="G31" s="41">
        <f>E31/(E31+F31)</f>
        <v>0.3888888888888889</v>
      </c>
      <c r="H31" s="34">
        <v>38</v>
      </c>
      <c r="I31" s="73">
        <v>44</v>
      </c>
      <c r="J31" s="41">
        <f>H31/(H31+I31)</f>
        <v>0.46341463414634149</v>
      </c>
      <c r="K31" s="34">
        <v>163</v>
      </c>
      <c r="L31" s="73">
        <v>177</v>
      </c>
      <c r="M31" s="41">
        <f>K31/(K31+L31)</f>
        <v>0.47941176470588237</v>
      </c>
      <c r="N31" s="34">
        <v>1</v>
      </c>
      <c r="O31" s="73">
        <v>4</v>
      </c>
      <c r="P31" s="73">
        <v>3</v>
      </c>
      <c r="Q31" s="73">
        <v>1</v>
      </c>
      <c r="R31" s="74">
        <v>1</v>
      </c>
      <c r="S31" s="74">
        <v>0</v>
      </c>
      <c r="T31" s="73">
        <v>2</v>
      </c>
      <c r="U31" s="73">
        <v>2</v>
      </c>
      <c r="V31" s="73">
        <v>1</v>
      </c>
      <c r="W31" s="73">
        <v>3</v>
      </c>
      <c r="X31" s="73">
        <v>3</v>
      </c>
      <c r="Y31" s="73">
        <v>0</v>
      </c>
      <c r="Z31" s="73">
        <v>0</v>
      </c>
      <c r="AA31" s="73">
        <v>2</v>
      </c>
      <c r="AB31" s="73">
        <v>3</v>
      </c>
      <c r="AC31" s="73">
        <v>0</v>
      </c>
      <c r="AD31" s="73">
        <v>4</v>
      </c>
      <c r="AE31" s="73">
        <v>4</v>
      </c>
      <c r="AF31" s="73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77">
        <f>B32/(E32+F32)</f>
        <v>27.75</v>
      </c>
      <c r="D32" s="35">
        <v>36</v>
      </c>
      <c r="E32" s="34">
        <v>3</v>
      </c>
      <c r="F32" s="73">
        <v>1</v>
      </c>
      <c r="G32" s="41">
        <f>E32/(E32+F32)</f>
        <v>0.75</v>
      </c>
      <c r="H32" s="34">
        <v>12</v>
      </c>
      <c r="I32" s="73">
        <v>6</v>
      </c>
      <c r="J32" s="41">
        <f>H32/(H32+I32)</f>
        <v>0.66666666666666663</v>
      </c>
      <c r="K32" s="34">
        <v>42</v>
      </c>
      <c r="L32" s="73">
        <v>35</v>
      </c>
      <c r="M32" s="41">
        <f>K32/(K32+L32)</f>
        <v>0.54545454545454541</v>
      </c>
      <c r="N32" s="34">
        <v>0</v>
      </c>
      <c r="O32" s="73">
        <v>2</v>
      </c>
      <c r="P32" s="73">
        <v>1</v>
      </c>
      <c r="Q32" s="73">
        <v>1</v>
      </c>
      <c r="R32" s="74">
        <v>0</v>
      </c>
      <c r="S32" s="73">
        <v>0</v>
      </c>
      <c r="T32" s="73">
        <v>0</v>
      </c>
      <c r="U32" s="73">
        <v>0</v>
      </c>
      <c r="V32" s="73">
        <v>0</v>
      </c>
      <c r="W32" s="73">
        <v>1</v>
      </c>
      <c r="X32" s="73">
        <v>1</v>
      </c>
      <c r="Y32" s="73">
        <v>0</v>
      </c>
      <c r="Z32" s="73">
        <v>0</v>
      </c>
      <c r="AA32" s="73">
        <v>0</v>
      </c>
      <c r="AB32" s="73">
        <v>0</v>
      </c>
      <c r="AC32" s="73">
        <v>0</v>
      </c>
      <c r="AD32" s="73">
        <v>2</v>
      </c>
      <c r="AE32" s="73">
        <v>3</v>
      </c>
      <c r="AF32" s="73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77">
        <f>B33/(E33+F33)</f>
        <v>3</v>
      </c>
      <c r="D33" s="35">
        <v>4</v>
      </c>
      <c r="E33" s="34">
        <v>2</v>
      </c>
      <c r="F33" s="73">
        <v>1</v>
      </c>
      <c r="G33" s="41">
        <f>E33/(E33+F33)</f>
        <v>0.66666666666666663</v>
      </c>
      <c r="H33" s="34">
        <v>6</v>
      </c>
      <c r="I33" s="73">
        <v>6</v>
      </c>
      <c r="J33" s="41">
        <f>H33/(H33+I33)</f>
        <v>0.5</v>
      </c>
      <c r="K33" s="34">
        <v>22</v>
      </c>
      <c r="L33" s="73">
        <v>25</v>
      </c>
      <c r="M33" s="41">
        <f>K33/(K33+L33)</f>
        <v>0.46808510638297873</v>
      </c>
      <c r="N33" s="34">
        <v>1</v>
      </c>
      <c r="O33" s="73">
        <v>1</v>
      </c>
      <c r="P33" s="73">
        <v>0</v>
      </c>
      <c r="Q33" s="73">
        <v>0</v>
      </c>
      <c r="R33" s="73">
        <v>0</v>
      </c>
      <c r="S33" s="73">
        <v>0</v>
      </c>
      <c r="T33" s="73">
        <v>0</v>
      </c>
      <c r="U33" s="73">
        <v>0</v>
      </c>
      <c r="V33" s="73">
        <v>0</v>
      </c>
      <c r="W33" s="73">
        <v>0</v>
      </c>
      <c r="X33" s="73">
        <v>2</v>
      </c>
      <c r="Y33" s="73">
        <v>0</v>
      </c>
      <c r="Z33" s="73">
        <v>0</v>
      </c>
      <c r="AA33" s="73">
        <v>0</v>
      </c>
      <c r="AB33" s="73">
        <v>0</v>
      </c>
      <c r="AC33" s="73">
        <v>0</v>
      </c>
      <c r="AD33" s="73">
        <v>1</v>
      </c>
      <c r="AE33" s="73">
        <v>0</v>
      </c>
      <c r="AF33" s="73">
        <v>1</v>
      </c>
      <c r="AG33" s="47">
        <v>0</v>
      </c>
    </row>
    <row r="34" spans="1:33" x14ac:dyDescent="0.25">
      <c r="A34" s="2" t="s">
        <v>40</v>
      </c>
      <c r="B34" s="34">
        <v>259</v>
      </c>
      <c r="C34" s="77">
        <f>B34/(E34+F34)</f>
        <v>18.5</v>
      </c>
      <c r="D34" s="35">
        <v>29</v>
      </c>
      <c r="E34" s="34">
        <v>6</v>
      </c>
      <c r="F34" s="73">
        <v>8</v>
      </c>
      <c r="G34" s="41">
        <f>E34/(E34+F34)</f>
        <v>0.42857142857142855</v>
      </c>
      <c r="H34" s="34">
        <v>39</v>
      </c>
      <c r="I34" s="73">
        <v>34</v>
      </c>
      <c r="J34" s="41">
        <f>H34/(H34+I34)</f>
        <v>0.53424657534246578</v>
      </c>
      <c r="K34" s="34">
        <v>129</v>
      </c>
      <c r="L34" s="73">
        <v>139</v>
      </c>
      <c r="M34" s="41">
        <f>K34/(K34+L34)</f>
        <v>0.48134328358208955</v>
      </c>
      <c r="N34" s="34">
        <v>0</v>
      </c>
      <c r="O34" s="73">
        <v>4</v>
      </c>
      <c r="P34" s="73">
        <v>4</v>
      </c>
      <c r="Q34" s="73">
        <v>3</v>
      </c>
      <c r="R34" s="73">
        <v>0</v>
      </c>
      <c r="S34" s="74">
        <v>1</v>
      </c>
      <c r="T34" s="73">
        <v>1</v>
      </c>
      <c r="U34" s="73">
        <v>2</v>
      </c>
      <c r="V34" s="73">
        <v>0</v>
      </c>
      <c r="W34" s="73">
        <v>1</v>
      </c>
      <c r="X34" s="73">
        <v>3</v>
      </c>
      <c r="Y34" s="73">
        <v>0</v>
      </c>
      <c r="Z34" s="73">
        <v>0</v>
      </c>
      <c r="AA34" s="73">
        <v>1</v>
      </c>
      <c r="AB34" s="73">
        <v>1</v>
      </c>
      <c r="AC34" s="73">
        <v>0</v>
      </c>
      <c r="AD34" s="73">
        <v>1</v>
      </c>
      <c r="AE34" s="73">
        <v>2</v>
      </c>
      <c r="AF34" s="73">
        <v>4</v>
      </c>
      <c r="AG34" s="47">
        <v>1</v>
      </c>
    </row>
    <row r="35" spans="1:33" x14ac:dyDescent="0.25">
      <c r="A35" s="2" t="s">
        <v>17</v>
      </c>
      <c r="B35" s="34">
        <v>302</v>
      </c>
      <c r="C35" s="77">
        <f>B35/(E35+F35)</f>
        <v>21.571428571428573</v>
      </c>
      <c r="D35" s="35">
        <v>32</v>
      </c>
      <c r="E35" s="34">
        <v>5</v>
      </c>
      <c r="F35" s="73">
        <v>9</v>
      </c>
      <c r="G35" s="41">
        <f>E35/(E35+F35)</f>
        <v>0.35714285714285715</v>
      </c>
      <c r="H35" s="34">
        <v>27</v>
      </c>
      <c r="I35" s="73">
        <v>33</v>
      </c>
      <c r="J35" s="41">
        <f>H35/(H35+I35)</f>
        <v>0.45</v>
      </c>
      <c r="K35" s="34">
        <v>118</v>
      </c>
      <c r="L35" s="73">
        <v>124</v>
      </c>
      <c r="M35" s="41">
        <f>K35/(K35+L35)</f>
        <v>0.48760330578512395</v>
      </c>
      <c r="N35" s="34">
        <v>2</v>
      </c>
      <c r="O35" s="73">
        <v>1</v>
      </c>
      <c r="P35" s="73">
        <v>2</v>
      </c>
      <c r="Q35" s="73">
        <v>3</v>
      </c>
      <c r="R35" s="74">
        <v>0</v>
      </c>
      <c r="S35" s="74">
        <v>0</v>
      </c>
      <c r="T35" s="73">
        <v>0</v>
      </c>
      <c r="U35" s="73">
        <v>1</v>
      </c>
      <c r="V35" s="73">
        <v>0</v>
      </c>
      <c r="W35" s="73">
        <v>2</v>
      </c>
      <c r="X35" s="73">
        <v>2</v>
      </c>
      <c r="Y35" s="73">
        <v>0</v>
      </c>
      <c r="Z35" s="73">
        <v>0</v>
      </c>
      <c r="AA35" s="73">
        <v>0</v>
      </c>
      <c r="AB35" s="73">
        <v>4</v>
      </c>
      <c r="AC35" s="73">
        <v>0</v>
      </c>
      <c r="AD35" s="73">
        <v>4</v>
      </c>
      <c r="AE35" s="73">
        <v>2</v>
      </c>
      <c r="AF35" s="73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77">
        <f>B36/(E36+F36)</f>
        <v>12</v>
      </c>
      <c r="D36" s="76">
        <v>12</v>
      </c>
      <c r="E36" s="36">
        <v>1</v>
      </c>
      <c r="F36" s="74">
        <v>0</v>
      </c>
      <c r="G36" s="41">
        <f>E36/(E36+F36)</f>
        <v>1</v>
      </c>
      <c r="H36" s="36">
        <v>3</v>
      </c>
      <c r="I36" s="74">
        <v>2</v>
      </c>
      <c r="J36" s="41">
        <f>H36/(H36+I36)</f>
        <v>0.6</v>
      </c>
      <c r="K36" s="36">
        <v>9</v>
      </c>
      <c r="L36" s="74">
        <v>10</v>
      </c>
      <c r="M36" s="41">
        <f>K36/(K36+L36)</f>
        <v>0.47368421052631576</v>
      </c>
      <c r="N36" s="34">
        <v>0</v>
      </c>
      <c r="O36" s="74">
        <v>0</v>
      </c>
      <c r="P36" s="74">
        <v>0</v>
      </c>
      <c r="Q36" s="74">
        <v>0</v>
      </c>
      <c r="R36" s="73">
        <v>0</v>
      </c>
      <c r="S36" s="73">
        <v>0</v>
      </c>
      <c r="T36" s="74">
        <v>0</v>
      </c>
      <c r="U36" s="74">
        <v>0</v>
      </c>
      <c r="V36" s="74">
        <v>0</v>
      </c>
      <c r="W36" s="74">
        <v>1</v>
      </c>
      <c r="X36" s="74">
        <v>0</v>
      </c>
      <c r="Y36" s="74">
        <v>0</v>
      </c>
      <c r="Z36" s="74">
        <v>0</v>
      </c>
      <c r="AA36" s="74">
        <v>0</v>
      </c>
      <c r="AB36" s="74">
        <v>0</v>
      </c>
      <c r="AC36" s="73">
        <v>0</v>
      </c>
      <c r="AD36" s="74">
        <v>1</v>
      </c>
      <c r="AE36" s="74">
        <v>1</v>
      </c>
      <c r="AF36" s="74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74">
        <f>B37/(E37+F37)</f>
        <v>10</v>
      </c>
      <c r="D37" s="76">
        <v>10</v>
      </c>
      <c r="E37" s="36">
        <v>1</v>
      </c>
      <c r="F37" s="74">
        <v>0</v>
      </c>
      <c r="G37" s="41">
        <f>E37/(E37+F37)</f>
        <v>1</v>
      </c>
      <c r="H37" s="36">
        <v>3</v>
      </c>
      <c r="I37" s="74">
        <v>1</v>
      </c>
      <c r="J37" s="41">
        <f>H37/(H37+I37)</f>
        <v>0.75</v>
      </c>
      <c r="K37" s="36">
        <v>9</v>
      </c>
      <c r="L37" s="74">
        <v>5</v>
      </c>
      <c r="M37" s="41">
        <f>K37/(K37+L37)</f>
        <v>0.6428571428571429</v>
      </c>
      <c r="N37" s="36">
        <v>0</v>
      </c>
      <c r="O37" s="74">
        <v>0</v>
      </c>
      <c r="P37" s="74">
        <v>0</v>
      </c>
      <c r="Q37" s="74">
        <v>0</v>
      </c>
      <c r="R37" s="74">
        <v>0</v>
      </c>
      <c r="S37" s="74">
        <v>0</v>
      </c>
      <c r="T37" s="74">
        <v>0</v>
      </c>
      <c r="U37" s="74">
        <v>0</v>
      </c>
      <c r="V37" s="74">
        <v>0</v>
      </c>
      <c r="W37" s="74">
        <v>0</v>
      </c>
      <c r="X37" s="74">
        <v>1</v>
      </c>
      <c r="Y37" s="74">
        <v>0</v>
      </c>
      <c r="Z37" s="74">
        <v>0</v>
      </c>
      <c r="AA37" s="74">
        <v>0</v>
      </c>
      <c r="AB37" s="74">
        <v>1</v>
      </c>
      <c r="AC37" s="74">
        <v>0</v>
      </c>
      <c r="AD37" s="74">
        <v>0</v>
      </c>
      <c r="AE37" s="74">
        <v>1</v>
      </c>
      <c r="AF37" s="74">
        <v>0</v>
      </c>
      <c r="AG37" s="76">
        <v>0</v>
      </c>
    </row>
    <row r="38" spans="1:33" x14ac:dyDescent="0.25">
      <c r="A38" s="2" t="s">
        <v>6</v>
      </c>
      <c r="B38" s="34">
        <v>424</v>
      </c>
      <c r="C38" s="77">
        <f>B38/(E38+F38)</f>
        <v>23.555555555555557</v>
      </c>
      <c r="D38" s="35">
        <v>37</v>
      </c>
      <c r="E38" s="34">
        <v>14</v>
      </c>
      <c r="F38" s="73">
        <v>4</v>
      </c>
      <c r="G38" s="41">
        <f>E38/(E38+F38)</f>
        <v>0.77777777777777779</v>
      </c>
      <c r="H38" s="34">
        <v>48</v>
      </c>
      <c r="I38" s="73">
        <v>29</v>
      </c>
      <c r="J38" s="41">
        <f>H38/(H38+I38)</f>
        <v>0.62337662337662336</v>
      </c>
      <c r="K38" s="34">
        <v>178</v>
      </c>
      <c r="L38" s="73">
        <v>145</v>
      </c>
      <c r="M38" s="41">
        <f>K38/(K38+L38)</f>
        <v>0.55108359133126938</v>
      </c>
      <c r="N38" s="34">
        <v>2</v>
      </c>
      <c r="O38" s="73">
        <v>1</v>
      </c>
      <c r="P38" s="73">
        <v>3</v>
      </c>
      <c r="Q38" s="73">
        <v>2</v>
      </c>
      <c r="R38" s="73">
        <v>0</v>
      </c>
      <c r="S38" s="74">
        <v>0</v>
      </c>
      <c r="T38" s="73">
        <v>0</v>
      </c>
      <c r="U38" s="73">
        <v>3</v>
      </c>
      <c r="V38" s="73">
        <v>0</v>
      </c>
      <c r="W38" s="73">
        <v>1</v>
      </c>
      <c r="X38" s="73">
        <v>5</v>
      </c>
      <c r="Y38" s="73">
        <v>2</v>
      </c>
      <c r="Z38" s="73">
        <v>1</v>
      </c>
      <c r="AA38" s="73">
        <v>2</v>
      </c>
      <c r="AB38" s="73">
        <v>7</v>
      </c>
      <c r="AC38" s="73">
        <v>1</v>
      </c>
      <c r="AD38" s="73">
        <v>7</v>
      </c>
      <c r="AE38" s="73">
        <v>4</v>
      </c>
      <c r="AF38" s="73">
        <v>4</v>
      </c>
      <c r="AG38" s="47">
        <v>3</v>
      </c>
    </row>
    <row r="39" spans="1:33" x14ac:dyDescent="0.25">
      <c r="A39" s="2" t="s">
        <v>18</v>
      </c>
      <c r="B39" s="34">
        <v>38</v>
      </c>
      <c r="C39" s="77">
        <f>B39/(E39+F39)</f>
        <v>19</v>
      </c>
      <c r="D39" s="35">
        <v>24</v>
      </c>
      <c r="E39" s="34">
        <v>2</v>
      </c>
      <c r="F39" s="73">
        <v>0</v>
      </c>
      <c r="G39" s="41">
        <f>E39/(E39+F39)</f>
        <v>1</v>
      </c>
      <c r="H39" s="34">
        <v>6</v>
      </c>
      <c r="I39" s="73">
        <v>2</v>
      </c>
      <c r="J39" s="41">
        <f>H39/(H39+I39)</f>
        <v>0.75</v>
      </c>
      <c r="K39" s="34">
        <v>20</v>
      </c>
      <c r="L39" s="73">
        <v>14</v>
      </c>
      <c r="M39" s="41">
        <f>K39/(K39+L39)</f>
        <v>0.58823529411764708</v>
      </c>
      <c r="N39" s="34">
        <v>0</v>
      </c>
      <c r="O39" s="73">
        <v>1</v>
      </c>
      <c r="P39" s="73">
        <v>0</v>
      </c>
      <c r="Q39" s="73">
        <v>1</v>
      </c>
      <c r="R39" s="73">
        <v>0</v>
      </c>
      <c r="S39" s="73">
        <v>0</v>
      </c>
      <c r="T39" s="73">
        <v>0</v>
      </c>
      <c r="U39" s="73">
        <v>0</v>
      </c>
      <c r="V39" s="73">
        <v>0</v>
      </c>
      <c r="W39" s="73">
        <v>0</v>
      </c>
      <c r="X39" s="73">
        <v>0</v>
      </c>
      <c r="Y39" s="73">
        <v>1</v>
      </c>
      <c r="Z39" s="73">
        <v>1</v>
      </c>
      <c r="AA39" s="73">
        <v>0</v>
      </c>
      <c r="AB39" s="73">
        <v>1</v>
      </c>
      <c r="AC39" s="73">
        <v>0</v>
      </c>
      <c r="AD39" s="73">
        <v>0</v>
      </c>
      <c r="AE39" s="73">
        <v>0</v>
      </c>
      <c r="AF39" s="73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77">
        <f>B40/(E40+F40)</f>
        <v>20.5</v>
      </c>
      <c r="D40" s="76">
        <v>28</v>
      </c>
      <c r="E40" s="36">
        <v>2</v>
      </c>
      <c r="F40" s="74">
        <v>2</v>
      </c>
      <c r="G40" s="41">
        <f>E40/(E40+F40)</f>
        <v>0.5</v>
      </c>
      <c r="H40" s="36">
        <v>10</v>
      </c>
      <c r="I40" s="74">
        <v>10</v>
      </c>
      <c r="J40" s="41">
        <f>H40/(H40+I40)</f>
        <v>0.5</v>
      </c>
      <c r="K40" s="36">
        <v>39</v>
      </c>
      <c r="L40" s="74">
        <v>42</v>
      </c>
      <c r="M40" s="41">
        <f>K40/(K40+L40)</f>
        <v>0.48148148148148145</v>
      </c>
      <c r="N40" s="36">
        <v>0</v>
      </c>
      <c r="O40" s="74">
        <v>1</v>
      </c>
      <c r="P40" s="74">
        <v>2</v>
      </c>
      <c r="Q40" s="74">
        <v>0</v>
      </c>
      <c r="R40" s="74">
        <v>0</v>
      </c>
      <c r="S40" s="74">
        <v>0</v>
      </c>
      <c r="T40" s="74">
        <v>1</v>
      </c>
      <c r="U40" s="74">
        <v>0</v>
      </c>
      <c r="V40" s="74">
        <v>0</v>
      </c>
      <c r="W40" s="73">
        <v>1</v>
      </c>
      <c r="X40" s="74">
        <v>1</v>
      </c>
      <c r="Y40" s="74">
        <v>0</v>
      </c>
      <c r="Z40" s="74">
        <v>0</v>
      </c>
      <c r="AA40" s="74">
        <v>1</v>
      </c>
      <c r="AB40" s="74">
        <v>0</v>
      </c>
      <c r="AC40" s="74">
        <v>0</v>
      </c>
      <c r="AD40" s="74">
        <v>1</v>
      </c>
      <c r="AE40" s="73">
        <v>1</v>
      </c>
      <c r="AF40" s="74">
        <v>1</v>
      </c>
      <c r="AG40" s="76">
        <v>0</v>
      </c>
    </row>
    <row r="41" spans="1:33" x14ac:dyDescent="0.25">
      <c r="A41" s="2" t="s">
        <v>14</v>
      </c>
      <c r="B41" s="34">
        <v>158</v>
      </c>
      <c r="C41" s="77">
        <f>B41/(E41+F41)</f>
        <v>17.555555555555557</v>
      </c>
      <c r="D41" s="35">
        <v>25</v>
      </c>
      <c r="E41" s="34">
        <v>4</v>
      </c>
      <c r="F41" s="73">
        <v>5</v>
      </c>
      <c r="G41" s="41">
        <f>E41/(E41+F41)</f>
        <v>0.44444444444444442</v>
      </c>
      <c r="H41" s="34">
        <v>18</v>
      </c>
      <c r="I41" s="73">
        <v>23</v>
      </c>
      <c r="J41" s="41">
        <f>H41/(H41+I41)</f>
        <v>0.43902439024390244</v>
      </c>
      <c r="K41" s="34">
        <v>79</v>
      </c>
      <c r="L41" s="73">
        <v>86</v>
      </c>
      <c r="M41" s="41">
        <f>K41/(K41+L41)</f>
        <v>0.47878787878787876</v>
      </c>
      <c r="N41" s="34">
        <v>0</v>
      </c>
      <c r="O41" s="73">
        <v>0</v>
      </c>
      <c r="P41" s="73">
        <v>0</v>
      </c>
      <c r="Q41" s="73">
        <v>0</v>
      </c>
      <c r="R41" s="73">
        <v>0</v>
      </c>
      <c r="S41" s="73">
        <v>0</v>
      </c>
      <c r="T41" s="73">
        <v>1</v>
      </c>
      <c r="U41" s="73">
        <v>1</v>
      </c>
      <c r="V41" s="73">
        <v>1</v>
      </c>
      <c r="W41" s="73">
        <v>1</v>
      </c>
      <c r="X41" s="73">
        <v>0</v>
      </c>
      <c r="Y41" s="73">
        <v>2</v>
      </c>
      <c r="Z41" s="73">
        <v>1</v>
      </c>
      <c r="AA41" s="73">
        <v>1</v>
      </c>
      <c r="AB41" s="73">
        <v>4</v>
      </c>
      <c r="AC41" s="73">
        <v>1</v>
      </c>
      <c r="AD41" s="73">
        <v>3</v>
      </c>
      <c r="AE41" s="73">
        <v>2</v>
      </c>
      <c r="AF41" s="73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77">
        <f>B42/(E42+F42)</f>
        <v>12.5</v>
      </c>
      <c r="D42" s="47">
        <v>13</v>
      </c>
      <c r="E42" s="34">
        <v>2</v>
      </c>
      <c r="F42" s="73">
        <v>0</v>
      </c>
      <c r="G42" s="41">
        <f>E42/(E42+F42)</f>
        <v>1</v>
      </c>
      <c r="H42" s="34">
        <v>6</v>
      </c>
      <c r="I42" s="73">
        <v>2</v>
      </c>
      <c r="J42" s="41">
        <f>H42/(H42+I42)</f>
        <v>0.75</v>
      </c>
      <c r="K42" s="34">
        <v>19</v>
      </c>
      <c r="L42" s="73">
        <v>15</v>
      </c>
      <c r="M42" s="41">
        <f>K42/(K42+L42)</f>
        <v>0.55882352941176472</v>
      </c>
      <c r="N42" s="34">
        <v>0</v>
      </c>
      <c r="O42" s="73">
        <v>1</v>
      </c>
      <c r="P42" s="73">
        <v>1</v>
      </c>
      <c r="Q42" s="73">
        <v>1</v>
      </c>
      <c r="R42" s="73">
        <v>0</v>
      </c>
      <c r="S42" s="73">
        <v>0</v>
      </c>
      <c r="T42" s="73">
        <v>0</v>
      </c>
      <c r="U42" s="73">
        <v>0</v>
      </c>
      <c r="V42" s="73">
        <v>0</v>
      </c>
      <c r="W42" s="73">
        <v>0</v>
      </c>
      <c r="X42" s="73">
        <v>0</v>
      </c>
      <c r="Y42" s="73">
        <v>0</v>
      </c>
      <c r="Z42" s="73">
        <v>0</v>
      </c>
      <c r="AA42" s="73">
        <v>1</v>
      </c>
      <c r="AB42" s="73">
        <v>0</v>
      </c>
      <c r="AC42" s="73">
        <v>0</v>
      </c>
      <c r="AD42" s="73">
        <v>0</v>
      </c>
      <c r="AE42" s="73">
        <v>0</v>
      </c>
      <c r="AF42" s="73">
        <v>2</v>
      </c>
      <c r="AG42" s="47">
        <v>0</v>
      </c>
    </row>
    <row r="43" spans="1:33" x14ac:dyDescent="0.25">
      <c r="A43" s="2" t="s">
        <v>4</v>
      </c>
      <c r="B43" s="34">
        <v>238</v>
      </c>
      <c r="C43" s="77">
        <f>B43/(E43+F43)</f>
        <v>26.444444444444443</v>
      </c>
      <c r="D43" s="35">
        <v>41</v>
      </c>
      <c r="E43" s="34">
        <v>2</v>
      </c>
      <c r="F43" s="73">
        <v>7</v>
      </c>
      <c r="G43" s="41">
        <f>E43/(E43+F43)</f>
        <v>0.22222222222222221</v>
      </c>
      <c r="H43" s="34">
        <v>16</v>
      </c>
      <c r="I43" s="73">
        <v>24</v>
      </c>
      <c r="J43" s="41">
        <f>H43/(H43+I43)</f>
        <v>0.4</v>
      </c>
      <c r="K43" s="34">
        <v>76</v>
      </c>
      <c r="L43" s="73">
        <v>93</v>
      </c>
      <c r="M43" s="41">
        <f>K43/(K43+L43)</f>
        <v>0.44970414201183434</v>
      </c>
      <c r="N43" s="34">
        <v>0</v>
      </c>
      <c r="O43" s="73">
        <v>2</v>
      </c>
      <c r="P43" s="73">
        <v>3</v>
      </c>
      <c r="Q43" s="73">
        <v>1</v>
      </c>
      <c r="R43" s="74">
        <v>0</v>
      </c>
      <c r="S43" s="74">
        <v>0</v>
      </c>
      <c r="T43" s="73">
        <v>1</v>
      </c>
      <c r="U43" s="73">
        <v>0</v>
      </c>
      <c r="V43" s="73">
        <v>0</v>
      </c>
      <c r="W43" s="73">
        <v>1</v>
      </c>
      <c r="X43" s="73">
        <v>0</v>
      </c>
      <c r="Y43" s="73">
        <v>0</v>
      </c>
      <c r="Z43" s="73">
        <v>0</v>
      </c>
      <c r="AA43" s="73">
        <v>4</v>
      </c>
      <c r="AB43" s="73">
        <v>1</v>
      </c>
      <c r="AC43" s="73">
        <v>0</v>
      </c>
      <c r="AD43" s="73">
        <v>1</v>
      </c>
      <c r="AE43" s="73">
        <v>2</v>
      </c>
      <c r="AF43" s="73">
        <v>0</v>
      </c>
      <c r="AG43" s="47">
        <v>0</v>
      </c>
    </row>
    <row r="44" spans="1:33" x14ac:dyDescent="0.25">
      <c r="A44" s="1" t="s">
        <v>107</v>
      </c>
      <c r="B44" s="36">
        <v>69</v>
      </c>
      <c r="C44" s="77">
        <f>B44/(E44+F44)</f>
        <v>13.8</v>
      </c>
      <c r="D44" s="76">
        <v>24</v>
      </c>
      <c r="E44" s="36">
        <v>3</v>
      </c>
      <c r="F44" s="74">
        <v>2</v>
      </c>
      <c r="G44" s="41">
        <f>E44/(E44+F44)</f>
        <v>0.6</v>
      </c>
      <c r="H44" s="36">
        <v>13</v>
      </c>
      <c r="I44" s="74">
        <v>10</v>
      </c>
      <c r="J44" s="41">
        <f>H44/(H44+I44)</f>
        <v>0.56521739130434778</v>
      </c>
      <c r="K44" s="36">
        <v>57</v>
      </c>
      <c r="L44" s="74">
        <v>49</v>
      </c>
      <c r="M44" s="41">
        <f>K44/(K44+L44)</f>
        <v>0.53773584905660377</v>
      </c>
      <c r="N44" s="34">
        <v>0</v>
      </c>
      <c r="O44" s="74">
        <v>0</v>
      </c>
      <c r="P44" s="74">
        <v>1</v>
      </c>
      <c r="Q44" s="74">
        <v>3</v>
      </c>
      <c r="R44" s="73">
        <v>0</v>
      </c>
      <c r="S44" s="73">
        <v>0</v>
      </c>
      <c r="T44" s="74">
        <v>0</v>
      </c>
      <c r="U44" s="74">
        <v>1</v>
      </c>
      <c r="V44" s="74">
        <v>0</v>
      </c>
      <c r="W44" s="74">
        <v>0</v>
      </c>
      <c r="X44" s="74">
        <v>1</v>
      </c>
      <c r="Y44" s="73">
        <v>0</v>
      </c>
      <c r="Z44" s="74">
        <v>0</v>
      </c>
      <c r="AA44" s="74">
        <v>2</v>
      </c>
      <c r="AB44" s="74">
        <v>2</v>
      </c>
      <c r="AC44" s="73">
        <v>0</v>
      </c>
      <c r="AD44" s="74">
        <v>0</v>
      </c>
      <c r="AE44" s="74">
        <v>1</v>
      </c>
      <c r="AF44" s="74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77">
        <f>B45/(E45+F45)</f>
        <v>18</v>
      </c>
      <c r="D45" s="47">
        <v>18</v>
      </c>
      <c r="E45" s="34">
        <v>1</v>
      </c>
      <c r="F45" s="73">
        <v>0</v>
      </c>
      <c r="G45" s="41">
        <f>E45/(E45+F45)</f>
        <v>1</v>
      </c>
      <c r="H45" s="34">
        <v>3</v>
      </c>
      <c r="I45" s="73">
        <v>2</v>
      </c>
      <c r="J45" s="41">
        <f>H45/(H45+I45)</f>
        <v>0.6</v>
      </c>
      <c r="K45" s="34">
        <v>11</v>
      </c>
      <c r="L45" s="73">
        <v>10</v>
      </c>
      <c r="M45" s="41">
        <f>K45/(K45+L45)</f>
        <v>0.52380952380952384</v>
      </c>
      <c r="N45" s="34">
        <v>0</v>
      </c>
      <c r="O45" s="73">
        <v>0</v>
      </c>
      <c r="P45" s="73">
        <v>0</v>
      </c>
      <c r="Q45" s="73">
        <v>0</v>
      </c>
      <c r="R45" s="74">
        <v>0</v>
      </c>
      <c r="S45" s="73">
        <v>0</v>
      </c>
      <c r="T45" s="73">
        <v>0</v>
      </c>
      <c r="U45" s="73">
        <v>0</v>
      </c>
      <c r="V45" s="73">
        <v>0</v>
      </c>
      <c r="W45" s="73">
        <v>0</v>
      </c>
      <c r="X45" s="73">
        <v>0</v>
      </c>
      <c r="Y45" s="73">
        <v>1</v>
      </c>
      <c r="Z45" s="73">
        <v>1</v>
      </c>
      <c r="AA45" s="73">
        <v>0</v>
      </c>
      <c r="AB45" s="73">
        <v>1</v>
      </c>
      <c r="AC45" s="73">
        <v>0</v>
      </c>
      <c r="AD45" s="73">
        <v>0</v>
      </c>
      <c r="AE45" s="73">
        <v>0</v>
      </c>
      <c r="AF45" s="73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78">
        <f>B46/(E46+F46)</f>
        <v>6</v>
      </c>
      <c r="D46" s="40">
        <v>6</v>
      </c>
      <c r="E46" s="38">
        <v>0</v>
      </c>
      <c r="F46" s="48">
        <v>1</v>
      </c>
      <c r="G46" s="79">
        <f>E46/(E46+F46)</f>
        <v>0</v>
      </c>
      <c r="H46" s="38">
        <v>0</v>
      </c>
      <c r="I46" s="48">
        <v>3</v>
      </c>
      <c r="J46" s="79">
        <f>H46/(H46+I46)</f>
        <v>0</v>
      </c>
      <c r="K46" s="38">
        <v>4</v>
      </c>
      <c r="L46" s="48">
        <v>9</v>
      </c>
      <c r="M46" s="79">
        <f>K46/(K46+L46)</f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A2" sqref="A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6821A-FB65-442B-9DB8-237F622F44FF}">
  <dimension ref="A1:AH36"/>
  <sheetViews>
    <sheetView workbookViewId="0">
      <selection activeCell="E37" sqref="E37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66" t="s">
        <v>7</v>
      </c>
      <c r="D1" s="67"/>
      <c r="E1" s="68"/>
      <c r="F1" s="66" t="s">
        <v>22</v>
      </c>
      <c r="G1" s="67"/>
      <c r="H1" s="68"/>
      <c r="I1" s="66" t="s">
        <v>16</v>
      </c>
      <c r="J1" s="67"/>
      <c r="K1" s="68"/>
      <c r="L1" s="66" t="s">
        <v>23</v>
      </c>
      <c r="M1" s="67"/>
      <c r="N1" s="68"/>
      <c r="O1" s="66" t="s">
        <v>64</v>
      </c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69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27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27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27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69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27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27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27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69"/>
      <c r="B5" s="7" t="s">
        <v>35</v>
      </c>
      <c r="C5" s="13">
        <f>INDEX(BA!B2:B45,MATCH('Match Analyzer BA'!$B$5,BA!$A$2:$A$45,0))</f>
        <v>188</v>
      </c>
      <c r="D5" s="59">
        <f>INDEX(BA!C2:C45,MATCH('Match Analyzer BA'!$B$5,BA!$A$2:$A$45,0))</f>
        <v>11.75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10</v>
      </c>
      <c r="H5" s="27">
        <f>INDEX(BA!G2:G45,MATCH('Match Analyzer BA'!$B$5,BA!$A$2:$A$45,0))</f>
        <v>0.375</v>
      </c>
      <c r="I5" s="13">
        <f>INDEX(BA!H2:H45,MATCH('Match Analyzer BA'!$B$5,BA!$A$2:$A$45,0))</f>
        <v>30</v>
      </c>
      <c r="J5" s="26">
        <f>INDEX(BA!I2:I45,MATCH('Match Analyzer BA'!$B$5,BA!$A$2:$A$45,0))</f>
        <v>38</v>
      </c>
      <c r="K5" s="27">
        <f>INDEX(BA!J2:J45,MATCH('Match Analyzer BA'!$B$5,BA!$A$2:$A$45,0))</f>
        <v>0.44117647058823528</v>
      </c>
      <c r="L5" s="13">
        <f>INDEX(BA!K2:K45,MATCH('Match Analyzer BA'!$B$5,BA!$A$2:$A$45,0))</f>
        <v>144</v>
      </c>
      <c r="M5" s="26">
        <f>INDEX(BA!L2:L45,MATCH('Match Analyzer BA'!$B$5,BA!$A$2:$A$45,0))</f>
        <v>144</v>
      </c>
      <c r="N5" s="27">
        <f>INDEX(BA!M2:M45,MATCH('Match Analyzer BA'!$B$5,BA!$A$2:$A$45,0))</f>
        <v>0.5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3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3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69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27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27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27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69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27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27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27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69"/>
      <c r="B8" s="7" t="s">
        <v>27</v>
      </c>
      <c r="C8" s="13">
        <f>INDEX(BA!B2:B45,MATCH('Match Analyzer BA'!$B$8,BA!$A$2:$A$45,0))</f>
        <v>61</v>
      </c>
      <c r="D8" s="59">
        <f>INDEX(BA!C2:C45,MATCH('Match Analyzer BA'!$B$8,BA!$A$2:$A$45,0))</f>
        <v>15.25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2</v>
      </c>
      <c r="H8" s="27">
        <f>INDEX(BA!G2:G45,MATCH('Match Analyzer BA'!$B$8,BA!$A$2:$A$45,0))</f>
        <v>0.5</v>
      </c>
      <c r="I8" s="13">
        <f>INDEX(BA!H2:H45,MATCH('Match Analyzer BA'!$B$8,BA!$A$2:$A$45,0))</f>
        <v>10</v>
      </c>
      <c r="J8" s="26">
        <f>INDEX(BA!I2:I45,MATCH('Match Analyzer BA'!$B$8,BA!$A$2:$A$45,0))</f>
        <v>9</v>
      </c>
      <c r="K8" s="27">
        <f>INDEX(BA!J2:J45,MATCH('Match Analyzer BA'!$B$8,BA!$A$2:$A$45,0))</f>
        <v>0.52631578947368418</v>
      </c>
      <c r="L8" s="13">
        <f>INDEX(BA!K2:K45,MATCH('Match Analyzer BA'!$B$8,BA!$A$2:$A$45,0))</f>
        <v>39</v>
      </c>
      <c r="M8" s="26">
        <f>INDEX(BA!L2:L45,MATCH('Match Analyzer BA'!$B$8,BA!$A$2:$A$45,0))</f>
        <v>41</v>
      </c>
      <c r="N8" s="27">
        <f>INDEX(BA!M2:M45,MATCH('Match Analyzer BA'!$B$8,BA!$A$2:$A$45,0))</f>
        <v>0.48749999999999999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2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69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27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27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27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69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30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30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30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70.142857142857139</v>
      </c>
      <c r="H11" s="9">
        <f>AVERAGE(H3:H10)</f>
        <v>0.53616522366522368</v>
      </c>
      <c r="I11" s="1"/>
      <c r="J11" s="1"/>
      <c r="K11" s="9">
        <f>AVERAGE(K3:K10)</f>
        <v>0.54996228333118635</v>
      </c>
      <c r="N11" s="9">
        <f>AVERAGE(N3:N10)</f>
        <v>0.53347743486931998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11</v>
      </c>
      <c r="S11" s="5">
        <f t="shared" si="0"/>
        <v>2</v>
      </c>
      <c r="T11" s="5">
        <f t="shared" si="0"/>
        <v>13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11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66" t="s">
        <v>7</v>
      </c>
      <c r="D15" s="67"/>
      <c r="E15" s="68"/>
      <c r="F15" s="66" t="s">
        <v>22</v>
      </c>
      <c r="G15" s="67"/>
      <c r="H15" s="68"/>
      <c r="I15" s="66" t="s">
        <v>16</v>
      </c>
      <c r="J15" s="67"/>
      <c r="K15" s="68"/>
      <c r="L15" s="66" t="s">
        <v>23</v>
      </c>
      <c r="M15" s="67"/>
      <c r="N15" s="68"/>
      <c r="O15" s="66" t="s">
        <v>64</v>
      </c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65" t="s">
        <v>77</v>
      </c>
      <c r="B17" s="7" t="s">
        <v>35</v>
      </c>
      <c r="C17" s="13">
        <f>INDEX(BA!B2:B45,MATCH('Match Analyzer BA'!$B$17,BA!$A$2:$A$45,0))</f>
        <v>188</v>
      </c>
      <c r="D17" s="59">
        <f>INDEX(BA!C2:C45,MATCH('Match Analyzer BA'!$B$17,BA!$A$2:$A$45,0))</f>
        <v>11.75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10</v>
      </c>
      <c r="H17" s="27">
        <f>INDEX(BA!G2:G45,MATCH('Match Analyzer BA'!$B$17,BA!$A$2:$A$45,0))</f>
        <v>0.375</v>
      </c>
      <c r="I17" s="13">
        <f>INDEX(BA!H2:H45,MATCH('Match Analyzer BA'!$B$17,BA!$A$2:$A$45,0))</f>
        <v>30</v>
      </c>
      <c r="J17" s="26">
        <f>INDEX(BA!I2:I45,MATCH('Match Analyzer BA'!$B$17,BA!$A$2:$A$45,0))</f>
        <v>38</v>
      </c>
      <c r="K17" s="27">
        <f>INDEX(BA!J2:J45,MATCH('Match Analyzer BA'!$B$17,BA!$A$2:$A$45,0))</f>
        <v>0.44117647058823528</v>
      </c>
      <c r="L17" s="13">
        <f>INDEX(BA!K2:K45,MATCH('Match Analyzer BA'!$B$17,BA!$A$2:$A$45,0))</f>
        <v>144</v>
      </c>
      <c r="M17" s="26">
        <f>INDEX(BA!L2:L45,MATCH('Match Analyzer BA'!$B$17,BA!$A$2:$A$45,0))</f>
        <v>144</v>
      </c>
      <c r="N17" s="27">
        <f>INDEX(BA!M2:M45,MATCH('Match Analyzer BA'!$B$17,BA!$A$2:$A$45,0))</f>
        <v>0.5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3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3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65"/>
      <c r="B18" s="7" t="s">
        <v>42</v>
      </c>
      <c r="C18" s="13">
        <f>INDEX(BA!B2:B45,MATCH('Match Analyzer BA'!$B$18,BA!$A$2:$A$45,0))</f>
        <v>143</v>
      </c>
      <c r="D18" s="59">
        <f>INDEX(BA!C2:C45,MATCH('Match Analyzer BA'!$B$18,BA!$A$2:$A$45,0))</f>
        <v>15.888888888888889</v>
      </c>
      <c r="E18" s="14">
        <f>INDEX(BA!D2:D45,MATCH('Match Analyzer BA'!$B$18,BA!$A$2:$A$45,0))</f>
        <v>31</v>
      </c>
      <c r="F18" s="13">
        <f>INDEX(BA!E2:E45,MATCH('Match Analyzer BA'!$B$18,BA!$A$2:$A$45,0))</f>
        <v>5</v>
      </c>
      <c r="G18" s="26">
        <f>INDEX(BA!F2:F45,MATCH('Match Analyzer BA'!$B$18,BA!$A$2:$A$45,0))</f>
        <v>4</v>
      </c>
      <c r="H18" s="27">
        <f>INDEX(BA!G2:G45,MATCH('Match Analyzer BA'!$B$18,BA!$A$2:$A$45,0))</f>
        <v>0.55555555555555558</v>
      </c>
      <c r="I18" s="13">
        <f>INDEX(BA!H2:H45,MATCH('Match Analyzer BA'!$B$18,BA!$A$2:$A$45,0))</f>
        <v>19</v>
      </c>
      <c r="J18" s="26">
        <f>INDEX(BA!I2:I45,MATCH('Match Analyzer BA'!$B$18,BA!$A$2:$A$45,0))</f>
        <v>20</v>
      </c>
      <c r="K18" s="27">
        <f>INDEX(BA!J2:J45,MATCH('Match Analyzer BA'!$B$18,BA!$A$2:$A$45,0))</f>
        <v>0.48717948717948717</v>
      </c>
      <c r="L18" s="13">
        <f>INDEX(BA!K2:K45,MATCH('Match Analyzer BA'!$B$18,BA!$A$2:$A$45,0))</f>
        <v>80</v>
      </c>
      <c r="M18" s="26">
        <f>INDEX(BA!L2:L45,MATCH('Match Analyzer BA'!$B$18,BA!$A$2:$A$45,0))</f>
        <v>84</v>
      </c>
      <c r="N18" s="27">
        <f>INDEX(BA!M2:M45,MATCH('Match Analyzer BA'!$B$18,BA!$A$2:$A$45,0))</f>
        <v>0.48780487804878048</v>
      </c>
      <c r="O18" s="13">
        <f>INDEX(BA!V2:V45,MATCH('Match Analyzer BA'!$B$18,BA!$A$2:$A$45,0))</f>
        <v>0</v>
      </c>
      <c r="P18" s="26">
        <f>INDEX(BA!Q2:Q45,MATCH('Match Analyzer BA'!$B$18,BA!$A$2:$A$45,0))</f>
        <v>1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1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3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65"/>
      <c r="B19" s="7" t="s">
        <v>52</v>
      </c>
      <c r="C19" s="13">
        <f>INDEX(BA!B2:B45,MATCH('Match Analyzer BA'!$B$19,BA!$A$2:$A$45,0))</f>
        <v>58</v>
      </c>
      <c r="D19" s="59">
        <f>INDEX(BA!C2:C45,MATCH('Match Analyzer BA'!$B$19,BA!$A$2:$A$45,0))</f>
        <v>11.6</v>
      </c>
      <c r="E19" s="14">
        <f>INDEX(BA!D2:D45,MATCH('Match Analyzer BA'!$B$19,BA!$A$2:$A$45,0))</f>
        <v>19</v>
      </c>
      <c r="F19" s="13">
        <f>INDEX(BA!E2:E45,MATCH('Match Analyzer BA'!$B$19,BA!$A$2:$A$45,0))</f>
        <v>1</v>
      </c>
      <c r="G19" s="26">
        <f>INDEX(BA!F2:F45,MATCH('Match Analyzer BA'!$B$19,BA!$A$2:$A$45,0))</f>
        <v>4</v>
      </c>
      <c r="H19" s="27">
        <f>INDEX(BA!G2:G45,MATCH('Match Analyzer BA'!$B$19,BA!$A$2:$A$45,0))</f>
        <v>0.2</v>
      </c>
      <c r="I19" s="13">
        <f>INDEX(BA!H2:H45,MATCH('Match Analyzer BA'!$B$19,BA!$A$2:$A$45,0))</f>
        <v>8</v>
      </c>
      <c r="J19" s="26">
        <f>INDEX(BA!I2:I45,MATCH('Match Analyzer BA'!$B$19,BA!$A$2:$A$45,0))</f>
        <v>14</v>
      </c>
      <c r="K19" s="27">
        <f>INDEX(BA!J2:J45,MATCH('Match Analyzer BA'!$B$19,BA!$A$2:$A$45,0))</f>
        <v>0.36363636363636365</v>
      </c>
      <c r="L19" s="13">
        <f>INDEX(BA!K2:K45,MATCH('Match Analyzer BA'!$B$19,BA!$A$2:$A$45,0))</f>
        <v>34</v>
      </c>
      <c r="M19" s="26">
        <f>INDEX(BA!L2:L45,MATCH('Match Analyzer BA'!$B$19,BA!$A$2:$A$45,0))</f>
        <v>52</v>
      </c>
      <c r="N19" s="27">
        <f>INDEX(BA!M2:M45,MATCH('Match Analyzer BA'!$B$19,BA!$A$2:$A$45,0))</f>
        <v>0.39534883720930231</v>
      </c>
      <c r="O19" s="13">
        <f>INDEX(BA!V2:V45,MATCH('Match Analyzer BA'!$B$19,BA!$A$2:$A$45,0))</f>
        <v>0</v>
      </c>
      <c r="P19" s="26">
        <f>INDEX(BA!Q2:Q45,MATCH('Match Analyzer BA'!$B$19,BA!$A$2:$A$45,0))</f>
        <v>0</v>
      </c>
      <c r="Q19" s="26">
        <f>INDEX(BA!U2:U45,MATCH('Match Analyzer BA'!$B$19,BA!$A$2:$A$45,0))</f>
        <v>0</v>
      </c>
      <c r="R19" s="26">
        <f>INDEX(BA!AB2:AB45,MATCH('Match Analyzer BA'!$B$19,BA!$A$2:$A$45,0))</f>
        <v>1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0</v>
      </c>
      <c r="W19" s="26">
        <f>INDEX(BA!P2:P45,MATCH('Match Analyzer BA'!$B$19,BA!$A$2:$A$45,0))</f>
        <v>0</v>
      </c>
      <c r="X19" s="26">
        <f>INDEX(BA!AE2:AE45,MATCH('Match Analyzer BA'!$B$19,BA!$A$2:$A$45,0))</f>
        <v>1</v>
      </c>
      <c r="Y19" s="26">
        <f>INDEX(BA!W2:W45,MATCH('Match Analyzer BA'!$B$19,BA!$A$2:$A$45,0))</f>
        <v>2</v>
      </c>
      <c r="Z19" s="26">
        <f>INDEX(BA!O2:O45,MATCH('Match Analyzer BA'!$B$19,BA!$A$2:$A$45,0))</f>
        <v>1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65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65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65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65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65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88.50873015873016</v>
      </c>
      <c r="H25" s="9">
        <f>AVERAGE(H17:H24)</f>
        <v>0.44648268398268404</v>
      </c>
      <c r="I25" s="1"/>
      <c r="J25" s="1"/>
      <c r="K25" s="9">
        <f>AVERAGE(K17:K24)</f>
        <v>0.47127251152265187</v>
      </c>
      <c r="N25" s="9">
        <f>AVERAGE(N17:N24)</f>
        <v>0.48437535777279478</v>
      </c>
      <c r="O25" s="5">
        <f>SUM(O17:O24)</f>
        <v>3</v>
      </c>
      <c r="P25" s="5">
        <f t="shared" ref="P25:AH25" si="1">SUM(P17:P24)</f>
        <v>6</v>
      </c>
      <c r="Q25" s="5">
        <f t="shared" si="1"/>
        <v>6</v>
      </c>
      <c r="R25" s="5">
        <f t="shared" si="1"/>
        <v>15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9</v>
      </c>
      <c r="W25" s="5">
        <f t="shared" si="1"/>
        <v>7</v>
      </c>
      <c r="X25" s="5">
        <f t="shared" si="1"/>
        <v>13</v>
      </c>
      <c r="Y25" s="5">
        <f t="shared" si="1"/>
        <v>7</v>
      </c>
      <c r="Z25" s="5">
        <f t="shared" si="1"/>
        <v>9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Presidio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promptTitle="Select Player Name" prompt="Select Player Name" xr:uid="{585A4370-F636-4515-B14E-B67D7C237AA4}">
          <x14:formula1>
            <xm:f>BA!$A$2:$A$45</xm:f>
          </x14:formula1>
          <xm:sqref>B3:B10</xm:sqref>
        </x14:dataValidation>
        <x14:dataValidation type="list" allowBlank="1" showInputMessage="1" showErrorMessage="1" promptTitle="Team Builder" prompt="Select Player name from drop down list" xr:uid="{FEE24750-61DD-4E3B-AB60-CC8C7258B2CD}">
          <x14:formula1>
            <xm:f>BA!$A$2:$A$45</xm:f>
          </x14:formula1>
          <xm:sqref>B17:B24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2026-03-01T17:55:55Z</dcterms:modified>
</cp:coreProperties>
</file>