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AA07E601-5D76-4703-A317-58C5E4BB3D37}" xr6:coauthVersionLast="47" xr6:coauthVersionMax="47" xr10:uidLastSave="{00000000-0000-0000-0000-000000000000}"/>
  <bookViews>
    <workbookView xWindow="-120" yWindow="-120" windowWidth="38640" windowHeight="21120" activeTab="5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History'!$A$1:$AJ$648</definedName>
    <definedName name="_xlnm._FilterDatabase" localSheetId="5" hidden="1">'BA v2'!$A$1:$AJ$55</definedName>
    <definedName name="_xlnm._FilterDatabase" localSheetId="4" hidden="1">'OB History'!$A$1:$AD$450</definedName>
    <definedName name="_xlnm._FilterDatabase" localSheetId="1" hidden="1">'Old Bow'!$A$1:$AD$37</definedName>
    <definedName name="_xlnm._FilterDatabase" localSheetId="0" hidden="1">'Old Bow v2'!$A$1:$AE$44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678" i="9" l="1"/>
  <c r="AH678" i="9"/>
  <c r="AI678" i="9"/>
  <c r="AJ678" i="9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AI683" i="9"/>
  <c r="AJ683" i="9"/>
  <c r="AG684" i="9"/>
  <c r="AH684" i="9"/>
  <c r="AI684" i="9"/>
  <c r="AJ684" i="9"/>
  <c r="AG685" i="9"/>
  <c r="AH685" i="9"/>
  <c r="AI685" i="9"/>
  <c r="AJ685" i="9"/>
  <c r="AG686" i="9"/>
  <c r="AH686" i="9"/>
  <c r="AI686" i="9"/>
  <c r="AJ686" i="9"/>
  <c r="AG687" i="9"/>
  <c r="AH687" i="9"/>
  <c r="AI687" i="9"/>
  <c r="AJ687" i="9"/>
  <c r="AG688" i="9"/>
  <c r="AH688" i="9"/>
  <c r="AI688" i="9"/>
  <c r="AJ688" i="9"/>
  <c r="AG689" i="9"/>
  <c r="AH689" i="9"/>
  <c r="AI689" i="9"/>
  <c r="AJ689" i="9"/>
  <c r="AG677" i="9"/>
  <c r="AH677" i="9"/>
  <c r="AI677" i="9"/>
  <c r="AJ677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AI668" i="9"/>
  <c r="AJ668" i="9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AI652" i="9"/>
  <c r="AJ652" i="9"/>
  <c r="AG653" i="9"/>
  <c r="AH653" i="9"/>
  <c r="AI653" i="9"/>
  <c r="AJ653" i="9"/>
  <c r="AG654" i="9"/>
  <c r="AH654" i="9"/>
  <c r="AI654" i="9"/>
  <c r="AJ654" i="9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AI648" i="9"/>
  <c r="AJ648" i="9"/>
  <c r="AG619" i="9"/>
  <c r="AH619" i="9"/>
  <c r="AI619" i="9"/>
  <c r="AJ619" i="9"/>
  <c r="AG620" i="9"/>
  <c r="AH620" i="9"/>
  <c r="AI620" i="9"/>
  <c r="AJ620" i="9"/>
  <c r="AG621" i="9"/>
  <c r="AH621" i="9"/>
  <c r="AI621" i="9"/>
  <c r="AJ621" i="9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C40" i="12"/>
  <c r="D40" i="12"/>
  <c r="E40" i="12" a="1"/>
  <c r="E40" i="12" s="1"/>
  <c r="F40" i="12"/>
  <c r="G40" i="12"/>
  <c r="I40" i="12"/>
  <c r="J40" i="12" s="1"/>
  <c r="L40" i="12"/>
  <c r="M40" i="12" s="1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594" i="9"/>
  <c r="AH594" i="9"/>
  <c r="AI594" i="9"/>
  <c r="AJ594" i="9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AI593" i="9"/>
  <c r="AJ593" i="9"/>
  <c r="AA441" i="10"/>
  <c r="AB441" i="10"/>
  <c r="AC441" i="10"/>
  <c r="AD441" i="10"/>
  <c r="AA442" i="10"/>
  <c r="AB442" i="10"/>
  <c r="AC442" i="10"/>
  <c r="AD442" i="10"/>
  <c r="AA443" i="10"/>
  <c r="AB443" i="10"/>
  <c r="AC443" i="10"/>
  <c r="AD443" i="10"/>
  <c r="AA444" i="10"/>
  <c r="AB444" i="10"/>
  <c r="AC444" i="10"/>
  <c r="AD444" i="10"/>
  <c r="AA445" i="10"/>
  <c r="AB445" i="10"/>
  <c r="AC445" i="10"/>
  <c r="AD445" i="10"/>
  <c r="AA446" i="10"/>
  <c r="AB446" i="10"/>
  <c r="AC446" i="10"/>
  <c r="AD446" i="10"/>
  <c r="AA447" i="10"/>
  <c r="AB447" i="10"/>
  <c r="AC447" i="10"/>
  <c r="AD447" i="10"/>
  <c r="AA448" i="10"/>
  <c r="AB448" i="10"/>
  <c r="AC448" i="10"/>
  <c r="AD448" i="10"/>
  <c r="AA449" i="10"/>
  <c r="AB449" i="10"/>
  <c r="AC449" i="10"/>
  <c r="AD449" i="10"/>
  <c r="AA450" i="10"/>
  <c r="AB450" i="10"/>
  <c r="AC450" i="10"/>
  <c r="AD450" i="10"/>
  <c r="AG419" i="9"/>
  <c r="D42" i="11"/>
  <c r="E42" i="11"/>
  <c r="F42" i="11" a="1"/>
  <c r="F42" i="11" s="1"/>
  <c r="G42" i="11"/>
  <c r="H42" i="11"/>
  <c r="J42" i="11"/>
  <c r="K42" i="11" s="1"/>
  <c r="M42" i="11"/>
  <c r="N42" i="11" s="1"/>
  <c r="D34" i="11"/>
  <c r="E34" i="11"/>
  <c r="F34" i="11" a="1"/>
  <c r="F34" i="11" s="1"/>
  <c r="G34" i="11"/>
  <c r="H34" i="11"/>
  <c r="J34" i="11"/>
  <c r="K34" i="11" s="1"/>
  <c r="M34" i="11"/>
  <c r="N34" i="11" s="1"/>
  <c r="Q6" i="11"/>
  <c r="R6" i="11"/>
  <c r="S6" i="11"/>
  <c r="T6" i="11"/>
  <c r="U6" i="11"/>
  <c r="V6" i="11"/>
  <c r="W6" i="11"/>
  <c r="X6" i="11"/>
  <c r="Y6" i="11"/>
  <c r="Z6" i="11"/>
  <c r="AA6" i="11"/>
  <c r="AB6" i="11"/>
  <c r="AC6" i="11"/>
  <c r="AD6" i="11"/>
  <c r="AE6" i="11"/>
  <c r="Q34" i="11"/>
  <c r="R34" i="11"/>
  <c r="S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P34" i="11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L2" i="12"/>
  <c r="O7" i="12"/>
  <c r="O6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O55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AI571" i="9"/>
  <c r="AJ571" i="9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AI575" i="9"/>
  <c r="AJ575" i="9"/>
  <c r="AG576" i="9"/>
  <c r="AH576" i="9"/>
  <c r="AI576" i="9"/>
  <c r="AJ576" i="9"/>
  <c r="AG577" i="9"/>
  <c r="AH577" i="9"/>
  <c r="AI577" i="9"/>
  <c r="AJ577" i="9"/>
  <c r="AA415" i="10"/>
  <c r="AB415" i="10"/>
  <c r="AC415" i="10"/>
  <c r="AD415" i="10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AC435" i="10"/>
  <c r="AD435" i="10"/>
  <c r="AA436" i="10"/>
  <c r="AB436" i="10"/>
  <c r="AC436" i="10"/>
  <c r="AD436" i="10"/>
  <c r="AA437" i="10"/>
  <c r="AB437" i="10"/>
  <c r="AC437" i="10"/>
  <c r="AD437" i="10"/>
  <c r="AA438" i="10"/>
  <c r="AB438" i="10"/>
  <c r="AC438" i="10"/>
  <c r="AD438" i="10"/>
  <c r="AA439" i="10"/>
  <c r="AB439" i="10"/>
  <c r="AC439" i="10"/>
  <c r="AD439" i="10"/>
  <c r="AA440" i="10"/>
  <c r="AB440" i="10"/>
  <c r="AC440" i="10"/>
  <c r="AD440" i="10"/>
  <c r="P33" i="11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AI564" i="9"/>
  <c r="AJ564" i="9"/>
  <c r="AG565" i="9"/>
  <c r="AH565" i="9"/>
  <c r="AI565" i="9"/>
  <c r="AJ565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C24" i="12"/>
  <c r="D24" i="12"/>
  <c r="E24" i="12" a="1"/>
  <c r="E24" i="12" s="1"/>
  <c r="F24" i="12"/>
  <c r="G24" i="12"/>
  <c r="I24" i="12"/>
  <c r="J24" i="12" s="1"/>
  <c r="L24" i="12"/>
  <c r="M24" i="12" s="1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AI527" i="9"/>
  <c r="AJ527" i="9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Q36" i="11"/>
  <c r="R36" i="11"/>
  <c r="S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P36" i="11"/>
  <c r="D36" i="11"/>
  <c r="E36" i="11"/>
  <c r="F36" i="11" a="1"/>
  <c r="F36" i="11" s="1"/>
  <c r="G36" i="11"/>
  <c r="H36" i="11"/>
  <c r="J36" i="11"/>
  <c r="K36" i="11" s="1"/>
  <c r="M36" i="11"/>
  <c r="N36" i="11" s="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P26" i="11"/>
  <c r="D26" i="11"/>
  <c r="E26" i="11"/>
  <c r="F26" i="11" a="1"/>
  <c r="F26" i="11" s="1"/>
  <c r="G26" i="11"/>
  <c r="H26" i="11"/>
  <c r="J26" i="11"/>
  <c r="K26" i="11" s="1"/>
  <c r="M26" i="11"/>
  <c r="N26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AC414" i="10"/>
  <c r="AD414" i="10"/>
  <c r="Q40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P40" i="11"/>
  <c r="D40" i="11"/>
  <c r="E40" i="11"/>
  <c r="F40" i="11" a="1"/>
  <c r="F40" i="11" s="1"/>
  <c r="G40" i="11"/>
  <c r="H40" i="11"/>
  <c r="J40" i="11"/>
  <c r="K40" i="11" s="1"/>
  <c r="M40" i="11"/>
  <c r="N40" i="11" s="1"/>
  <c r="AA390" i="10"/>
  <c r="AB390" i="10"/>
  <c r="AC390" i="10"/>
  <c r="AD390" i="10"/>
  <c r="AA391" i="10"/>
  <c r="AB391" i="10"/>
  <c r="AC391" i="10"/>
  <c r="AD391" i="10"/>
  <c r="AA392" i="10"/>
  <c r="AB392" i="10"/>
  <c r="AC392" i="10"/>
  <c r="AD392" i="10"/>
  <c r="AA393" i="10"/>
  <c r="AB393" i="10"/>
  <c r="AC393" i="10"/>
  <c r="AD393" i="10"/>
  <c r="AA394" i="10"/>
  <c r="AB394" i="10"/>
  <c r="AC394" i="10"/>
  <c r="AD394" i="10"/>
  <c r="AA395" i="10"/>
  <c r="AB395" i="10"/>
  <c r="AC395" i="10"/>
  <c r="AD395" i="10"/>
  <c r="AA396" i="10"/>
  <c r="AB396" i="10"/>
  <c r="AC396" i="10"/>
  <c r="AD396" i="10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AI515" i="9"/>
  <c r="AJ515" i="9"/>
  <c r="AG516" i="9"/>
  <c r="AH516" i="9"/>
  <c r="AI516" i="9"/>
  <c r="AJ516" i="9"/>
  <c r="AG517" i="9"/>
  <c r="AH517" i="9"/>
  <c r="AI517" i="9"/>
  <c r="AJ517" i="9"/>
  <c r="AG518" i="9"/>
  <c r="AH518" i="9"/>
  <c r="AI518" i="9"/>
  <c r="AJ518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AI497" i="9"/>
  <c r="AJ497" i="9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AI502" i="9"/>
  <c r="AJ50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AE9" i="11"/>
  <c r="P9" i="11"/>
  <c r="D9" i="11"/>
  <c r="E9" i="11"/>
  <c r="F9" i="11" a="1"/>
  <c r="F9" i="11" s="1"/>
  <c r="G9" i="11"/>
  <c r="H9" i="11"/>
  <c r="J9" i="11"/>
  <c r="K9" i="11" s="1"/>
  <c r="M9" i="11"/>
  <c r="N9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2" i="11"/>
  <c r="Y3" i="11"/>
  <c r="Y4" i="11"/>
  <c r="Y5" i="11"/>
  <c r="Y7" i="11"/>
  <c r="Y8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7" i="11"/>
  <c r="Y28" i="11"/>
  <c r="Y29" i="11"/>
  <c r="Y30" i="11"/>
  <c r="Y31" i="11"/>
  <c r="Y32" i="11"/>
  <c r="Y33" i="11"/>
  <c r="Y35" i="11"/>
  <c r="Y37" i="11"/>
  <c r="Y38" i="11"/>
  <c r="Y39" i="11"/>
  <c r="Y41" i="11"/>
  <c r="Y42" i="11"/>
  <c r="Y43" i="11"/>
  <c r="Y44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5" i="12"/>
  <c r="J45" i="12" s="1"/>
  <c r="L45" i="12"/>
  <c r="M45" i="12" s="1"/>
  <c r="F45" i="12"/>
  <c r="G45" i="12"/>
  <c r="C45" i="12"/>
  <c r="D45" i="12"/>
  <c r="E45" i="12" a="1"/>
  <c r="E45" i="12" s="1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AI476" i="9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AI481" i="9"/>
  <c r="AJ481" i="9"/>
  <c r="AG482" i="9"/>
  <c r="AH482" i="9"/>
  <c r="AI482" i="9"/>
  <c r="AJ482" i="9"/>
  <c r="AA377" i="10"/>
  <c r="AB377" i="10"/>
  <c r="AC377" i="10"/>
  <c r="AD377" i="10"/>
  <c r="AA361" i="10"/>
  <c r="AB361" i="10"/>
  <c r="AC361" i="10"/>
  <c r="AD361" i="10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2" i="11"/>
  <c r="R42" i="11"/>
  <c r="S42" i="11"/>
  <c r="T42" i="11"/>
  <c r="U42" i="11"/>
  <c r="V42" i="11"/>
  <c r="W42" i="11"/>
  <c r="X42" i="11"/>
  <c r="Z42" i="11"/>
  <c r="AA42" i="11"/>
  <c r="AB42" i="11"/>
  <c r="AC42" i="11"/>
  <c r="AD42" i="11"/>
  <c r="AE42" i="11"/>
  <c r="P42" i="11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AI436" i="9"/>
  <c r="AJ436" i="9"/>
  <c r="C32" i="12"/>
  <c r="D32" i="12"/>
  <c r="E32" i="12" a="1"/>
  <c r="E32" i="12" s="1"/>
  <c r="F32" i="12"/>
  <c r="G32" i="12"/>
  <c r="I32" i="12"/>
  <c r="L32" i="12"/>
  <c r="M32" i="12" s="1"/>
  <c r="C33" i="12"/>
  <c r="D33" i="12"/>
  <c r="E33" i="12" a="1"/>
  <c r="E33" i="12" s="1"/>
  <c r="F33" i="12"/>
  <c r="G33" i="12"/>
  <c r="I33" i="12"/>
  <c r="J33" i="12" s="1"/>
  <c r="L33" i="12"/>
  <c r="M33" i="12" s="1"/>
  <c r="N33" i="12" s="1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AI467" i="9"/>
  <c r="AJ467" i="9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H40" i="12" l="1"/>
  <c r="N40" i="12"/>
  <c r="K40" i="12"/>
  <c r="I42" i="11"/>
  <c r="I34" i="11"/>
  <c r="O42" i="11"/>
  <c r="L42" i="11"/>
  <c r="O34" i="11"/>
  <c r="L34" i="11"/>
  <c r="I9" i="11"/>
  <c r="H23" i="12"/>
  <c r="N23" i="12"/>
  <c r="K23" i="12"/>
  <c r="H15" i="12"/>
  <c r="N15" i="12"/>
  <c r="K15" i="12"/>
  <c r="I26" i="11"/>
  <c r="I36" i="11"/>
  <c r="O26" i="11"/>
  <c r="H24" i="12"/>
  <c r="N24" i="12"/>
  <c r="K24" i="12"/>
  <c r="O36" i="11"/>
  <c r="L36" i="11"/>
  <c r="L26" i="11"/>
  <c r="I40" i="11"/>
  <c r="O40" i="11"/>
  <c r="L40" i="11"/>
  <c r="H12" i="12"/>
  <c r="O9" i="11"/>
  <c r="L9" i="11"/>
  <c r="N12" i="12"/>
  <c r="K12" i="12"/>
  <c r="H2" i="12"/>
  <c r="M2" i="12"/>
  <c r="N2" i="12" s="1"/>
  <c r="K2" i="12"/>
  <c r="H45" i="12"/>
  <c r="N45" i="12"/>
  <c r="K45" i="12"/>
  <c r="H32" i="12"/>
  <c r="J32" i="12"/>
  <c r="K32" i="12" s="1"/>
  <c r="N32" i="12"/>
  <c r="H33" i="12"/>
  <c r="K33" i="12"/>
  <c r="I21" i="12"/>
  <c r="J21" i="12" s="1"/>
  <c r="L21" i="12"/>
  <c r="M21" i="12" s="1"/>
  <c r="F21" i="12"/>
  <c r="G21" i="12"/>
  <c r="C21" i="12"/>
  <c r="D21" i="12"/>
  <c r="E21" i="12" a="1"/>
  <c r="E21" i="12" s="1"/>
  <c r="F39" i="12"/>
  <c r="G39" i="12"/>
  <c r="I39" i="12"/>
  <c r="J39" i="12" s="1"/>
  <c r="L39" i="12"/>
  <c r="M39" i="12" s="1"/>
  <c r="C39" i="12"/>
  <c r="D39" i="12"/>
  <c r="E39" i="12" a="1"/>
  <c r="E39" i="12" s="1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Q2" i="11"/>
  <c r="R2" i="11"/>
  <c r="S2" i="11"/>
  <c r="T2" i="11"/>
  <c r="U2" i="11"/>
  <c r="V2" i="11"/>
  <c r="W2" i="11"/>
  <c r="X2" i="11"/>
  <c r="Z2" i="11"/>
  <c r="AA2" i="11"/>
  <c r="AB2" i="11"/>
  <c r="AC2" i="11"/>
  <c r="AD2" i="11"/>
  <c r="AE2" i="11"/>
  <c r="P2" i="11"/>
  <c r="M2" i="11"/>
  <c r="N2" i="11" s="1"/>
  <c r="J2" i="11"/>
  <c r="K2" i="11" s="1"/>
  <c r="H2" i="11"/>
  <c r="G2" i="11"/>
  <c r="F2" i="11" a="1"/>
  <c r="F2" i="11" s="1"/>
  <c r="E2" i="11"/>
  <c r="D2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Q19" i="11"/>
  <c r="R19" i="11"/>
  <c r="S19" i="11"/>
  <c r="T19" i="11"/>
  <c r="U19" i="11"/>
  <c r="V19" i="11"/>
  <c r="W19" i="11"/>
  <c r="X19" i="11"/>
  <c r="Z19" i="11"/>
  <c r="AA19" i="11"/>
  <c r="AB19" i="11"/>
  <c r="AC19" i="11"/>
  <c r="AD19" i="11"/>
  <c r="AE19" i="11"/>
  <c r="P19" i="11"/>
  <c r="M19" i="11"/>
  <c r="N19" i="11" s="1"/>
  <c r="J19" i="11"/>
  <c r="H19" i="11"/>
  <c r="G19" i="11"/>
  <c r="E19" i="11"/>
  <c r="D19" i="11"/>
  <c r="F19" i="11" a="1"/>
  <c r="F19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N4" i="12" s="1"/>
  <c r="L5" i="12"/>
  <c r="M5" i="12" s="1"/>
  <c r="N5" i="12" s="1"/>
  <c r="L6" i="12"/>
  <c r="M6" i="12" s="1"/>
  <c r="N6" i="12" s="1"/>
  <c r="L7" i="12"/>
  <c r="M7" i="12" s="1"/>
  <c r="N7" i="12" s="1"/>
  <c r="L8" i="12"/>
  <c r="M8" i="12" s="1"/>
  <c r="N8" i="12" s="1"/>
  <c r="L9" i="12"/>
  <c r="M9" i="12" s="1"/>
  <c r="N9" i="12" s="1"/>
  <c r="L10" i="12"/>
  <c r="M10" i="12" s="1"/>
  <c r="L11" i="12"/>
  <c r="M11" i="12" s="1"/>
  <c r="N11" i="12" s="1"/>
  <c r="L13" i="12"/>
  <c r="M13" i="12" s="1"/>
  <c r="N13" i="12" s="1"/>
  <c r="L42" i="12"/>
  <c r="M42" i="12" s="1"/>
  <c r="N42" i="12" s="1"/>
  <c r="L14" i="12"/>
  <c r="M14" i="12" s="1"/>
  <c r="N14" i="12" s="1"/>
  <c r="L16" i="12"/>
  <c r="M16" i="12" s="1"/>
  <c r="N16" i="12" s="1"/>
  <c r="L17" i="12"/>
  <c r="M17" i="12" s="1"/>
  <c r="N17" i="12" s="1"/>
  <c r="L18" i="12"/>
  <c r="M18" i="12" s="1"/>
  <c r="N18" i="12" s="1"/>
  <c r="L19" i="12"/>
  <c r="M19" i="12" s="1"/>
  <c r="L20" i="12"/>
  <c r="M20" i="12" s="1"/>
  <c r="N20" i="12" s="1"/>
  <c r="L22" i="12"/>
  <c r="M22" i="12" s="1"/>
  <c r="N22" i="12" s="1"/>
  <c r="L25" i="12"/>
  <c r="M25" i="12" s="1"/>
  <c r="N25" i="12" s="1"/>
  <c r="L26" i="12"/>
  <c r="M26" i="12" s="1"/>
  <c r="N26" i="12" s="1"/>
  <c r="L27" i="12"/>
  <c r="M27" i="12" s="1"/>
  <c r="N27" i="12" s="1"/>
  <c r="L28" i="12"/>
  <c r="M28" i="12" s="1"/>
  <c r="N28" i="12" s="1"/>
  <c r="L29" i="12"/>
  <c r="M29" i="12" s="1"/>
  <c r="L30" i="12"/>
  <c r="M30" i="12" s="1"/>
  <c r="N30" i="12" s="1"/>
  <c r="L31" i="12"/>
  <c r="M31" i="12" s="1"/>
  <c r="N31" i="12" s="1"/>
  <c r="L34" i="12"/>
  <c r="M34" i="12" s="1"/>
  <c r="N34" i="12" s="1"/>
  <c r="L35" i="12"/>
  <c r="M35" i="12" s="1"/>
  <c r="N35" i="12" s="1"/>
  <c r="L36" i="12"/>
  <c r="M36" i="12" s="1"/>
  <c r="N36" i="12" s="1"/>
  <c r="L37" i="12"/>
  <c r="M37" i="12" s="1"/>
  <c r="N37" i="12" s="1"/>
  <c r="L38" i="12"/>
  <c r="M38" i="12" s="1"/>
  <c r="N38" i="12" s="1"/>
  <c r="L41" i="12"/>
  <c r="M41" i="12" s="1"/>
  <c r="L43" i="12"/>
  <c r="M43" i="12" s="1"/>
  <c r="L44" i="12"/>
  <c r="M44" i="12" s="1"/>
  <c r="L46" i="12"/>
  <c r="M46" i="12" s="1"/>
  <c r="N46" i="12" s="1"/>
  <c r="L47" i="12"/>
  <c r="M47" i="12" s="1"/>
  <c r="N47" i="12" s="1"/>
  <c r="L48" i="12"/>
  <c r="M48" i="12" s="1"/>
  <c r="N48" i="12" s="1"/>
  <c r="L49" i="12"/>
  <c r="M49" i="12" s="1"/>
  <c r="N49" i="12" s="1"/>
  <c r="L50" i="12"/>
  <c r="M50" i="12" s="1"/>
  <c r="L51" i="12"/>
  <c r="M51" i="12" s="1"/>
  <c r="N51" i="12" s="1"/>
  <c r="L52" i="12"/>
  <c r="M52" i="12" s="1"/>
  <c r="N52" i="12" s="1"/>
  <c r="L53" i="12"/>
  <c r="M53" i="12" s="1"/>
  <c r="L54" i="12"/>
  <c r="M54" i="12" s="1"/>
  <c r="L55" i="12"/>
  <c r="N55" i="12" s="1"/>
  <c r="L3" i="12"/>
  <c r="M3" i="12" s="1"/>
  <c r="I4" i="12"/>
  <c r="J4" i="12" s="1"/>
  <c r="K4" i="12" s="1"/>
  <c r="I5" i="12"/>
  <c r="J5" i="12" s="1"/>
  <c r="K5" i="12" s="1"/>
  <c r="I6" i="12"/>
  <c r="J6" i="12" s="1"/>
  <c r="K6" i="12" s="1"/>
  <c r="I7" i="12"/>
  <c r="J7" i="12" s="1"/>
  <c r="K7" i="12" s="1"/>
  <c r="I8" i="12"/>
  <c r="J8" i="12" s="1"/>
  <c r="K8" i="12" s="1"/>
  <c r="I9" i="12"/>
  <c r="J9" i="12" s="1"/>
  <c r="K9" i="12" s="1"/>
  <c r="I10" i="12"/>
  <c r="J10" i="12" s="1"/>
  <c r="K10" i="12" s="1"/>
  <c r="I11" i="12"/>
  <c r="J11" i="12" s="1"/>
  <c r="K11" i="12" s="1"/>
  <c r="I13" i="12"/>
  <c r="J13" i="12" s="1"/>
  <c r="K13" i="12" s="1"/>
  <c r="I42" i="12"/>
  <c r="I14" i="12"/>
  <c r="J14" i="12" s="1"/>
  <c r="K14" i="12" s="1"/>
  <c r="I16" i="12"/>
  <c r="J16" i="12" s="1"/>
  <c r="K16" i="12" s="1"/>
  <c r="I17" i="12"/>
  <c r="J17" i="12" s="1"/>
  <c r="K17" i="12" s="1"/>
  <c r="I18" i="12"/>
  <c r="J18" i="12" s="1"/>
  <c r="K18" i="12" s="1"/>
  <c r="I19" i="12"/>
  <c r="J19" i="12" s="1"/>
  <c r="I20" i="12"/>
  <c r="J20" i="12" s="1"/>
  <c r="K20" i="12" s="1"/>
  <c r="I22" i="12"/>
  <c r="J22" i="12" s="1"/>
  <c r="K22" i="12" s="1"/>
  <c r="I25" i="12"/>
  <c r="J25" i="12" s="1"/>
  <c r="K25" i="12" s="1"/>
  <c r="I26" i="12"/>
  <c r="J26" i="12" s="1"/>
  <c r="K26" i="12" s="1"/>
  <c r="I27" i="12"/>
  <c r="J27" i="12" s="1"/>
  <c r="K27" i="12" s="1"/>
  <c r="I28" i="12"/>
  <c r="J28" i="12" s="1"/>
  <c r="K28" i="12" s="1"/>
  <c r="I29" i="12"/>
  <c r="J29" i="12" s="1"/>
  <c r="K29" i="12" s="1"/>
  <c r="I30" i="12"/>
  <c r="J30" i="12" s="1"/>
  <c r="K30" i="12" s="1"/>
  <c r="I31" i="12"/>
  <c r="J31" i="12" s="1"/>
  <c r="K31" i="12" s="1"/>
  <c r="I34" i="12"/>
  <c r="J34" i="12" s="1"/>
  <c r="K34" i="12" s="1"/>
  <c r="I35" i="12"/>
  <c r="J35" i="12" s="1"/>
  <c r="K35" i="12" s="1"/>
  <c r="I36" i="12"/>
  <c r="J36" i="12" s="1"/>
  <c r="K36" i="12" s="1"/>
  <c r="I37" i="12"/>
  <c r="J37" i="12" s="1"/>
  <c r="K37" i="12" s="1"/>
  <c r="I38" i="12"/>
  <c r="J38" i="12" s="1"/>
  <c r="K38" i="12" s="1"/>
  <c r="I41" i="12"/>
  <c r="J41" i="12" s="1"/>
  <c r="I43" i="12"/>
  <c r="J43" i="12" s="1"/>
  <c r="I44" i="12"/>
  <c r="J44" i="12" s="1"/>
  <c r="K44" i="12" s="1"/>
  <c r="I46" i="12"/>
  <c r="J46" i="12" s="1"/>
  <c r="K46" i="12" s="1"/>
  <c r="I47" i="12"/>
  <c r="J47" i="12" s="1"/>
  <c r="K47" i="12" s="1"/>
  <c r="I48" i="12"/>
  <c r="J48" i="12" s="1"/>
  <c r="I49" i="12"/>
  <c r="J49" i="12" s="1"/>
  <c r="I50" i="12"/>
  <c r="J50" i="12" s="1"/>
  <c r="K50" i="12" s="1"/>
  <c r="I51" i="12"/>
  <c r="J51" i="12" s="1"/>
  <c r="K51" i="12" s="1"/>
  <c r="I52" i="12"/>
  <c r="J52" i="12" s="1"/>
  <c r="K52" i="12" s="1"/>
  <c r="I53" i="12"/>
  <c r="J53" i="12" s="1"/>
  <c r="K53" i="12" s="1"/>
  <c r="I54" i="12"/>
  <c r="J54" i="12" s="1"/>
  <c r="K54" i="12" s="1"/>
  <c r="I55" i="12"/>
  <c r="J55" i="12" s="1"/>
  <c r="K55" i="12" s="1"/>
  <c r="I3" i="12"/>
  <c r="J3" i="12" s="1"/>
  <c r="G4" i="12"/>
  <c r="G5" i="12"/>
  <c r="G6" i="12"/>
  <c r="G7" i="12"/>
  <c r="G8" i="12"/>
  <c r="G9" i="12"/>
  <c r="G10" i="12"/>
  <c r="G11" i="12"/>
  <c r="G13" i="12"/>
  <c r="G42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1" i="12"/>
  <c r="G34" i="12"/>
  <c r="G35" i="12"/>
  <c r="G36" i="12"/>
  <c r="G37" i="12"/>
  <c r="G38" i="12"/>
  <c r="G41" i="12"/>
  <c r="G43" i="12"/>
  <c r="G44" i="12"/>
  <c r="G46" i="12"/>
  <c r="G47" i="12"/>
  <c r="G48" i="12"/>
  <c r="G49" i="12"/>
  <c r="G50" i="12"/>
  <c r="G51" i="12"/>
  <c r="G52" i="12"/>
  <c r="G53" i="12"/>
  <c r="G54" i="12"/>
  <c r="G55" i="12"/>
  <c r="G3" i="12"/>
  <c r="F42" i="12"/>
  <c r="F14" i="12"/>
  <c r="F16" i="12"/>
  <c r="F17" i="12"/>
  <c r="F18" i="12"/>
  <c r="F19" i="12"/>
  <c r="H19" i="12" s="1"/>
  <c r="F20" i="12"/>
  <c r="F22" i="12"/>
  <c r="F25" i="12"/>
  <c r="F26" i="12"/>
  <c r="H26" i="12" s="1"/>
  <c r="F27" i="12"/>
  <c r="F28" i="12"/>
  <c r="F29" i="12"/>
  <c r="F30" i="12"/>
  <c r="F31" i="12"/>
  <c r="F34" i="12"/>
  <c r="F35" i="12"/>
  <c r="F36" i="12"/>
  <c r="F37" i="12"/>
  <c r="F38" i="12"/>
  <c r="F41" i="12"/>
  <c r="F43" i="12"/>
  <c r="F44" i="12"/>
  <c r="F46" i="12"/>
  <c r="F47" i="12"/>
  <c r="F48" i="12"/>
  <c r="F49" i="12"/>
  <c r="F50" i="12"/>
  <c r="F51" i="12"/>
  <c r="F52" i="12"/>
  <c r="F53" i="12"/>
  <c r="F54" i="12"/>
  <c r="F55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2" i="12" a="1"/>
  <c r="E42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2" i="12" a="1"/>
  <c r="E22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1" i="12" a="1"/>
  <c r="E31" i="12" s="1"/>
  <c r="E34" i="12" a="1"/>
  <c r="E34" i="12" s="1"/>
  <c r="E35" i="12" a="1"/>
  <c r="E35" i="12" s="1"/>
  <c r="E36" i="12" a="1"/>
  <c r="E36" i="12" s="1"/>
  <c r="E37" i="12" a="1"/>
  <c r="E37" i="12" s="1"/>
  <c r="E38" i="12" a="1"/>
  <c r="E38" i="12" s="1"/>
  <c r="E41" i="12" a="1"/>
  <c r="E41" i="12" s="1"/>
  <c r="E43" i="12" a="1"/>
  <c r="E43" i="12" s="1"/>
  <c r="E44" i="12" a="1"/>
  <c r="E44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55" i="12" a="1"/>
  <c r="E55" i="12" s="1"/>
  <c r="E3" i="12" a="1"/>
  <c r="E3" i="12" s="1"/>
  <c r="D42" i="12"/>
  <c r="D14" i="12"/>
  <c r="D16" i="12"/>
  <c r="D17" i="12"/>
  <c r="D18" i="12"/>
  <c r="D19" i="12"/>
  <c r="D20" i="12"/>
  <c r="D22" i="12"/>
  <c r="D25" i="12"/>
  <c r="D26" i="12"/>
  <c r="D27" i="12"/>
  <c r="D28" i="12"/>
  <c r="D29" i="12"/>
  <c r="D30" i="12"/>
  <c r="D31" i="12"/>
  <c r="D34" i="12"/>
  <c r="D35" i="12"/>
  <c r="D36" i="12"/>
  <c r="D37" i="12"/>
  <c r="D38" i="12"/>
  <c r="D41" i="12"/>
  <c r="D43" i="12"/>
  <c r="D44" i="12"/>
  <c r="D46" i="12"/>
  <c r="D47" i="12"/>
  <c r="D48" i="12"/>
  <c r="D49" i="12"/>
  <c r="D50" i="12"/>
  <c r="D51" i="12"/>
  <c r="D52" i="12"/>
  <c r="D53" i="12"/>
  <c r="D54" i="12"/>
  <c r="D55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2" i="12"/>
  <c r="C14" i="12"/>
  <c r="C16" i="12"/>
  <c r="C17" i="12"/>
  <c r="C18" i="12"/>
  <c r="C19" i="12"/>
  <c r="C20" i="12"/>
  <c r="C22" i="12"/>
  <c r="C25" i="12"/>
  <c r="C26" i="12"/>
  <c r="C27" i="12"/>
  <c r="C28" i="12"/>
  <c r="C29" i="12"/>
  <c r="C30" i="12"/>
  <c r="C31" i="12"/>
  <c r="C34" i="12"/>
  <c r="C35" i="12"/>
  <c r="C36" i="12"/>
  <c r="C37" i="12"/>
  <c r="C38" i="12"/>
  <c r="C41" i="12"/>
  <c r="C43" i="12"/>
  <c r="C44" i="12"/>
  <c r="C46" i="12"/>
  <c r="C47" i="12"/>
  <c r="C48" i="12"/>
  <c r="C49" i="12"/>
  <c r="C50" i="12"/>
  <c r="C51" i="12"/>
  <c r="C52" i="12"/>
  <c r="C53" i="12"/>
  <c r="C54" i="12"/>
  <c r="C55" i="12"/>
  <c r="C3" i="12"/>
  <c r="H30" i="12"/>
  <c r="H29" i="12"/>
  <c r="H28" i="12"/>
  <c r="H25" i="12"/>
  <c r="H20" i="12"/>
  <c r="H18" i="12"/>
  <c r="H17" i="12"/>
  <c r="H16" i="12"/>
  <c r="H14" i="12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AI381" i="9"/>
  <c r="AJ381" i="9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AI364" i="9"/>
  <c r="AJ364" i="9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AI325" i="9"/>
  <c r="AJ325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68" i="9"/>
  <c r="AH268" i="9"/>
  <c r="AI268" i="9"/>
  <c r="AJ268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AI259" i="9"/>
  <c r="AJ259" i="9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AI266" i="9"/>
  <c r="AJ266" i="9"/>
  <c r="AG267" i="9"/>
  <c r="AH267" i="9"/>
  <c r="AI267" i="9"/>
  <c r="AJ267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AI253" i="9"/>
  <c r="AJ253" i="9"/>
  <c r="AG254" i="9"/>
  <c r="AH254" i="9"/>
  <c r="AI254" i="9"/>
  <c r="AJ254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AI183" i="9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01" i="9"/>
  <c r="AH101" i="9"/>
  <c r="AI101" i="9"/>
  <c r="AJ101" i="9"/>
  <c r="AG102" i="9"/>
  <c r="AH102" i="9"/>
  <c r="AI102" i="9"/>
  <c r="AJ102" i="9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AI81" i="9"/>
  <c r="AJ81" i="9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AI58" i="9"/>
  <c r="AJ58" i="9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AI51" i="9"/>
  <c r="AJ51" i="9"/>
  <c r="AG52" i="9"/>
  <c r="AH52" i="9"/>
  <c r="AI52" i="9"/>
  <c r="AJ52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AI39" i="9"/>
  <c r="AJ39" i="9"/>
  <c r="AG40" i="9"/>
  <c r="AH40" i="9"/>
  <c r="AI40" i="9"/>
  <c r="AJ40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J2" i="9"/>
  <c r="AJ3" i="9"/>
  <c r="AJ4" i="9"/>
  <c r="AJ5" i="9"/>
  <c r="AJ6" i="9"/>
  <c r="AJ7" i="9"/>
  <c r="AJ8" i="9"/>
  <c r="AJ9" i="9"/>
  <c r="AJ10" i="9"/>
  <c r="AJ11" i="9"/>
  <c r="AJ12" i="9"/>
  <c r="AJ13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Q38" i="11"/>
  <c r="R38" i="11"/>
  <c r="S38" i="11"/>
  <c r="T38" i="11"/>
  <c r="U38" i="11"/>
  <c r="V38" i="11"/>
  <c r="W38" i="11"/>
  <c r="X38" i="11"/>
  <c r="Z38" i="11"/>
  <c r="AA38" i="11"/>
  <c r="AB38" i="11"/>
  <c r="AC38" i="11"/>
  <c r="AD38" i="11"/>
  <c r="AE38" i="11"/>
  <c r="P38" i="11"/>
  <c r="Q37" i="11"/>
  <c r="R37" i="11"/>
  <c r="S37" i="11"/>
  <c r="T37" i="11"/>
  <c r="U37" i="11"/>
  <c r="V37" i="11"/>
  <c r="W37" i="11"/>
  <c r="X37" i="11"/>
  <c r="Z37" i="11"/>
  <c r="AA37" i="11"/>
  <c r="AB37" i="11"/>
  <c r="AC37" i="11"/>
  <c r="AD37" i="11"/>
  <c r="AE37" i="11"/>
  <c r="P37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9" i="11"/>
  <c r="R29" i="11"/>
  <c r="S29" i="11"/>
  <c r="T29" i="11"/>
  <c r="U29" i="11"/>
  <c r="V29" i="11"/>
  <c r="W29" i="11"/>
  <c r="X29" i="11"/>
  <c r="Z29" i="11"/>
  <c r="AA29" i="11"/>
  <c r="AB29" i="11"/>
  <c r="AC29" i="11"/>
  <c r="AD29" i="11"/>
  <c r="AE29" i="11"/>
  <c r="P29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Q13" i="11"/>
  <c r="R13" i="11"/>
  <c r="S13" i="11"/>
  <c r="T13" i="11"/>
  <c r="U13" i="11"/>
  <c r="V13" i="11"/>
  <c r="W13" i="11"/>
  <c r="X13" i="11"/>
  <c r="Z13" i="11"/>
  <c r="AA13" i="11"/>
  <c r="AB13" i="11"/>
  <c r="AC13" i="11"/>
  <c r="AD13" i="11"/>
  <c r="AE13" i="11"/>
  <c r="P13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10" i="11"/>
  <c r="R10" i="11"/>
  <c r="S10" i="11"/>
  <c r="T10" i="11"/>
  <c r="U10" i="11"/>
  <c r="V10" i="11"/>
  <c r="W10" i="11"/>
  <c r="X10" i="11"/>
  <c r="Z10" i="11"/>
  <c r="AA10" i="11"/>
  <c r="AB10" i="11"/>
  <c r="AC10" i="11"/>
  <c r="AD10" i="11"/>
  <c r="AE10" i="11"/>
  <c r="P10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Q7" i="11"/>
  <c r="R7" i="11"/>
  <c r="S7" i="11"/>
  <c r="T7" i="11"/>
  <c r="U7" i="11"/>
  <c r="V7" i="11"/>
  <c r="W7" i="11"/>
  <c r="X7" i="11"/>
  <c r="Z7" i="11"/>
  <c r="AA7" i="11"/>
  <c r="AB7" i="11"/>
  <c r="AC7" i="11"/>
  <c r="AD7" i="11"/>
  <c r="AE7" i="11"/>
  <c r="P7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M3" i="11"/>
  <c r="N3" i="11" s="1"/>
  <c r="J4" i="11"/>
  <c r="K4" i="11" s="1"/>
  <c r="L4" i="11" s="1"/>
  <c r="J5" i="11"/>
  <c r="K5" i="11" s="1"/>
  <c r="J6" i="11"/>
  <c r="K6" i="11" s="1"/>
  <c r="J7" i="11"/>
  <c r="K7" i="11" s="1"/>
  <c r="J8" i="11"/>
  <c r="K8" i="11" s="1"/>
  <c r="J10" i="11"/>
  <c r="K10" i="11" s="1"/>
  <c r="J11" i="11"/>
  <c r="K11" i="11" s="1"/>
  <c r="L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L15" i="11" s="1"/>
  <c r="J16" i="11"/>
  <c r="K16" i="11" s="1"/>
  <c r="L16" i="11" s="1"/>
  <c r="J17" i="11"/>
  <c r="K17" i="11" s="1"/>
  <c r="J18" i="11"/>
  <c r="K18" i="11" s="1"/>
  <c r="L18" i="11" s="1"/>
  <c r="J20" i="11"/>
  <c r="K20" i="11" s="1"/>
  <c r="L20" i="11" s="1"/>
  <c r="J21" i="11"/>
  <c r="K21" i="11" s="1"/>
  <c r="J22" i="11"/>
  <c r="K22" i="11" s="1"/>
  <c r="L22" i="11" s="1"/>
  <c r="J23" i="11"/>
  <c r="K23" i="11" s="1"/>
  <c r="L23" i="11" s="1"/>
  <c r="J24" i="11"/>
  <c r="K24" i="11" s="1"/>
  <c r="L24" i="11" s="1"/>
  <c r="J25" i="11"/>
  <c r="K25" i="11" s="1"/>
  <c r="L25" i="11" s="1"/>
  <c r="J27" i="11"/>
  <c r="K27" i="11" s="1"/>
  <c r="J28" i="11"/>
  <c r="K28" i="11" s="1"/>
  <c r="J29" i="11"/>
  <c r="K29" i="11" s="1"/>
  <c r="L29" i="11" s="1"/>
  <c r="J30" i="11"/>
  <c r="K30" i="11" s="1"/>
  <c r="L30" i="11" s="1"/>
  <c r="J31" i="11"/>
  <c r="K31" i="11" s="1"/>
  <c r="L31" i="11" s="1"/>
  <c r="J32" i="11"/>
  <c r="K32" i="11" s="1"/>
  <c r="L32" i="11" s="1"/>
  <c r="J33" i="11"/>
  <c r="K33" i="11" s="1"/>
  <c r="L33" i="11" s="1"/>
  <c r="J35" i="11"/>
  <c r="K35" i="11" s="1"/>
  <c r="L35" i="11" s="1"/>
  <c r="J37" i="11"/>
  <c r="K37" i="11" s="1"/>
  <c r="J38" i="11"/>
  <c r="K38" i="11" s="1"/>
  <c r="L38" i="11" s="1"/>
  <c r="J39" i="11"/>
  <c r="K39" i="11" s="1"/>
  <c r="L39" i="11" s="1"/>
  <c r="J41" i="11"/>
  <c r="K41" i="11" s="1"/>
  <c r="J43" i="11"/>
  <c r="K43" i="11" s="1"/>
  <c r="L43" i="11" s="1"/>
  <c r="J44" i="11"/>
  <c r="K44" i="11" s="1"/>
  <c r="L44" i="11" s="1"/>
  <c r="J3" i="11"/>
  <c r="K3" i="11" s="1"/>
  <c r="L3" i="11" s="1"/>
  <c r="H4" i="11"/>
  <c r="H5" i="11"/>
  <c r="H6" i="11"/>
  <c r="H7" i="11"/>
  <c r="H8" i="11"/>
  <c r="H10" i="11"/>
  <c r="H11" i="11"/>
  <c r="H12" i="11"/>
  <c r="H13" i="11"/>
  <c r="H14" i="11"/>
  <c r="H15" i="11"/>
  <c r="H16" i="11"/>
  <c r="H17" i="11"/>
  <c r="H18" i="11"/>
  <c r="H20" i="11"/>
  <c r="H21" i="11"/>
  <c r="H22" i="11"/>
  <c r="H23" i="11"/>
  <c r="H24" i="11"/>
  <c r="H25" i="11"/>
  <c r="H27" i="11"/>
  <c r="H28" i="11"/>
  <c r="H29" i="11"/>
  <c r="H30" i="11"/>
  <c r="H31" i="11"/>
  <c r="H32" i="11"/>
  <c r="H33" i="11"/>
  <c r="H35" i="11"/>
  <c r="H37" i="11"/>
  <c r="H38" i="11"/>
  <c r="H39" i="11"/>
  <c r="H41" i="11"/>
  <c r="H43" i="11"/>
  <c r="H44" i="11"/>
  <c r="H3" i="11"/>
  <c r="G4" i="11"/>
  <c r="G5" i="11"/>
  <c r="G6" i="11"/>
  <c r="G7" i="11"/>
  <c r="G8" i="11"/>
  <c r="G10" i="11"/>
  <c r="G11" i="11"/>
  <c r="G12" i="11"/>
  <c r="G13" i="11"/>
  <c r="G14" i="11"/>
  <c r="G15" i="11"/>
  <c r="G16" i="11"/>
  <c r="G17" i="11"/>
  <c r="G18" i="11"/>
  <c r="G20" i="11"/>
  <c r="G21" i="11"/>
  <c r="G22" i="11"/>
  <c r="G23" i="11"/>
  <c r="G24" i="11"/>
  <c r="G25" i="11"/>
  <c r="G27" i="11"/>
  <c r="G28" i="11"/>
  <c r="G29" i="11"/>
  <c r="G30" i="11"/>
  <c r="G31" i="11"/>
  <c r="G32" i="11"/>
  <c r="G33" i="11"/>
  <c r="G35" i="11"/>
  <c r="G37" i="11"/>
  <c r="G38" i="11"/>
  <c r="G39" i="11"/>
  <c r="G41" i="11"/>
  <c r="G43" i="11"/>
  <c r="G44" i="11"/>
  <c r="G3" i="11"/>
  <c r="M4" i="11"/>
  <c r="N4" i="11" s="1"/>
  <c r="M5" i="11"/>
  <c r="N5" i="11" s="1"/>
  <c r="O5" i="11" s="1"/>
  <c r="M6" i="11"/>
  <c r="N6" i="11" s="1"/>
  <c r="O6" i="11" s="1"/>
  <c r="M7" i="11"/>
  <c r="N7" i="11" s="1"/>
  <c r="O7" i="11" s="1"/>
  <c r="M8" i="11"/>
  <c r="N8" i="11" s="1"/>
  <c r="O8" i="11" s="1"/>
  <c r="M11" i="11"/>
  <c r="N11" i="11" s="1"/>
  <c r="O11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7" i="11"/>
  <c r="N17" i="11" s="1"/>
  <c r="O17" i="11" s="1"/>
  <c r="M18" i="11"/>
  <c r="N18" i="11" s="1"/>
  <c r="O18" i="11" s="1"/>
  <c r="M20" i="11"/>
  <c r="N20" i="11" s="1"/>
  <c r="O20" i="11" s="1"/>
  <c r="M21" i="11"/>
  <c r="N21" i="11" s="1"/>
  <c r="O21" i="11" s="1"/>
  <c r="M22" i="11"/>
  <c r="N22" i="11" s="1"/>
  <c r="O22" i="11" s="1"/>
  <c r="M23" i="11"/>
  <c r="N23" i="11" s="1"/>
  <c r="O23" i="11" s="1"/>
  <c r="M24" i="11"/>
  <c r="M25" i="11"/>
  <c r="N25" i="11" s="1"/>
  <c r="M27" i="11"/>
  <c r="N27" i="11" s="1"/>
  <c r="M28" i="11"/>
  <c r="N28" i="11" s="1"/>
  <c r="M29" i="11"/>
  <c r="N29" i="11" s="1"/>
  <c r="M30" i="11"/>
  <c r="N30" i="11" s="1"/>
  <c r="M31" i="11"/>
  <c r="N31" i="11" s="1"/>
  <c r="O31" i="11" s="1"/>
  <c r="M32" i="11"/>
  <c r="N32" i="11" s="1"/>
  <c r="O32" i="11" s="1"/>
  <c r="M33" i="11"/>
  <c r="N33" i="11" s="1"/>
  <c r="O33" i="11" s="1"/>
  <c r="M35" i="11"/>
  <c r="N35" i="11" s="1"/>
  <c r="O35" i="11" s="1"/>
  <c r="M37" i="11"/>
  <c r="N37" i="11" s="1"/>
  <c r="O37" i="11" s="1"/>
  <c r="M38" i="11"/>
  <c r="N38" i="11" s="1"/>
  <c r="O38" i="11" s="1"/>
  <c r="M39" i="11"/>
  <c r="N39" i="11" s="1"/>
  <c r="O39" i="11" s="1"/>
  <c r="M41" i="11"/>
  <c r="N41" i="11" s="1"/>
  <c r="O41" i="11" s="1"/>
  <c r="M43" i="11"/>
  <c r="N43" i="11" s="1"/>
  <c r="M44" i="11"/>
  <c r="N44" i="11" s="1"/>
  <c r="O44" i="11" s="1"/>
  <c r="F11" i="11" a="1"/>
  <c r="F11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7" i="11" a="1"/>
  <c r="F27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5" i="11" a="1"/>
  <c r="F35" i="11" s="1"/>
  <c r="F37" i="11" a="1"/>
  <c r="F37" i="11" s="1"/>
  <c r="F38" i="11" a="1"/>
  <c r="F38" i="11" s="1"/>
  <c r="F39" i="11" a="1"/>
  <c r="F39" i="11" s="1"/>
  <c r="F41" i="11" a="1"/>
  <c r="F41" i="11" s="1"/>
  <c r="F43" i="11" a="1"/>
  <c r="F43" i="11" s="1"/>
  <c r="F44" i="11" a="1"/>
  <c r="F44" i="11" s="1"/>
  <c r="F3" i="11" a="1"/>
  <c r="F3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10" i="11" a="1"/>
  <c r="F10" i="11" s="1"/>
  <c r="E3" i="11"/>
  <c r="E4" i="11"/>
  <c r="E5" i="11"/>
  <c r="E6" i="11"/>
  <c r="E7" i="11"/>
  <c r="E8" i="11"/>
  <c r="E11" i="11"/>
  <c r="E12" i="11"/>
  <c r="E13" i="11"/>
  <c r="E14" i="11"/>
  <c r="E15" i="11"/>
  <c r="E16" i="11"/>
  <c r="E17" i="11"/>
  <c r="E18" i="11"/>
  <c r="E20" i="11"/>
  <c r="E21" i="11"/>
  <c r="E22" i="11"/>
  <c r="E23" i="11"/>
  <c r="E24" i="11"/>
  <c r="E25" i="11"/>
  <c r="E27" i="11"/>
  <c r="E28" i="11"/>
  <c r="E29" i="11"/>
  <c r="E30" i="11"/>
  <c r="E31" i="11"/>
  <c r="E32" i="11"/>
  <c r="E33" i="11"/>
  <c r="E35" i="11"/>
  <c r="E37" i="11"/>
  <c r="E38" i="11"/>
  <c r="E39" i="11"/>
  <c r="E41" i="11"/>
  <c r="E43" i="11"/>
  <c r="E44" i="11"/>
  <c r="D10" i="11"/>
  <c r="D11" i="11"/>
  <c r="D12" i="11"/>
  <c r="D13" i="11"/>
  <c r="D14" i="11"/>
  <c r="D15" i="11"/>
  <c r="D16" i="11"/>
  <c r="D17" i="11"/>
  <c r="D18" i="11"/>
  <c r="D20" i="11"/>
  <c r="D21" i="11"/>
  <c r="D22" i="11"/>
  <c r="D23" i="11"/>
  <c r="D24" i="11"/>
  <c r="D25" i="11"/>
  <c r="D27" i="11"/>
  <c r="D28" i="11"/>
  <c r="D29" i="11"/>
  <c r="D30" i="11"/>
  <c r="D31" i="11"/>
  <c r="D32" i="11"/>
  <c r="D33" i="11"/>
  <c r="D35" i="11"/>
  <c r="D37" i="11"/>
  <c r="D38" i="11"/>
  <c r="D39" i="11"/>
  <c r="D41" i="11"/>
  <c r="D43" i="11"/>
  <c r="D44" i="11"/>
  <c r="D3" i="11"/>
  <c r="D4" i="11"/>
  <c r="D5" i="11"/>
  <c r="D6" i="11"/>
  <c r="D7" i="11"/>
  <c r="D8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0" i="11"/>
  <c r="N10" i="11" s="1"/>
  <c r="E10" i="11"/>
  <c r="AA9" i="10"/>
  <c r="I20" i="11"/>
  <c r="I17" i="11"/>
  <c r="I13" i="11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H27" i="12" l="1"/>
  <c r="H11" i="12"/>
  <c r="I21" i="11"/>
  <c r="I2" i="11"/>
  <c r="L2" i="11"/>
  <c r="O3" i="11"/>
  <c r="O2" i="11"/>
  <c r="H10" i="12"/>
  <c r="H21" i="12"/>
  <c r="H6" i="12"/>
  <c r="N21" i="12"/>
  <c r="K21" i="12"/>
  <c r="H13" i="12"/>
  <c r="H8" i="12"/>
  <c r="H39" i="12"/>
  <c r="N39" i="12"/>
  <c r="K39" i="12"/>
  <c r="I19" i="11"/>
  <c r="O19" i="11"/>
  <c r="K19" i="11"/>
  <c r="L19" i="11" s="1"/>
  <c r="H4" i="12"/>
  <c r="H9" i="12"/>
  <c r="H5" i="12"/>
  <c r="H7" i="12"/>
  <c r="H37" i="12"/>
  <c r="H42" i="12"/>
  <c r="J42" i="12"/>
  <c r="K42" i="12" s="1"/>
  <c r="H46" i="12"/>
  <c r="K43" i="12"/>
  <c r="H44" i="12"/>
  <c r="H22" i="12"/>
  <c r="N50" i="12"/>
  <c r="N29" i="12"/>
  <c r="N10" i="12"/>
  <c r="H31" i="12"/>
  <c r="K49" i="12"/>
  <c r="K48" i="12"/>
  <c r="N44" i="12"/>
  <c r="N43" i="12"/>
  <c r="N41" i="12"/>
  <c r="N19" i="12"/>
  <c r="N54" i="12"/>
  <c r="N53" i="12"/>
  <c r="N3" i="12"/>
  <c r="K41" i="12"/>
  <c r="K19" i="12"/>
  <c r="H36" i="12"/>
  <c r="H55" i="12"/>
  <c r="H35" i="12"/>
  <c r="H54" i="12"/>
  <c r="H34" i="12"/>
  <c r="H53" i="12"/>
  <c r="H52" i="12"/>
  <c r="H51" i="12"/>
  <c r="H50" i="12"/>
  <c r="H49" i="12"/>
  <c r="H48" i="12"/>
  <c r="H47" i="12"/>
  <c r="H43" i="12"/>
  <c r="H41" i="12"/>
  <c r="H38" i="12"/>
  <c r="H3" i="12"/>
  <c r="L37" i="11"/>
  <c r="L17" i="11"/>
  <c r="L8" i="11"/>
  <c r="L41" i="11"/>
  <c r="L21" i="11"/>
  <c r="I23" i="11"/>
  <c r="I27" i="11"/>
  <c r="I24" i="11"/>
  <c r="I22" i="11"/>
  <c r="I16" i="11"/>
  <c r="I15" i="11"/>
  <c r="I14" i="11"/>
  <c r="I18" i="11"/>
  <c r="I25" i="11"/>
  <c r="L6" i="11"/>
  <c r="L5" i="11"/>
  <c r="O27" i="11"/>
  <c r="O4" i="11"/>
  <c r="I12" i="11"/>
  <c r="N24" i="11"/>
  <c r="O24" i="11" s="1"/>
  <c r="I11" i="11"/>
  <c r="I28" i="11"/>
  <c r="O25" i="11"/>
  <c r="L27" i="11"/>
  <c r="O30" i="11"/>
  <c r="O29" i="11"/>
  <c r="O43" i="11"/>
  <c r="O28" i="11"/>
  <c r="L7" i="11"/>
  <c r="L28" i="11"/>
  <c r="I4" i="11"/>
  <c r="I5" i="11"/>
  <c r="I6" i="11"/>
  <c r="I3" i="11"/>
  <c r="I8" i="11"/>
  <c r="I7" i="11"/>
  <c r="I41" i="11"/>
  <c r="I39" i="11"/>
  <c r="I38" i="11"/>
  <c r="I37" i="11"/>
  <c r="I35" i="11"/>
  <c r="I33" i="11"/>
  <c r="I32" i="11"/>
  <c r="I31" i="11"/>
  <c r="I30" i="11"/>
  <c r="I29" i="11"/>
  <c r="I44" i="11"/>
  <c r="I43" i="11"/>
  <c r="L10" i="11"/>
  <c r="O10" i="11"/>
  <c r="I10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K3" i="12"/>
</calcChain>
</file>

<file path=xl/sharedStrings.xml><?xml version="1.0" encoding="utf-8"?>
<sst xmlns="http://schemas.openxmlformats.org/spreadsheetml/2006/main" count="1933" uniqueCount="156">
  <si>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</si>
  <si>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</si>
  <si>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</si>
  <si>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</si>
  <si>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</si>
  <si>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</si>
  <si>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</si>
  <si>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</si>
  <si>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</si>
  <si>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</si>
  <si>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</si>
  <si>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</si>
  <si>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</si>
  <si>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</si>
  <si>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</si>
  <si>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</si>
  <si>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</si>
  <si>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</si>
  <si>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</si>
  <si>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</si>
  <si>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</si>
  <si>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</si>
  <si>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</si>
  <si>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</si>
  <si>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</si>
  <si>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</si>
  <si>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</si>
  <si>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</si>
  <si>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</si>
  <si>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</si>
  <si>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</si>
  <si>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</si>
  <si>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</si>
  <si>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</si>
  <si>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</si>
  <si>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</si>
  <si>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</si>
  <si>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</si>
  <si>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</si>
  <si>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</si>
  <si>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</si>
  <si>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</si>
  <si>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</si>
  <si>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</si>
  <si>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</si>
  <si>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</si>
  <si>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</si>
  <si>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</si>
  <si>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</si>
  <si>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</si>
  <si>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</si>
  <si>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</si>
  <si>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</si>
  <si>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</si>
  <si>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</si>
  <si>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</si>
  <si>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</si>
  <si>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</si>
  <si>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</si>
  <si>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</si>
  <si>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</si>
  <si>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</si>
  <si>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</si>
  <si>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</si>
  <si>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</si>
  <si>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</si>
  <si>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</si>
  <si>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</si>
  <si>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</si>
  <si>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</si>
  <si>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</si>
  <si>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</si>
  <si>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</si>
  <si>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</si>
  <si>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</si>
  <si>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</si>
  <si>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</si>
  <si>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</si>
  <si>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</si>
  <si>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</si>
  <si>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</si>
  <si>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</si>
  <si>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</si>
  <si>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</si>
  <si>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</si>
  <si>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</si>
  <si>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</si>
  <si>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</si>
  <si>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</si>
  <si>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</si>
  <si>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</si>
  <si>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</si>
  <si>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</si>
  <si>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</si>
  <si>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</si>
  <si>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</si>
  <si>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</si>
  <si>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</si>
  <si>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</si>
  <si>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</si>
  <si>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</si>
  <si>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</si>
  <si>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</si>
  <si>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</si>
  <si>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</si>
  <si>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</si>
  <si>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</si>
  <si>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</si>
  <si>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</si>
  <si>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</si>
  <si>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</si>
  <si>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</si>
  <si>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</si>
  <si>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</si>
  <si>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</si>
  <si>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</si>
  <si>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</si>
  <si>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</si>
  <si>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</si>
  <si>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</si>
  <si>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</si>
  <si>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</si>
  <si>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</si>
  <si>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</si>
  <si>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</si>
  <si>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</si>
  <si>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</si>
  <si>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</si>
  <si>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</si>
  <si>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</si>
  <si>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</si>
  <si>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</si>
  <si>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</si>
  <si>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</si>
  <si>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</si>
  <si>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</si>
  <si>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</si>
  <si>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</si>
  <si>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</si>
  <si>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</si>
  <si>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</si>
  <si>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</si>
  <si>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</si>
  <si>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</si>
  <si>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</si>
  <si>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</si>
  <si>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</si>
  <si>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</si>
  <si>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</si>
  <si>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</si>
  <si>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</si>
  <si>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</si>
  <si>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</si>
  <si>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</si>
  <si>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</si>
  <si>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Daddy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</si>
</sst>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52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141</v>
      </c>
      <c r="B2" s="2" t="s">
        <v>79</v>
      </c>
      <c r="C2" s="2" t="s">
        <v>79</v>
      </c>
      <c r="D2" s="89">
        <f>SUMIFS('OB History'!C:C,'OB History'!B:B,A2)</f>
        <v>4</v>
      </c>
      <c r="E2" s="90">
        <f>AVERAGEIFS('OB History'!C:C,'OB History'!B:B,A2)</f>
        <v>4</v>
      </c>
      <c r="F2" s="91">
        <f t="array" ref="F2">MAX(IF('OB History'!B:B=A2, 'OB History'!C:C))</f>
        <v>4</v>
      </c>
      <c r="G2" s="89">
        <f>COUNTIFS('OB History'!B:B,A2,'OB History'!D:D, 1)</f>
        <v>1</v>
      </c>
      <c r="H2" s="92">
        <f>COUNTIFS('OB History'!B:B,A2,'OB History'!D:D, 0)</f>
        <v>0</v>
      </c>
      <c r="I2" s="41">
        <f t="shared" ref="I2:I44" si="0">G2/(G2+H2)</f>
        <v>1</v>
      </c>
      <c r="J2" s="89">
        <f>SUMIFS('OB History'!F:F,'OB History'!B:B,A2)</f>
        <v>3</v>
      </c>
      <c r="K2" s="92">
        <f>SUMIFS('OB History'!E:E,'OB History'!B:B,A2)-J2</f>
        <v>2</v>
      </c>
      <c r="L2" s="41">
        <f t="shared" ref="L2:L44" si="1">J2/(J2+K2)</f>
        <v>0.6</v>
      </c>
      <c r="M2" s="89">
        <f>SUMIFS('OB History'!H:H,'OB History'!B:B,A2)</f>
        <v>12</v>
      </c>
      <c r="N2" s="92">
        <f>SUMIFS('OB History'!G:G,'OB History'!B:B,A2)-M2</f>
        <v>9</v>
      </c>
      <c r="O2" s="41">
        <f t="shared" ref="O2:O44" si="2">M2/(M2+N2)</f>
        <v>0.5714285714285714</v>
      </c>
      <c r="P2" s="92">
        <f>COUNTIFS('OB History'!$B:$B,$A$2,'OB History'!K:K, 1)</f>
        <v>0</v>
      </c>
      <c r="Q2" s="92">
        <f>COUNTIFS('OB History'!$B:$B,$A$2,'OB History'!L:L, 1)</f>
        <v>0</v>
      </c>
      <c r="R2" s="92">
        <f>COUNTIFS('OB History'!$B:$B,$A$2,'OB History'!M:M, 1)</f>
        <v>0</v>
      </c>
      <c r="S2" s="92">
        <f>COUNTIFS('OB History'!$B:$B,$A$2,'OB History'!N:N, 1)</f>
        <v>0</v>
      </c>
      <c r="T2" s="92">
        <f>COUNTIFS('OB History'!$B:$B,$A$2,'OB History'!O:O, 1)</f>
        <v>0</v>
      </c>
      <c r="U2" s="92">
        <f>COUNTIFS('OB History'!$B:$B,$A$2,'OB History'!P:P, 1)</f>
        <v>1</v>
      </c>
      <c r="V2" s="92">
        <f>COUNTIFS('OB History'!$B:$B,$A$2,'OB History'!Q:Q, 1)</f>
        <v>0</v>
      </c>
      <c r="W2" s="92">
        <f>COUNTIFS('OB History'!$B:$B,$A$2,'OB History'!R:R, 1)</f>
        <v>0</v>
      </c>
      <c r="X2" s="92">
        <f>COUNTIFS('OB History'!$B:$B,$A$2,'OB History'!S:S, 1)</f>
        <v>0</v>
      </c>
      <c r="Y2" s="92">
        <f>COUNTIFS('OB History'!$B:$B,$A$2,'OB History'!T:T, 1)</f>
        <v>0</v>
      </c>
      <c r="Z2" s="92">
        <f>COUNTIFS('OB History'!$B:$B,$A$2,'OB History'!U:U, 1)</f>
        <v>0</v>
      </c>
      <c r="AA2" s="92">
        <f>COUNTIFS('OB History'!$B:$B,$A$2,'OB History'!V:V, 1)</f>
        <v>1</v>
      </c>
      <c r="AB2" s="92">
        <f>COUNTIFS('OB History'!$B:$B,$A$2,'OB History'!W:W, 1)</f>
        <v>0</v>
      </c>
      <c r="AC2" s="92">
        <f>COUNTIFS('OB History'!$B:$B,$A$2,'OB History'!X:X, 1)</f>
        <v>1</v>
      </c>
      <c r="AD2" s="92">
        <f>COUNTIFS('OB History'!$B:$B,$A$2,'OB History'!Y:Y, 1)</f>
        <v>0</v>
      </c>
      <c r="AE2" s="92">
        <f>COUNTIFS('OB History'!$B:$B,$A$2,'OB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89">
        <f>SUMIFS('OB History'!C:C,'OB History'!B:B,A3)</f>
        <v>293</v>
      </c>
      <c r="E3" s="90">
        <f>AVERAGEIFS('OB History'!C:C,'OB History'!B:B,A3)</f>
        <v>19.533333333333335</v>
      </c>
      <c r="F3" s="91">
        <f t="array" ref="F3">MAX(IF('OB History'!B:B=A3, 'OB History'!C:C))</f>
        <v>33</v>
      </c>
      <c r="G3" s="89">
        <f>COUNTIFS('OB History'!B:B,A3,'OB History'!D:D, 1)</f>
        <v>6</v>
      </c>
      <c r="H3" s="92">
        <f>COUNTIFS('OB History'!B:B,A3,'OB History'!D:D, 0)</f>
        <v>9</v>
      </c>
      <c r="I3" s="41">
        <f t="shared" si="0"/>
        <v>0.4</v>
      </c>
      <c r="J3" s="89">
        <f>SUMIFS('OB History'!F:F,'OB History'!B:B,A3)</f>
        <v>28</v>
      </c>
      <c r="K3" s="92">
        <f>SUMIFS('OB History'!E:E,'OB History'!B:B,A3)-J3</f>
        <v>34</v>
      </c>
      <c r="L3" s="41">
        <f t="shared" si="1"/>
        <v>0.45161290322580644</v>
      </c>
      <c r="M3" s="89">
        <f>SUMIFS('OB History'!H:H,'OB History'!B:B,A3)</f>
        <v>119</v>
      </c>
      <c r="N3" s="92">
        <f>SUMIFS('OB History'!G:G,'OB History'!B:B,A3)-M3</f>
        <v>131</v>
      </c>
      <c r="O3" s="41">
        <f t="shared" si="2"/>
        <v>0.47599999999999998</v>
      </c>
      <c r="P3" s="92">
        <f>COUNTIFS('OB History'!$B:$B,$A$3,'OB History'!K:K, 1)</f>
        <v>3</v>
      </c>
      <c r="Q3" s="92">
        <f>COUNTIFS('OB History'!$B:$B,$A$3,'OB History'!L:L, 1)</f>
        <v>0</v>
      </c>
      <c r="R3" s="92">
        <f>COUNTIFS('OB History'!$B:$B,$A$3,'OB History'!M:M, 1)</f>
        <v>0</v>
      </c>
      <c r="S3" s="92">
        <f>COUNTIFS('OB History'!$B:$B,$A$3,'OB History'!N:N, 1)</f>
        <v>5</v>
      </c>
      <c r="T3" s="92">
        <f>COUNTIFS('OB History'!$B:$B,$A$3,'OB History'!O:O, 1)</f>
        <v>1</v>
      </c>
      <c r="U3" s="92">
        <f>COUNTIFS('OB History'!$B:$B,$A$3,'OB History'!P:P, 1)</f>
        <v>4</v>
      </c>
      <c r="V3" s="92">
        <f>COUNTIFS('OB History'!$B:$B,$A$3,'OB History'!Q:Q, 1)</f>
        <v>0</v>
      </c>
      <c r="W3" s="92">
        <f>COUNTIFS('OB History'!$B:$B,$A$3,'OB History'!R:R, 1)</f>
        <v>0</v>
      </c>
      <c r="X3" s="92">
        <f>COUNTIFS('OB History'!$B:$B,$A$3,'OB History'!S:S, 1)</f>
        <v>0</v>
      </c>
      <c r="Y3" s="92">
        <f>COUNTIFS('OB History'!$B:$B,$A$3,'OB History'!T:T, 1)</f>
        <v>0</v>
      </c>
      <c r="Z3" s="92">
        <f>COUNTIFS('OB History'!$B:$B,$A$3,'OB History'!U:U, 1)</f>
        <v>0</v>
      </c>
      <c r="AA3" s="92">
        <f>COUNTIFS('OB History'!$B:$B,$A$3,'OB History'!V:V, 1)</f>
        <v>0</v>
      </c>
      <c r="AB3" s="92">
        <f>COUNTIFS('OB History'!$B:$B,$A$3,'OB History'!W:W, 1)</f>
        <v>1</v>
      </c>
      <c r="AC3" s="92">
        <f>COUNTIFS('OB History'!$B:$B,$A$3,'OB History'!X:X, 1)</f>
        <v>6</v>
      </c>
      <c r="AD3" s="92">
        <f>COUNTIFS('OB History'!$B:$B,$A$3,'OB History'!Y:Y, 1)</f>
        <v>1</v>
      </c>
      <c r="AE3" s="92">
        <f>COUNTIFS('OB History'!$B:$B,$A$3,'OB History'!Z:Z, 1)</f>
        <v>7</v>
      </c>
    </row>
    <row r="4" spans="1:31" x14ac:dyDescent="0.25">
      <c r="A4" s="2" t="s">
        <v>34</v>
      </c>
      <c r="B4" s="2" t="s">
        <v>79</v>
      </c>
      <c r="C4" s="2" t="s">
        <v>79</v>
      </c>
      <c r="D4" s="89">
        <f>SUMIFS('OB History'!C:C,'OB History'!B:B,A4)</f>
        <v>11</v>
      </c>
      <c r="E4" s="90">
        <f>AVERAGEIFS('OB History'!C:C,'OB History'!B:B,A4)</f>
        <v>5.5</v>
      </c>
      <c r="F4" s="91">
        <f t="array" ref="F4">MAX(IF('OB History'!B:B=A4, 'OB History'!C:C))</f>
        <v>6</v>
      </c>
      <c r="G4" s="89">
        <f>COUNTIFS('OB History'!B:B,A4,'OB History'!D:D, 1)</f>
        <v>2</v>
      </c>
      <c r="H4" s="92">
        <f>COUNTIFS('OB History'!B:B,A4,'OB History'!D:D, 0)</f>
        <v>0</v>
      </c>
      <c r="I4" s="41">
        <f t="shared" si="0"/>
        <v>1</v>
      </c>
      <c r="J4" s="89">
        <f>SUMIFS('OB History'!F:F,'OB History'!B:B,A4)</f>
        <v>6</v>
      </c>
      <c r="K4" s="92">
        <f>SUMIFS('OB History'!E:E,'OB History'!B:B,A4)-J4</f>
        <v>1</v>
      </c>
      <c r="L4" s="41">
        <f t="shared" si="1"/>
        <v>0.8571428571428571</v>
      </c>
      <c r="M4" s="89">
        <f>SUMIFS('OB History'!H:H,'OB History'!B:B,'Old Bow v2'!A4)</f>
        <v>19</v>
      </c>
      <c r="N4" s="92">
        <f>SUMIFS('OB History'!G:G,'OB History'!B:B,'Old Bow v2'!A4)-M4</f>
        <v>8</v>
      </c>
      <c r="O4" s="41">
        <f t="shared" si="2"/>
        <v>0.70370370370370372</v>
      </c>
      <c r="P4" s="92">
        <f>COUNTIFS('OB History'!$B:$B,$A$4,'OB History'!K:K, 1)</f>
        <v>0</v>
      </c>
      <c r="Q4" s="92">
        <f>COUNTIFS('OB History'!$B:$B,$A$4,'OB History'!L:L, 1)</f>
        <v>1</v>
      </c>
      <c r="R4" s="92">
        <f>COUNTIFS('OB History'!$B:$B,$A$4,'OB History'!M:M, 1)</f>
        <v>0</v>
      </c>
      <c r="S4" s="92">
        <f>COUNTIFS('OB History'!$B:$B,$A$4,'OB History'!N:N, 1)</f>
        <v>2</v>
      </c>
      <c r="T4" s="92">
        <f>COUNTIFS('OB History'!$B:$B,$A$4,'OB History'!O:O, 1)</f>
        <v>0</v>
      </c>
      <c r="U4" s="92">
        <f>COUNTIFS('OB History'!$B:$B,$A$4,'OB History'!P:P, 1)</f>
        <v>1</v>
      </c>
      <c r="V4" s="92">
        <f>COUNTIFS('OB History'!$B:$B,$A$4,'OB History'!Q:Q, 1)</f>
        <v>0</v>
      </c>
      <c r="W4" s="92">
        <f>COUNTIFS('OB History'!$B:$B,$A$4,'OB History'!R:R, 1)</f>
        <v>0</v>
      </c>
      <c r="X4" s="92">
        <f>COUNTIFS('OB History'!$B:$B,$A$4,'OB History'!S:S, 1)</f>
        <v>0</v>
      </c>
      <c r="Y4" s="92">
        <f>COUNTIFS('OB History'!$B:$B,$A$4,'OB History'!T:T, 1)</f>
        <v>0</v>
      </c>
      <c r="Z4" s="92">
        <f>COUNTIFS('OB History'!$B:$B,$A$4,'OB History'!U:U, 1)</f>
        <v>0</v>
      </c>
      <c r="AA4" s="92">
        <f>COUNTIFS('OB History'!$B:$B,$A$4,'OB History'!V:V, 1)</f>
        <v>0</v>
      </c>
      <c r="AB4" s="92">
        <f>COUNTIFS('OB History'!$B:$B,$A$4,'OB History'!W:W, 1)</f>
        <v>1</v>
      </c>
      <c r="AC4" s="92">
        <f>COUNTIFS('OB History'!$B:$B,$A$4,'OB History'!X:X, 1)</f>
        <v>1</v>
      </c>
      <c r="AD4" s="92">
        <f>COUNTIFS('OB History'!$B:$B,$A$4,'OB History'!Y:Y, 1)</f>
        <v>0</v>
      </c>
      <c r="AE4" s="92">
        <f>COUNTIFS('OB History'!$B:$B,$A$4,'OB History'!Z:Z, 1)</f>
        <v>0</v>
      </c>
    </row>
    <row r="5" spans="1:31" ht="15.75" x14ac:dyDescent="0.25">
      <c r="A5" s="2" t="s">
        <v>35</v>
      </c>
      <c r="B5" s="80" t="s">
        <v>60</v>
      </c>
      <c r="C5" s="2" t="s">
        <v>79</v>
      </c>
      <c r="D5" s="89">
        <f>SUMIFS('OB History'!C:C,'OB History'!B:B,A5)</f>
        <v>145</v>
      </c>
      <c r="E5" s="90">
        <f>AVERAGEIFS('OB History'!C:C,'OB History'!B:B,A5)</f>
        <v>11.153846153846153</v>
      </c>
      <c r="F5" s="91">
        <f t="array" ref="F5">MAX(IF('OB History'!B:B=A5, 'OB History'!C:C))</f>
        <v>21</v>
      </c>
      <c r="G5" s="89">
        <f>COUNTIFS('OB History'!B:B,A5,'OB History'!D:D, 1)</f>
        <v>9</v>
      </c>
      <c r="H5" s="92">
        <f>COUNTIFS('OB History'!B:B,A5,'OB History'!D:D, 0)</f>
        <v>4</v>
      </c>
      <c r="I5" s="41">
        <f t="shared" si="0"/>
        <v>0.69230769230769229</v>
      </c>
      <c r="J5" s="89">
        <f>SUMIFS('OB History'!F:F,'OB History'!B:B,A5)</f>
        <v>29</v>
      </c>
      <c r="K5" s="92">
        <f>SUMIFS('OB History'!E:E,'OB History'!B:B,A5)-J5</f>
        <v>24</v>
      </c>
      <c r="L5" s="41">
        <f t="shared" si="1"/>
        <v>0.54716981132075471</v>
      </c>
      <c r="M5" s="89">
        <f>SUMIFS('OB History'!H:H,'OB History'!B:B,'Old Bow v2'!A5)</f>
        <v>117</v>
      </c>
      <c r="N5" s="92">
        <f>SUMIFS('OB History'!G:G,'OB History'!B:B,'Old Bow v2'!A5)-M5</f>
        <v>102</v>
      </c>
      <c r="O5" s="41">
        <f t="shared" si="2"/>
        <v>0.53424657534246578</v>
      </c>
      <c r="P5" s="92">
        <f>COUNTIFS('OB History'!$B:$B,$A$5,'OB History'!K:K, 1)</f>
        <v>2</v>
      </c>
      <c r="Q5" s="92">
        <f>COUNTIFS('OB History'!$B:$B,$A$5,'OB History'!L:L, 1)</f>
        <v>3</v>
      </c>
      <c r="R5" s="92">
        <f>COUNTIFS('OB History'!$B:$B,$A$5,'OB History'!M:M, 1)</f>
        <v>1</v>
      </c>
      <c r="S5" s="92">
        <f>COUNTIFS('OB History'!$B:$B,$A$5,'OB History'!N:N, 1)</f>
        <v>4</v>
      </c>
      <c r="T5" s="92">
        <f>COUNTIFS('OB History'!$B:$B,$A$5,'OB History'!O:O, 1)</f>
        <v>0</v>
      </c>
      <c r="U5" s="92">
        <f>COUNTIFS('OB History'!$B:$B,$A$5,'OB History'!P:P, 1)</f>
        <v>5</v>
      </c>
      <c r="V5" s="92">
        <f>COUNTIFS('OB History'!$B:$B,$A$5,'OB History'!Q:Q, 1)</f>
        <v>0</v>
      </c>
      <c r="W5" s="92">
        <f>COUNTIFS('OB History'!$B:$B,$A$5,'OB History'!R:R, 1)</f>
        <v>1</v>
      </c>
      <c r="X5" s="92">
        <f>COUNTIFS('OB History'!$B:$B,$A$5,'OB History'!S:S, 1)</f>
        <v>0</v>
      </c>
      <c r="Y5" s="92">
        <f>COUNTIFS('OB History'!$B:$B,$A$5,'OB History'!T:T, 1)</f>
        <v>0</v>
      </c>
      <c r="Z5" s="92">
        <f>COUNTIFS('OB History'!$B:$B,$A$5,'OB History'!U:U, 1)</f>
        <v>0</v>
      </c>
      <c r="AA5" s="92">
        <f>COUNTIFS('OB History'!$B:$B,$A$5,'OB History'!V:V, 1)</f>
        <v>0</v>
      </c>
      <c r="AB5" s="92">
        <f>COUNTIFS('OB History'!$B:$B,$A$5,'OB History'!W:W, 1)</f>
        <v>4</v>
      </c>
      <c r="AC5" s="92">
        <f>COUNTIFS('OB History'!$B:$B,$A$5,'OB History'!X:X, 1)</f>
        <v>4</v>
      </c>
      <c r="AD5" s="92">
        <f>COUNTIFS('OB History'!$B:$B,$A$5,'OB History'!Y:Y, 1)</f>
        <v>1</v>
      </c>
      <c r="AE5" s="92">
        <f>COUNTIFS('OB History'!$B:$B,$A$5,'OB History'!Z:Z, 1)</f>
        <v>4</v>
      </c>
    </row>
    <row r="6" spans="1:31" x14ac:dyDescent="0.25">
      <c r="A6" s="2" t="s">
        <v>19</v>
      </c>
      <c r="B6" s="2" t="s">
        <v>79</v>
      </c>
      <c r="C6" s="2" t="s">
        <v>79</v>
      </c>
      <c r="D6" s="89">
        <f>SUMIFS('OB History'!C:C,'OB History'!B:B,A6)</f>
        <v>314</v>
      </c>
      <c r="E6" s="90">
        <f>AVERAGEIFS('OB History'!C:C,'OB History'!B:B,A6)</f>
        <v>12.076923076923077</v>
      </c>
      <c r="F6" s="91">
        <f t="array" ref="F6">MAX(IF('OB History'!B:B=A6, 'OB History'!C:C))</f>
        <v>26</v>
      </c>
      <c r="G6" s="89">
        <f>COUNTIFS('OB History'!B:B,A6,'OB History'!D:D, 1)</f>
        <v>10</v>
      </c>
      <c r="H6" s="92">
        <f>COUNTIFS('OB History'!B:B,A6,'OB History'!D:D, 0)</f>
        <v>16</v>
      </c>
      <c r="I6" s="41">
        <f t="shared" si="0"/>
        <v>0.38461538461538464</v>
      </c>
      <c r="J6" s="89">
        <f>SUMIFS('OB History'!F:F,'OB History'!B:B,A6)</f>
        <v>46</v>
      </c>
      <c r="K6" s="92">
        <f>SUMIFS('OB History'!E:E,'OB History'!B:B,A6)-J6</f>
        <v>63</v>
      </c>
      <c r="L6" s="41">
        <f t="shared" si="1"/>
        <v>0.42201834862385323</v>
      </c>
      <c r="M6" s="89">
        <f>SUMIFS('OB History'!H:H,'OB History'!B:B,'Old Bow v2'!A6)</f>
        <v>209</v>
      </c>
      <c r="N6" s="92">
        <f>SUMIFS('OB History'!G:G,'OB History'!B:B,'Old Bow v2'!A6)-M6</f>
        <v>241</v>
      </c>
      <c r="O6" s="41">
        <f t="shared" si="2"/>
        <v>0.46444444444444444</v>
      </c>
      <c r="P6" s="92">
        <f>COUNTIFS('OB History'!$B:$B,$A$6,'OB History'!K:K, 1)</f>
        <v>3</v>
      </c>
      <c r="Q6" s="92">
        <f>COUNTIFS('OB History'!$B:$B,$A$6,'OB History'!L:L, 1)</f>
        <v>1</v>
      </c>
      <c r="R6" s="92">
        <f>COUNTIFS('OB History'!$B:$B,$A$6,'OB History'!M:M, 1)</f>
        <v>1</v>
      </c>
      <c r="S6" s="92">
        <f>COUNTIFS('OB History'!$B:$B,$A$6,'OB History'!N:N, 1)</f>
        <v>5</v>
      </c>
      <c r="T6" s="92">
        <f>COUNTIFS('OB History'!$B:$B,$A$6,'OB History'!O:O, 1)</f>
        <v>1</v>
      </c>
      <c r="U6" s="92">
        <f>COUNTIFS('OB History'!$B:$B,$A$6,'OB History'!P:P, 1)</f>
        <v>7</v>
      </c>
      <c r="V6" s="92">
        <f>COUNTIFS('OB History'!$B:$B,$A$6,'OB History'!Q:Q, 1)</f>
        <v>1</v>
      </c>
      <c r="W6" s="92">
        <f>COUNTIFS('OB History'!$B:$B,$A$6,'OB History'!R:R, 1)</f>
        <v>0</v>
      </c>
      <c r="X6" s="92">
        <f>COUNTIFS('OB History'!$B:$B,$A$6,'OB History'!S:S, 1)</f>
        <v>1</v>
      </c>
      <c r="Y6" s="92">
        <f>COUNTIFS('OB History'!$B:$B,$A$6,'OB History'!T:T, 1)</f>
        <v>0</v>
      </c>
      <c r="Z6" s="92">
        <f>COUNTIFS('OB History'!$B:$B,$A$6,'OB History'!U:U, 1)</f>
        <v>1</v>
      </c>
      <c r="AA6" s="92">
        <f>COUNTIFS('OB History'!$B:$B,$A$6,'OB History'!V:V, 1)</f>
        <v>1</v>
      </c>
      <c r="AB6" s="92">
        <f>COUNTIFS('OB History'!$B:$B,$A$6,'OB History'!W:W, 1)</f>
        <v>4</v>
      </c>
      <c r="AC6" s="92">
        <f>COUNTIFS('OB History'!$B:$B,$A$6,'OB History'!X:X, 1)</f>
        <v>11</v>
      </c>
      <c r="AD6" s="92">
        <f>COUNTIFS('OB History'!$B:$B,$A$6,'OB History'!Y:Y, 1)</f>
        <v>0</v>
      </c>
      <c r="AE6" s="92">
        <f>COUNTIFS('OB History'!$B:$B,$A$6,'OB History'!Z:Z, 1)</f>
        <v>9</v>
      </c>
    </row>
    <row r="7" spans="1:31" x14ac:dyDescent="0.25">
      <c r="A7" s="1" t="s">
        <v>42</v>
      </c>
      <c r="B7" s="72" t="s">
        <v>79</v>
      </c>
      <c r="C7" s="2" t="s">
        <v>79</v>
      </c>
      <c r="D7" s="89">
        <f>SUMIFS('OB History'!C:C,'OB History'!B:B,A7)</f>
        <v>27</v>
      </c>
      <c r="E7" s="90">
        <f>AVERAGEIFS('OB History'!C:C,'OB History'!B:B,A7)</f>
        <v>9</v>
      </c>
      <c r="F7" s="91">
        <f t="array" ref="F7">MAX(IF('OB History'!B:B=A7, 'OB History'!C:C))</f>
        <v>12</v>
      </c>
      <c r="G7" s="89">
        <f>COUNTIFS('OB History'!B:B,A7,'OB History'!D:D, 1)</f>
        <v>1</v>
      </c>
      <c r="H7" s="92">
        <f>COUNTIFS('OB History'!B:B,A7,'OB History'!D:D, 0)</f>
        <v>2</v>
      </c>
      <c r="I7" s="42">
        <f t="shared" si="0"/>
        <v>0.33333333333333331</v>
      </c>
      <c r="J7" s="89">
        <f>SUMIFS('OB History'!F:F,'OB History'!B:B,A7)</f>
        <v>5</v>
      </c>
      <c r="K7" s="92">
        <f>SUMIFS('OB History'!E:E,'OB History'!B:B,A7)-J7</f>
        <v>8</v>
      </c>
      <c r="L7" s="42">
        <f t="shared" si="1"/>
        <v>0.38461538461538464</v>
      </c>
      <c r="M7" s="89">
        <f>SUMIFS('OB History'!H:H,'OB History'!B:B,'Old Bow v2'!A7)</f>
        <v>20</v>
      </c>
      <c r="N7" s="92">
        <f>SUMIFS('OB History'!G:G,'OB History'!B:B,'Old Bow v2'!A7)-M7</f>
        <v>31</v>
      </c>
      <c r="O7" s="42">
        <f t="shared" si="2"/>
        <v>0.39215686274509803</v>
      </c>
      <c r="P7" s="92">
        <f>COUNTIFS('OB History'!$B:$B,$A$7,'OB History'!K:K, 1)</f>
        <v>0</v>
      </c>
      <c r="Q7" s="92">
        <f>COUNTIFS('OB History'!$B:$B,$A$7,'OB History'!L:L, 1)</f>
        <v>1</v>
      </c>
      <c r="R7" s="92">
        <f>COUNTIFS('OB History'!$B:$B,$A$7,'OB History'!M:M, 1)</f>
        <v>0</v>
      </c>
      <c r="S7" s="92">
        <f>COUNTIFS('OB History'!$B:$B,$A$7,'OB History'!N:N, 1)</f>
        <v>0</v>
      </c>
      <c r="T7" s="92">
        <f>COUNTIFS('OB History'!$B:$B,$A$7,'OB History'!O:O, 1)</f>
        <v>1</v>
      </c>
      <c r="U7" s="92">
        <f>COUNTIFS('OB History'!$B:$B,$A$7,'OB History'!P:P, 1)</f>
        <v>0</v>
      </c>
      <c r="V7" s="92">
        <f>COUNTIFS('OB History'!$B:$B,$A$7,'OB History'!Q:Q, 1)</f>
        <v>0</v>
      </c>
      <c r="W7" s="92">
        <f>COUNTIFS('OB History'!$B:$B,$A$7,'OB History'!R:R, 1)</f>
        <v>0</v>
      </c>
      <c r="X7" s="92">
        <f>COUNTIFS('OB History'!$B:$B,$A$7,'OB History'!S:S, 1)</f>
        <v>0</v>
      </c>
      <c r="Y7" s="92">
        <f>COUNTIFS('OB History'!$B:$B,$A$7,'OB History'!T:T, 1)</f>
        <v>0</v>
      </c>
      <c r="Z7" s="92">
        <f>COUNTIFS('OB History'!$B:$B,$A$7,'OB History'!U:U, 1)</f>
        <v>0</v>
      </c>
      <c r="AA7" s="92">
        <f>COUNTIFS('OB History'!$B:$B,$A$7,'OB History'!V:V, 1)</f>
        <v>1</v>
      </c>
      <c r="AB7" s="92">
        <f>COUNTIFS('OB History'!$B:$B,$A$7,'OB History'!W:W, 1)</f>
        <v>1</v>
      </c>
      <c r="AC7" s="92">
        <f>COUNTIFS('OB History'!$B:$B,$A$7,'OB History'!X:X, 1)</f>
        <v>0</v>
      </c>
      <c r="AD7" s="92">
        <f>COUNTIFS('OB History'!$B:$B,$A$7,'OB History'!Y:Y, 1)</f>
        <v>1</v>
      </c>
      <c r="AE7" s="92">
        <f>COUNTIFS('OB History'!$B:$B,$A$7,'OB History'!Z:Z, 1)</f>
        <v>0</v>
      </c>
    </row>
    <row r="8" spans="1:31" x14ac:dyDescent="0.25">
      <c r="A8" s="2" t="s">
        <v>25</v>
      </c>
      <c r="B8" s="2" t="s">
        <v>79</v>
      </c>
      <c r="C8" s="2" t="s">
        <v>79</v>
      </c>
      <c r="D8" s="89">
        <f>SUMIFS('OB History'!C:C,'OB History'!B:B,A8)</f>
        <v>199</v>
      </c>
      <c r="E8" s="90">
        <f>AVERAGEIFS('OB History'!C:C,'OB History'!B:B,A8)</f>
        <v>16.583333333333332</v>
      </c>
      <c r="F8" s="91">
        <f t="array" ref="F8">MAX(IF('OB History'!B:B=A8, 'OB History'!C:C))</f>
        <v>31</v>
      </c>
      <c r="G8" s="89">
        <f>COUNTIFS('OB History'!B:B,A8,'OB History'!D:D, 1)</f>
        <v>7</v>
      </c>
      <c r="H8" s="92">
        <f>COUNTIFS('OB History'!B:B,A8,'OB History'!D:D, 0)</f>
        <v>5</v>
      </c>
      <c r="I8" s="41">
        <f t="shared" si="0"/>
        <v>0.58333333333333337</v>
      </c>
      <c r="J8" s="89">
        <f>SUMIFS('OB History'!F:F,'OB History'!B:B,A8)</f>
        <v>30</v>
      </c>
      <c r="K8" s="92">
        <f>SUMIFS('OB History'!E:E,'OB History'!B:B,A8)-J8</f>
        <v>19</v>
      </c>
      <c r="L8" s="41">
        <f t="shared" si="1"/>
        <v>0.61224489795918369</v>
      </c>
      <c r="M8" s="89">
        <f>SUMIFS('OB History'!H:H,'OB History'!B:B,'Old Bow v2'!A8)</f>
        <v>115</v>
      </c>
      <c r="N8" s="92">
        <f>SUMIFS('OB History'!G:G,'OB History'!B:B,'Old Bow v2'!A8)-M8</f>
        <v>90</v>
      </c>
      <c r="O8" s="41">
        <f t="shared" si="2"/>
        <v>0.56097560975609762</v>
      </c>
      <c r="P8" s="92">
        <f>COUNTIFS('OB History'!$B:$B,$A$8,'OB History'!K:K, 1)</f>
        <v>2</v>
      </c>
      <c r="Q8" s="92">
        <f>COUNTIFS('OB History'!$B:$B,$A$8,'OB History'!L:L, 1)</f>
        <v>0</v>
      </c>
      <c r="R8" s="92">
        <f>COUNTIFS('OB History'!$B:$B,$A$8,'OB History'!M:M, 1)</f>
        <v>0</v>
      </c>
      <c r="S8" s="92">
        <f>COUNTIFS('OB History'!$B:$B,$A$8,'OB History'!N:N, 1)</f>
        <v>4</v>
      </c>
      <c r="T8" s="92">
        <f>COUNTIFS('OB History'!$B:$B,$A$8,'OB History'!O:O, 1)</f>
        <v>0</v>
      </c>
      <c r="U8" s="92">
        <f>COUNTIFS('OB History'!$B:$B,$A$8,'OB History'!P:P, 1)</f>
        <v>3</v>
      </c>
      <c r="V8" s="92">
        <f>COUNTIFS('OB History'!$B:$B,$A$8,'OB History'!Q:Q, 1)</f>
        <v>3</v>
      </c>
      <c r="W8" s="92">
        <f>COUNTIFS('OB History'!$B:$B,$A$8,'OB History'!R:R, 1)</f>
        <v>2</v>
      </c>
      <c r="X8" s="92">
        <f>COUNTIFS('OB History'!$B:$B,$A$8,'OB History'!S:S, 1)</f>
        <v>0</v>
      </c>
      <c r="Y8" s="92">
        <f>COUNTIFS('OB History'!$B:$B,$A$8,'OB History'!T:T, 1)</f>
        <v>1</v>
      </c>
      <c r="Z8" s="92">
        <f>COUNTIFS('OB History'!$B:$B,$A$8,'OB History'!U:U, 1)</f>
        <v>0</v>
      </c>
      <c r="AA8" s="92">
        <f>COUNTIFS('OB History'!$B:$B,$A$8,'OB History'!V:V, 1)</f>
        <v>1</v>
      </c>
      <c r="AB8" s="92">
        <f>COUNTIFS('OB History'!$B:$B,$A$8,'OB History'!W:W, 1)</f>
        <v>3</v>
      </c>
      <c r="AC8" s="92">
        <f>COUNTIFS('OB History'!$B:$B,$A$8,'OB History'!X:X, 1)</f>
        <v>4</v>
      </c>
      <c r="AD8" s="92">
        <f>COUNTIFS('OB History'!$B:$B,$A$8,'OB History'!Y:Y, 1)</f>
        <v>2</v>
      </c>
      <c r="AE8" s="92">
        <f>COUNTIFS('OB History'!$B:$B,$A$8,'OB History'!Z:Z, 1)</f>
        <v>5</v>
      </c>
    </row>
    <row r="9" spans="1:31" x14ac:dyDescent="0.25">
      <c r="A9" s="2" t="s">
        <v>147</v>
      </c>
      <c r="B9" s="2" t="s">
        <v>79</v>
      </c>
      <c r="C9" s="2" t="s">
        <v>79</v>
      </c>
      <c r="D9" s="89">
        <f>SUMIFS('OB History'!C:C,'OB History'!B:B,A9)</f>
        <v>57</v>
      </c>
      <c r="E9" s="90">
        <f>AVERAGEIFS('OB History'!C:C,'OB History'!B:B,A9)</f>
        <v>14.25</v>
      </c>
      <c r="F9" s="91">
        <f t="array" ref="F9">MAX(IF('OB History'!B:B=A9, 'OB History'!C:C))</f>
        <v>21</v>
      </c>
      <c r="G9" s="89">
        <f>COUNTIFS('OB History'!B:B,A9,'OB History'!D:D, 1)</f>
        <v>2</v>
      </c>
      <c r="H9" s="92">
        <f>COUNTIFS('OB History'!B:B,A9,'OB History'!D:D, 0)</f>
        <v>2</v>
      </c>
      <c r="I9" s="41">
        <f t="shared" ref="I9" si="3">G9/(G9+H9)</f>
        <v>0.5</v>
      </c>
      <c r="J9" s="89">
        <f>SUMIFS('OB History'!F:F,'OB History'!B:B,A9)</f>
        <v>9</v>
      </c>
      <c r="K9" s="92">
        <f>SUMIFS('OB History'!E:E,'OB History'!B:B,A9)-J9</f>
        <v>10</v>
      </c>
      <c r="L9" s="41">
        <f t="shared" ref="L9" si="4">J9/(J9+K9)</f>
        <v>0.47368421052631576</v>
      </c>
      <c r="M9" s="89">
        <f>SUMIFS('OB History'!H:H,'OB History'!B:B,'Old Bow v2'!A9)</f>
        <v>37</v>
      </c>
      <c r="N9" s="92">
        <f>SUMIFS('OB History'!G:G,'OB History'!B:B,'Old Bow v2'!A9)-M9</f>
        <v>40</v>
      </c>
      <c r="O9" s="41">
        <f t="shared" ref="O9" si="5">M9/(M9+N9)</f>
        <v>0.48051948051948051</v>
      </c>
      <c r="P9" s="92">
        <f>COUNTIFS('OB History'!$B:$B,$A$9,'OB History'!K:K, 1)</f>
        <v>0</v>
      </c>
      <c r="Q9" s="92">
        <f>COUNTIFS('OB History'!$B:$B,$A$9,'OB History'!L:L, 1)</f>
        <v>0</v>
      </c>
      <c r="R9" s="92">
        <f>COUNTIFS('OB History'!$B:$B,$A$9,'OB History'!M:M, 1)</f>
        <v>1</v>
      </c>
      <c r="S9" s="92">
        <f>COUNTIFS('OB History'!$B:$B,$A$9,'OB History'!N:N, 1)</f>
        <v>1</v>
      </c>
      <c r="T9" s="92">
        <f>COUNTIFS('OB History'!$B:$B,$A$9,'OB History'!O:O, 1)</f>
        <v>0</v>
      </c>
      <c r="U9" s="92">
        <f>COUNTIFS('OB History'!$B:$B,$A$9,'OB History'!P:P, 1)</f>
        <v>0</v>
      </c>
      <c r="V9" s="92">
        <f>COUNTIFS('OB History'!$B:$B,$A$9,'OB History'!Q:Q, 1)</f>
        <v>0</v>
      </c>
      <c r="W9" s="92">
        <f>COUNTIFS('OB History'!$B:$B,$A$9,'OB History'!R:R, 1)</f>
        <v>1</v>
      </c>
      <c r="X9" s="92">
        <f>COUNTIFS('OB History'!$B:$B,$A$9,'OB History'!S:S, 1)</f>
        <v>0</v>
      </c>
      <c r="Y9" s="92">
        <f>COUNTIFS('OB History'!$B:$B,$A$9,'OB History'!T:T, 1)</f>
        <v>0</v>
      </c>
      <c r="Z9" s="92">
        <f>COUNTIFS('OB History'!$B:$B,$A$9,'OB History'!U:U, 1)</f>
        <v>0</v>
      </c>
      <c r="AA9" s="92">
        <f>COUNTIFS('OB History'!$B:$B,$A$9,'OB History'!V:V, 1)</f>
        <v>1</v>
      </c>
      <c r="AB9" s="92">
        <f>COUNTIFS('OB History'!$B:$B,$A$9,'OB History'!W:W, 1)</f>
        <v>0</v>
      </c>
      <c r="AC9" s="92">
        <f>COUNTIFS('OB History'!$B:$B,$A$9,'OB History'!X:X, 1)</f>
        <v>4</v>
      </c>
      <c r="AD9" s="92">
        <f>COUNTIFS('OB History'!$B:$B,$A$9,'OB History'!Y:Y, 1)</f>
        <v>1</v>
      </c>
      <c r="AE9" s="92">
        <f>COUNTIFS('OB History'!$B:$B,$A$9,'OB History'!Z:Z, 1)</f>
        <v>0</v>
      </c>
    </row>
    <row r="10" spans="1:31" x14ac:dyDescent="0.25">
      <c r="A10" s="2" t="s">
        <v>27</v>
      </c>
      <c r="B10" s="6" t="s">
        <v>76</v>
      </c>
      <c r="C10" s="6" t="s">
        <v>79</v>
      </c>
      <c r="D10" s="89">
        <f>SUMIFS('OB History'!C:C,'OB History'!B:B,A10)</f>
        <v>231</v>
      </c>
      <c r="E10" s="90">
        <f>AVERAGEIFS('OB History'!C:C,'OB History'!B:B,A10)</f>
        <v>14.4375</v>
      </c>
      <c r="F10" s="91">
        <f t="array" ref="F10">MAX(IF('OB History'!B:B=A10, 'OB History'!C:C))</f>
        <v>29</v>
      </c>
      <c r="G10" s="89">
        <f>COUNTIFS('OB History'!B:B,A10,'OB History'!D:D, 1)</f>
        <v>8</v>
      </c>
      <c r="H10" s="92">
        <f>COUNTIFS('OB History'!B:B,A10,'OB History'!D:D, 0)</f>
        <v>8</v>
      </c>
      <c r="I10" s="88">
        <f t="shared" si="0"/>
        <v>0.5</v>
      </c>
      <c r="J10" s="89">
        <f>SUMIFS('OB History'!F:F,'OB History'!B:B,A10)</f>
        <v>32</v>
      </c>
      <c r="K10" s="92">
        <f>SUMIFS('OB History'!E:E,'OB History'!B:B,A10)-J10</f>
        <v>34</v>
      </c>
      <c r="L10" s="88">
        <f t="shared" si="1"/>
        <v>0.48484848484848486</v>
      </c>
      <c r="M10" s="89">
        <f>SUMIFS('OB History'!H:H,'OB History'!B:B,'Old Bow v2'!A10)</f>
        <v>135</v>
      </c>
      <c r="N10" s="92">
        <f>SUMIFS('OB History'!G:G,'OB History'!B:B,'Old Bow v2'!A10)-M10</f>
        <v>142</v>
      </c>
      <c r="O10" s="88">
        <f t="shared" si="2"/>
        <v>0.48736462093862815</v>
      </c>
      <c r="P10" s="92">
        <f>COUNTIFS('OB History'!$B:$B,$A$10,'OB History'!K:K, 1)</f>
        <v>0</v>
      </c>
      <c r="Q10" s="92">
        <f>COUNTIFS('OB History'!$B:$B,$A$10,'OB History'!L:L, 1)</f>
        <v>1</v>
      </c>
      <c r="R10" s="92">
        <f>COUNTIFS('OB History'!$B:$B,$A$10,'OB History'!M:M, 1)</f>
        <v>2</v>
      </c>
      <c r="S10" s="92">
        <f>COUNTIFS('OB History'!$B:$B,$A$10,'OB History'!N:N, 1)</f>
        <v>2</v>
      </c>
      <c r="T10" s="92">
        <f>COUNTIFS('OB History'!$B:$B,$A$10,'OB History'!O:O, 1)</f>
        <v>3</v>
      </c>
      <c r="U10" s="92">
        <f>COUNTIFS('OB History'!$B:$B,$A$10,'OB History'!P:P, 1)</f>
        <v>5</v>
      </c>
      <c r="V10" s="92">
        <f>COUNTIFS('OB History'!$B:$B,$A$10,'OB History'!Q:Q, 1)</f>
        <v>1</v>
      </c>
      <c r="W10" s="92">
        <f>COUNTIFS('OB History'!$B:$B,$A$10,'OB History'!R:R, 1)</f>
        <v>0</v>
      </c>
      <c r="X10" s="92">
        <f>COUNTIFS('OB History'!$B:$B,$A$10,'OB History'!S:S, 1)</f>
        <v>0</v>
      </c>
      <c r="Y10" s="92">
        <f>COUNTIFS('OB History'!$B:$B,$A$10,'OB History'!T:T, 1)</f>
        <v>0</v>
      </c>
      <c r="Z10" s="92">
        <f>COUNTIFS('OB History'!$B:$B,$A$10,'OB History'!U:U, 1)</f>
        <v>0</v>
      </c>
      <c r="AA10" s="92">
        <f>COUNTIFS('OB History'!$B:$B,$A$10,'OB History'!V:V, 1)</f>
        <v>1</v>
      </c>
      <c r="AB10" s="92">
        <f>COUNTIFS('OB History'!$B:$B,$A$10,'OB History'!W:W, 1)</f>
        <v>4</v>
      </c>
      <c r="AC10" s="92">
        <f>COUNTIFS('OB History'!$B:$B,$A$10,'OB History'!X:X, 1)</f>
        <v>6</v>
      </c>
      <c r="AD10" s="92">
        <f>COUNTIFS('OB History'!$B:$B,$A$10,'OB History'!Y:Y, 1)</f>
        <v>2</v>
      </c>
      <c r="AE10" s="92">
        <f>COUNTIFS('OB History'!$B:$B,$A$10,'OB History'!Z:Z, 1)</f>
        <v>5</v>
      </c>
    </row>
    <row r="11" spans="1:31" x14ac:dyDescent="0.25">
      <c r="A11" s="2" t="s">
        <v>26</v>
      </c>
      <c r="B11" s="6" t="s">
        <v>60</v>
      </c>
      <c r="C11" s="6" t="s">
        <v>79</v>
      </c>
      <c r="D11" s="89">
        <f>SUMIFS('OB History'!C:C,'OB History'!B:B,A11)</f>
        <v>256</v>
      </c>
      <c r="E11" s="90">
        <f>AVERAGEIFS('OB History'!C:C,'OB History'!B:B,A11)</f>
        <v>12.19047619047619</v>
      </c>
      <c r="F11" s="91">
        <f t="array" ref="F11">MAX(IF('OB History'!B:B=A11, 'OB History'!C:C))</f>
        <v>24</v>
      </c>
      <c r="G11" s="89">
        <f>COUNTIFS('OB History'!B:B,A11,'OB History'!D:D, 1)</f>
        <v>16</v>
      </c>
      <c r="H11" s="92">
        <f>COUNTIFS('OB History'!B:B,A11,'OB History'!D:D, 0)</f>
        <v>5</v>
      </c>
      <c r="I11" s="41">
        <f t="shared" si="0"/>
        <v>0.76190476190476186</v>
      </c>
      <c r="J11" s="89">
        <f>SUMIFS('OB History'!F:F,'OB History'!B:B,A11)</f>
        <v>56</v>
      </c>
      <c r="K11" s="92">
        <f>SUMIFS('OB History'!E:E,'OB History'!B:B,A11)-J11</f>
        <v>32</v>
      </c>
      <c r="L11" s="41">
        <f t="shared" si="1"/>
        <v>0.63636363636363635</v>
      </c>
      <c r="M11" s="89">
        <f>SUMIFS('OB History'!H:H,'OB History'!B:B,'Old Bow v2'!A11)</f>
        <v>206</v>
      </c>
      <c r="N11" s="92">
        <f>SUMIFS('OB History'!G:G,'OB History'!B:B,'Old Bow v2'!A11)-M11</f>
        <v>157</v>
      </c>
      <c r="O11" s="41">
        <f t="shared" si="2"/>
        <v>0.56749311294765836</v>
      </c>
      <c r="P11" s="92">
        <f>COUNTIFS('OB History'!$B:$B,$A$11,'OB History'!K:K, 1)</f>
        <v>1</v>
      </c>
      <c r="Q11" s="92">
        <f>COUNTIFS('OB History'!$B:$B,$A$11,'OB History'!L:L, 1)</f>
        <v>3</v>
      </c>
      <c r="R11" s="92">
        <f>COUNTIFS('OB History'!$B:$B,$A$11,'OB History'!M:M, 1)</f>
        <v>2</v>
      </c>
      <c r="S11" s="92">
        <f>COUNTIFS('OB History'!$B:$B,$A$11,'OB History'!N:N, 1)</f>
        <v>8</v>
      </c>
      <c r="T11" s="92">
        <f>COUNTIFS('OB History'!$B:$B,$A$11,'OB History'!O:O, 1)</f>
        <v>4</v>
      </c>
      <c r="U11" s="92">
        <f>COUNTIFS('OB History'!$B:$B,$A$11,'OB History'!P:P, 1)</f>
        <v>9</v>
      </c>
      <c r="V11" s="92">
        <f>COUNTIFS('OB History'!$B:$B,$A$11,'OB History'!Q:Q, 1)</f>
        <v>4</v>
      </c>
      <c r="W11" s="92">
        <f>COUNTIFS('OB History'!$B:$B,$A$11,'OB History'!R:R, 1)</f>
        <v>2</v>
      </c>
      <c r="X11" s="92">
        <f>COUNTIFS('OB History'!$B:$B,$A$11,'OB History'!S:S, 1)</f>
        <v>1</v>
      </c>
      <c r="Y11" s="92">
        <f>COUNTIFS('OB History'!$B:$B,$A$11,'OB History'!T:T, 1)</f>
        <v>1</v>
      </c>
      <c r="Z11" s="92">
        <f>COUNTIFS('OB History'!$B:$B,$A$11,'OB History'!U:U, 1)</f>
        <v>1</v>
      </c>
      <c r="AA11" s="92">
        <f>COUNTIFS('OB History'!$B:$B,$A$11,'OB History'!V:V, 1)</f>
        <v>2</v>
      </c>
      <c r="AB11" s="92">
        <f>COUNTIFS('OB History'!$B:$B,$A$11,'OB History'!W:W, 1)</f>
        <v>5</v>
      </c>
      <c r="AC11" s="92">
        <f>COUNTIFS('OB History'!$B:$B,$A$11,'OB History'!X:X, 1)</f>
        <v>6</v>
      </c>
      <c r="AD11" s="92">
        <f>COUNTIFS('OB History'!$B:$B,$A$11,'OB History'!Y:Y, 1)</f>
        <v>2</v>
      </c>
      <c r="AE11" s="92">
        <f>COUNTIFS('OB History'!$B:$B,$A$11,'OB History'!Z:Z, 1)</f>
        <v>5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89">
        <f>SUMIFS('OB History'!C:C,'OB History'!B:B,A12)</f>
        <v>183</v>
      </c>
      <c r="E12" s="90">
        <f>AVERAGEIFS('OB History'!C:C,'OB History'!B:B,A12)</f>
        <v>12.2</v>
      </c>
      <c r="F12" s="91">
        <f t="array" ref="F12">MAX(IF('OB History'!B:B=A12, 'OB History'!C:C))</f>
        <v>19</v>
      </c>
      <c r="G12" s="89">
        <f>COUNTIFS('OB History'!B:B,A12,'OB History'!D:D, 1)</f>
        <v>5</v>
      </c>
      <c r="H12" s="92">
        <f>COUNTIFS('OB History'!B:B,A12,'OB History'!D:D, 0)</f>
        <v>10</v>
      </c>
      <c r="I12" s="42">
        <f t="shared" si="0"/>
        <v>0.33333333333333331</v>
      </c>
      <c r="J12" s="89">
        <f>SUMIFS('OB History'!F:F,'OB History'!B:B,A12)</f>
        <v>28</v>
      </c>
      <c r="K12" s="92">
        <f>SUMIFS('OB History'!E:E,'OB History'!B:B,A12)-J12</f>
        <v>35</v>
      </c>
      <c r="L12" s="42">
        <f t="shared" si="1"/>
        <v>0.44444444444444442</v>
      </c>
      <c r="M12" s="89">
        <f>SUMIFS('OB History'!H:H,'OB History'!B:B,'Old Bow v2'!A12)</f>
        <v>124</v>
      </c>
      <c r="N12" s="92">
        <f>SUMIFS('OB History'!G:G,'OB History'!B:B,'Old Bow v2'!A12)-M12</f>
        <v>135</v>
      </c>
      <c r="O12" s="42">
        <f t="shared" si="2"/>
        <v>0.47876447876447875</v>
      </c>
      <c r="P12" s="92">
        <f>COUNTIFS('OB History'!$B:$B,$A$12,'OB History'!K:K, 1)</f>
        <v>0</v>
      </c>
      <c r="Q12" s="92">
        <f>COUNTIFS('OB History'!$B:$B,$A$12,'OB History'!L:L, 1)</f>
        <v>2</v>
      </c>
      <c r="R12" s="92">
        <f>COUNTIFS('OB History'!$B:$B,$A$12,'OB History'!M:M, 1)</f>
        <v>0</v>
      </c>
      <c r="S12" s="92">
        <f>COUNTIFS('OB History'!$B:$B,$A$12,'OB History'!N:N, 1)</f>
        <v>6</v>
      </c>
      <c r="T12" s="92">
        <f>COUNTIFS('OB History'!$B:$B,$A$12,'OB History'!O:O, 1)</f>
        <v>0</v>
      </c>
      <c r="U12" s="92">
        <f>COUNTIFS('OB History'!$B:$B,$A$12,'OB History'!P:P, 1)</f>
        <v>4</v>
      </c>
      <c r="V12" s="92">
        <f>COUNTIFS('OB History'!$B:$B,$A$12,'OB History'!Q:Q, 1)</f>
        <v>0</v>
      </c>
      <c r="W12" s="92">
        <f>COUNTIFS('OB History'!$B:$B,$A$12,'OB History'!R:R, 1)</f>
        <v>0</v>
      </c>
      <c r="X12" s="92">
        <f>COUNTIFS('OB History'!$B:$B,$A$12,'OB History'!S:S, 1)</f>
        <v>0</v>
      </c>
      <c r="Y12" s="92">
        <f>COUNTIFS('OB History'!$B:$B,$A$12,'OB History'!T:T, 1)</f>
        <v>0</v>
      </c>
      <c r="Z12" s="92">
        <f>COUNTIFS('OB History'!$B:$B,$A$12,'OB History'!U:U, 1)</f>
        <v>0</v>
      </c>
      <c r="AA12" s="92">
        <f>COUNTIFS('OB History'!$B:$B,$A$12,'OB History'!V:V, 1)</f>
        <v>0</v>
      </c>
      <c r="AB12" s="92">
        <f>COUNTIFS('OB History'!$B:$B,$A$12,'OB History'!W:W, 1)</f>
        <v>2</v>
      </c>
      <c r="AC12" s="92">
        <f>COUNTIFS('OB History'!$B:$B,$A$12,'OB History'!X:X, 1)</f>
        <v>6</v>
      </c>
      <c r="AD12" s="92">
        <f>COUNTIFS('OB History'!$B:$B,$A$12,'OB History'!Y:Y, 1)</f>
        <v>3</v>
      </c>
      <c r="AE12" s="92">
        <f>COUNTIFS('OB History'!$B:$B,$A$12,'OB History'!Z:Z, 1)</f>
        <v>5</v>
      </c>
    </row>
    <row r="13" spans="1:31" x14ac:dyDescent="0.25">
      <c r="A13" s="2" t="s">
        <v>50</v>
      </c>
      <c r="B13" s="2" t="s">
        <v>79</v>
      </c>
      <c r="C13" s="2" t="s">
        <v>79</v>
      </c>
      <c r="D13" s="89">
        <f>SUMIFS('OB History'!C:C,'OB History'!B:B,A13)</f>
        <v>26</v>
      </c>
      <c r="E13" s="90">
        <f>AVERAGEIFS('OB History'!C:C,'OB History'!B:B,A13)</f>
        <v>13</v>
      </c>
      <c r="F13" s="91">
        <f t="array" ref="F13">MAX(IF('OB History'!B:B=A13, 'OB History'!C:C))</f>
        <v>14</v>
      </c>
      <c r="G13" s="89">
        <f>COUNTIFS('OB History'!B:B,A13,'OB History'!D:D, 1)</f>
        <v>0</v>
      </c>
      <c r="H13" s="92">
        <f>COUNTIFS('OB History'!B:B,A13,'OB History'!D:D, 0)</f>
        <v>2</v>
      </c>
      <c r="I13" s="42">
        <f t="shared" si="0"/>
        <v>0</v>
      </c>
      <c r="J13" s="89">
        <f>SUMIFS('OB History'!F:F,'OB History'!B:B,A13)</f>
        <v>2</v>
      </c>
      <c r="K13" s="92">
        <f>SUMIFS('OB History'!E:E,'OB History'!B:B,A13)-J13</f>
        <v>6</v>
      </c>
      <c r="L13" s="42">
        <f t="shared" si="1"/>
        <v>0.25</v>
      </c>
      <c r="M13" s="89">
        <f>SUMIFS('OB History'!H:H,'OB History'!B:B,'Old Bow v2'!A13)</f>
        <v>13</v>
      </c>
      <c r="N13" s="92">
        <f>SUMIFS('OB History'!G:G,'OB History'!B:B,'Old Bow v2'!A13)-M13</f>
        <v>22</v>
      </c>
      <c r="O13" s="42">
        <f t="shared" si="2"/>
        <v>0.37142857142857144</v>
      </c>
      <c r="P13" s="92">
        <f>COUNTIFS('OB History'!$B:$B,$A$13,'OB History'!K:K, 1)</f>
        <v>0</v>
      </c>
      <c r="Q13" s="92">
        <f>COUNTIFS('OB History'!$B:$B,$A$13,'OB History'!L:L, 1)</f>
        <v>0</v>
      </c>
      <c r="R13" s="92">
        <f>COUNTIFS('OB History'!$B:$B,$A$13,'OB History'!M:M, 1)</f>
        <v>0</v>
      </c>
      <c r="S13" s="92">
        <f>COUNTIFS('OB History'!$B:$B,$A$13,'OB History'!N:N, 1)</f>
        <v>0</v>
      </c>
      <c r="T13" s="92">
        <f>COUNTIFS('OB History'!$B:$B,$A$13,'OB History'!O:O, 1)</f>
        <v>0</v>
      </c>
      <c r="U13" s="92">
        <f>COUNTIFS('OB History'!$B:$B,$A$13,'OB History'!P:P, 1)</f>
        <v>1</v>
      </c>
      <c r="V13" s="92">
        <f>COUNTIFS('OB History'!$B:$B,$A$13,'OB History'!Q:Q, 1)</f>
        <v>0</v>
      </c>
      <c r="W13" s="92">
        <f>COUNTIFS('OB History'!$B:$B,$A$13,'OB History'!R:R, 1)</f>
        <v>0</v>
      </c>
      <c r="X13" s="92">
        <f>COUNTIFS('OB History'!$B:$B,$A$13,'OB History'!S:S, 1)</f>
        <v>0</v>
      </c>
      <c r="Y13" s="92">
        <f>COUNTIFS('OB History'!$B:$B,$A$13,'OB History'!T:T, 1)</f>
        <v>0</v>
      </c>
      <c r="Z13" s="92">
        <f>COUNTIFS('OB History'!$B:$B,$A$13,'OB History'!U:U, 1)</f>
        <v>0</v>
      </c>
      <c r="AA13" s="92">
        <f>COUNTIFS('OB History'!$B:$B,$A$13,'OB History'!V:V, 1)</f>
        <v>0</v>
      </c>
      <c r="AB13" s="92">
        <f>COUNTIFS('OB History'!$B:$B,$A$13,'OB History'!W:W, 1)</f>
        <v>1</v>
      </c>
      <c r="AC13" s="92">
        <f>COUNTIFS('OB History'!$B:$B,$A$13,'OB History'!X:X, 1)</f>
        <v>0</v>
      </c>
      <c r="AD13" s="92">
        <f>COUNTIFS('OB History'!$B:$B,$A$13,'OB History'!Y:Y, 1)</f>
        <v>0</v>
      </c>
      <c r="AE13" s="92">
        <f>COUNTIFS('OB History'!$B:$B,$A$13,'OB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89">
        <f>SUMIFS('OB History'!C:C,'OB History'!B:B,A14)</f>
        <v>5</v>
      </c>
      <c r="E14" s="90">
        <f>AVERAGEIFS('OB History'!C:C,'OB History'!B:B,A14)</f>
        <v>5</v>
      </c>
      <c r="F14" s="91">
        <f t="array" ref="F14">MAX(IF('OB History'!B:B=A14, 'OB History'!C:C))</f>
        <v>5</v>
      </c>
      <c r="G14" s="89">
        <f>COUNTIFS('OB History'!B:B,A14,'OB History'!D:D, 1)</f>
        <v>0</v>
      </c>
      <c r="H14" s="92">
        <f>COUNTIFS('OB History'!B:B,A14,'OB History'!D:D, 0)</f>
        <v>1</v>
      </c>
      <c r="I14" s="42">
        <f t="shared" si="0"/>
        <v>0</v>
      </c>
      <c r="J14" s="89">
        <f>SUMIFS('OB History'!F:F,'OB History'!B:B,A14)</f>
        <v>0</v>
      </c>
      <c r="K14" s="92">
        <f>SUMIFS('OB History'!E:E,'OB History'!B:B,A14)-J14</f>
        <v>3</v>
      </c>
      <c r="L14" s="42">
        <f t="shared" si="1"/>
        <v>0</v>
      </c>
      <c r="M14" s="89">
        <f>SUMIFS('OB History'!H:H,'OB History'!B:B,'Old Bow v2'!A14)</f>
        <v>4</v>
      </c>
      <c r="N14" s="92">
        <f>SUMIFS('OB History'!G:G,'OB History'!B:B,'Old Bow v2'!A14)-M14</f>
        <v>9</v>
      </c>
      <c r="O14" s="42">
        <f t="shared" si="2"/>
        <v>0.30769230769230771</v>
      </c>
      <c r="P14" s="92">
        <f>COUNTIFS('OB History'!$B:$B,$A$14,'OB History'!K:K, 1)</f>
        <v>0</v>
      </c>
      <c r="Q14" s="92">
        <f>COUNTIFS('OB History'!$B:$B,$A$14,'OB History'!L:L, 1)</f>
        <v>0</v>
      </c>
      <c r="R14" s="92">
        <f>COUNTIFS('OB History'!$B:$B,$A$14,'OB History'!M:M, 1)</f>
        <v>0</v>
      </c>
      <c r="S14" s="92">
        <f>COUNTIFS('OB History'!$B:$B,$A$14,'OB History'!N:N, 1)</f>
        <v>0</v>
      </c>
      <c r="T14" s="92">
        <f>COUNTIFS('OB History'!$B:$B,$A$14,'OB History'!O:O, 1)</f>
        <v>0</v>
      </c>
      <c r="U14" s="92">
        <f>COUNTIFS('OB History'!$B:$B,$A$14,'OB History'!P:P, 1)</f>
        <v>0</v>
      </c>
      <c r="V14" s="92">
        <f>COUNTIFS('OB History'!$B:$B,$A$14,'OB History'!Q:Q, 1)</f>
        <v>0</v>
      </c>
      <c r="W14" s="92">
        <f>COUNTIFS('OB History'!$B:$B,$A$14,'OB History'!R:R, 1)</f>
        <v>0</v>
      </c>
      <c r="X14" s="92">
        <f>COUNTIFS('OB History'!$B:$B,$A$14,'OB History'!S:S, 1)</f>
        <v>0</v>
      </c>
      <c r="Y14" s="92">
        <f>COUNTIFS('OB History'!$B:$B,$A$14,'OB History'!T:T, 1)</f>
        <v>0</v>
      </c>
      <c r="Z14" s="92">
        <f>COUNTIFS('OB History'!$B:$B,$A$14,'OB History'!U:U, 1)</f>
        <v>0</v>
      </c>
      <c r="AA14" s="92">
        <f>COUNTIFS('OB History'!$B:$B,$A$14,'OB History'!V:V, 1)</f>
        <v>0</v>
      </c>
      <c r="AB14" s="92">
        <f>COUNTIFS('OB History'!$B:$B,$A$14,'OB History'!W:W, 1)</f>
        <v>0</v>
      </c>
      <c r="AC14" s="92">
        <f>COUNTIFS('OB History'!$B:$B,$A$14,'OB History'!X:X, 1)</f>
        <v>0</v>
      </c>
      <c r="AD14" s="92">
        <f>COUNTIFS('OB History'!$B:$B,$A$14,'OB History'!Y:Y, 1)</f>
        <v>0</v>
      </c>
      <c r="AE14" s="92">
        <f>COUNTIFS('OB History'!$B:$B,$A$14,'OB History'!Z:Z, 1)</f>
        <v>0</v>
      </c>
    </row>
    <row r="15" spans="1:31" x14ac:dyDescent="0.25">
      <c r="A15" s="1" t="s">
        <v>44</v>
      </c>
      <c r="B15" s="2" t="s">
        <v>79</v>
      </c>
      <c r="C15" s="2" t="s">
        <v>79</v>
      </c>
      <c r="D15" s="89">
        <f>SUMIFS('OB History'!C:C,'OB History'!B:B,A15)</f>
        <v>29</v>
      </c>
      <c r="E15" s="90">
        <f>AVERAGEIFS('OB History'!C:C,'OB History'!B:B,A15)</f>
        <v>14.5</v>
      </c>
      <c r="F15" s="91">
        <f t="array" ref="F15">MAX(IF('OB History'!B:B=A15, 'OB History'!C:C))</f>
        <v>17</v>
      </c>
      <c r="G15" s="89">
        <f>COUNTIFS('OB History'!B:B,A15,'OB History'!D:D, 1)</f>
        <v>2</v>
      </c>
      <c r="H15" s="92">
        <f>COUNTIFS('OB History'!B:B,A15,'OB History'!D:D, 0)</f>
        <v>0</v>
      </c>
      <c r="I15" s="42">
        <f t="shared" si="0"/>
        <v>1</v>
      </c>
      <c r="J15" s="89">
        <f>SUMIFS('OB History'!F:F,'OB History'!B:B,A15)</f>
        <v>6</v>
      </c>
      <c r="K15" s="92">
        <f>SUMIFS('OB History'!E:E,'OB History'!B:B,A15)-J15</f>
        <v>2</v>
      </c>
      <c r="L15" s="42">
        <f t="shared" si="1"/>
        <v>0.75</v>
      </c>
      <c r="M15" s="89">
        <f>SUMIFS('OB History'!H:H,'OB History'!B:B,'Old Bow v2'!A15)</f>
        <v>21</v>
      </c>
      <c r="N15" s="92">
        <f>SUMIFS('OB History'!G:G,'OB History'!B:B,'Old Bow v2'!A15)-M15</f>
        <v>13</v>
      </c>
      <c r="O15" s="42">
        <f t="shared" si="2"/>
        <v>0.61764705882352944</v>
      </c>
      <c r="P15" s="92">
        <f>COUNTIFS('OB History'!$B:$B,$A$15,'OB History'!K:K, 1)</f>
        <v>0</v>
      </c>
      <c r="Q15" s="92">
        <f>COUNTIFS('OB History'!$B:$B,$A$15,'OB History'!L:L, 1)</f>
        <v>0</v>
      </c>
      <c r="R15" s="92">
        <f>COUNTIFS('OB History'!$B:$B,$A$15,'OB History'!M:M, 1)</f>
        <v>1</v>
      </c>
      <c r="S15" s="92">
        <f>COUNTIFS('OB History'!$B:$B,$A$15,'OB History'!N:N, 1)</f>
        <v>0</v>
      </c>
      <c r="T15" s="92">
        <f>COUNTIFS('OB History'!$B:$B,$A$15,'OB History'!O:O, 1)</f>
        <v>0</v>
      </c>
      <c r="U15" s="92">
        <f>COUNTIFS('OB History'!$B:$B,$A$15,'OB History'!P:P, 1)</f>
        <v>1</v>
      </c>
      <c r="V15" s="92">
        <f>COUNTIFS('OB History'!$B:$B,$A$15,'OB History'!Q:Q, 1)</f>
        <v>0</v>
      </c>
      <c r="W15" s="92">
        <f>COUNTIFS('OB History'!$B:$B,$A$15,'OB History'!R:R, 1)</f>
        <v>1</v>
      </c>
      <c r="X15" s="92">
        <f>COUNTIFS('OB History'!$B:$B,$A$15,'OB History'!S:S, 1)</f>
        <v>0</v>
      </c>
      <c r="Y15" s="92">
        <f>COUNTIFS('OB History'!$B:$B,$A$15,'OB History'!T:T, 1)</f>
        <v>0</v>
      </c>
      <c r="Z15" s="92">
        <f>COUNTIFS('OB History'!$B:$B,$A$15,'OB History'!U:U, 1)</f>
        <v>0</v>
      </c>
      <c r="AA15" s="92">
        <f>COUNTIFS('OB History'!$B:$B,$A$15,'OB History'!V:V, 1)</f>
        <v>0</v>
      </c>
      <c r="AB15" s="92">
        <f>COUNTIFS('OB History'!$B:$B,$A$15,'OB History'!W:W, 1)</f>
        <v>0</v>
      </c>
      <c r="AC15" s="92">
        <f>COUNTIFS('OB History'!$B:$B,$A$15,'OB History'!X:X, 1)</f>
        <v>2</v>
      </c>
      <c r="AD15" s="92">
        <f>COUNTIFS('OB History'!$B:$B,$A$15,'OB History'!Y:Y, 1)</f>
        <v>0</v>
      </c>
      <c r="AE15" s="92">
        <f>COUNTIFS('OB History'!$B:$B,$A$15,'OB History'!Z:Z, 1)</f>
        <v>1</v>
      </c>
    </row>
    <row r="16" spans="1:31" x14ac:dyDescent="0.25">
      <c r="A16" s="2" t="s">
        <v>1</v>
      </c>
      <c r="B16" s="6" t="s">
        <v>60</v>
      </c>
      <c r="C16" s="2" t="s">
        <v>79</v>
      </c>
      <c r="D16" s="89">
        <f>SUMIFS('OB History'!C:C,'OB History'!B:B,A16)</f>
        <v>229</v>
      </c>
      <c r="E16" s="90">
        <f>AVERAGEIFS('OB History'!C:C,'OB History'!B:B,A16)</f>
        <v>28.625</v>
      </c>
      <c r="F16" s="91">
        <f t="array" ref="F16">MAX(IF('OB History'!B:B=A16, 'OB History'!C:C))</f>
        <v>37</v>
      </c>
      <c r="G16" s="89">
        <f>COUNTIFS('OB History'!B:B,A16,'OB History'!D:D, 1)</f>
        <v>6</v>
      </c>
      <c r="H16" s="92">
        <f>COUNTIFS('OB History'!B:B,A16,'OB History'!D:D, 0)</f>
        <v>2</v>
      </c>
      <c r="I16" s="41">
        <f t="shared" si="0"/>
        <v>0.75</v>
      </c>
      <c r="J16" s="89">
        <f>SUMIFS('OB History'!F:F,'OB History'!B:B,A16)</f>
        <v>21</v>
      </c>
      <c r="K16" s="92">
        <f>SUMIFS('OB History'!E:E,'OB History'!B:B,A16)-J16</f>
        <v>16</v>
      </c>
      <c r="L16" s="41">
        <f t="shared" si="1"/>
        <v>0.56756756756756754</v>
      </c>
      <c r="M16" s="89">
        <f>SUMIFS('OB History'!H:H,'OB History'!B:B,'Old Bow v2'!A16)</f>
        <v>83</v>
      </c>
      <c r="N16" s="92">
        <f>SUMIFS('OB History'!G:G,'OB History'!B:B,'Old Bow v2'!A16)-M16</f>
        <v>79</v>
      </c>
      <c r="O16" s="41">
        <f t="shared" si="2"/>
        <v>0.51234567901234573</v>
      </c>
      <c r="P16" s="92">
        <f>COUNTIFS('OB History'!$B:$B,$A$16,'OB History'!K:K, 1)</f>
        <v>0</v>
      </c>
      <c r="Q16" s="92">
        <f>COUNTIFS('OB History'!$B:$B,$A$16,'OB History'!L:L, 1)</f>
        <v>2</v>
      </c>
      <c r="R16" s="92">
        <f>COUNTIFS('OB History'!$B:$B,$A$16,'OB History'!M:M, 1)</f>
        <v>3</v>
      </c>
      <c r="S16" s="92">
        <f>COUNTIFS('OB History'!$B:$B,$A$16,'OB History'!N:N, 1)</f>
        <v>0</v>
      </c>
      <c r="T16" s="92">
        <f>COUNTIFS('OB History'!$B:$B,$A$16,'OB History'!O:O, 1)</f>
        <v>2</v>
      </c>
      <c r="U16" s="92">
        <f>COUNTIFS('OB History'!$B:$B,$A$16,'OB History'!P:P, 1)</f>
        <v>1</v>
      </c>
      <c r="V16" s="92">
        <f>COUNTIFS('OB History'!$B:$B,$A$16,'OB History'!Q:Q, 1)</f>
        <v>0</v>
      </c>
      <c r="W16" s="92">
        <f>COUNTIFS('OB History'!$B:$B,$A$16,'OB History'!R:R, 1)</f>
        <v>1</v>
      </c>
      <c r="X16" s="92">
        <f>COUNTIFS('OB History'!$B:$B,$A$16,'OB History'!S:S, 1)</f>
        <v>0</v>
      </c>
      <c r="Y16" s="92">
        <f>COUNTIFS('OB History'!$B:$B,$A$16,'OB History'!T:T, 1)</f>
        <v>0</v>
      </c>
      <c r="Z16" s="92">
        <f>COUNTIFS('OB History'!$B:$B,$A$16,'OB History'!U:U, 1)</f>
        <v>0</v>
      </c>
      <c r="AA16" s="92">
        <f>COUNTIFS('OB History'!$B:$B,$A$16,'OB History'!V:V, 1)</f>
        <v>0</v>
      </c>
      <c r="AB16" s="92">
        <f>COUNTIFS('OB History'!$B:$B,$A$16,'OB History'!W:W, 1)</f>
        <v>2</v>
      </c>
      <c r="AC16" s="92">
        <f>COUNTIFS('OB History'!$B:$B,$A$16,'OB History'!X:X, 1)</f>
        <v>4</v>
      </c>
      <c r="AD16" s="92">
        <f>COUNTIFS('OB History'!$B:$B,$A$16,'OB History'!Y:Y, 1)</f>
        <v>2</v>
      </c>
      <c r="AE16" s="92">
        <f>COUNTIFS('OB History'!$B:$B,$A$16,'OB History'!Z:Z, 1)</f>
        <v>4</v>
      </c>
    </row>
    <row r="17" spans="1:31" x14ac:dyDescent="0.25">
      <c r="A17" s="2" t="s">
        <v>29</v>
      </c>
      <c r="B17" s="6" t="s">
        <v>124</v>
      </c>
      <c r="C17" s="2" t="s">
        <v>79</v>
      </c>
      <c r="D17" s="89">
        <f>SUMIFS('OB History'!C:C,'OB History'!B:B,A17)</f>
        <v>228</v>
      </c>
      <c r="E17" s="90">
        <f>AVERAGEIFS('OB History'!C:C,'OB History'!B:B,A17)</f>
        <v>9.9130434782608692</v>
      </c>
      <c r="F17" s="91">
        <f t="array" ref="F17">MAX(IF('OB History'!B:B=A17, 'OB History'!C:C))</f>
        <v>21</v>
      </c>
      <c r="G17" s="89">
        <f>COUNTIFS('OB History'!B:B,A17,'OB History'!D:D, 1)</f>
        <v>11</v>
      </c>
      <c r="H17" s="92">
        <f>COUNTIFS('OB History'!B:B,A17,'OB History'!D:D, 0)</f>
        <v>12</v>
      </c>
      <c r="I17" s="41">
        <f t="shared" si="0"/>
        <v>0.47826086956521741</v>
      </c>
      <c r="J17" s="89">
        <f>SUMIFS('OB History'!F:F,'OB History'!B:B,A17)</f>
        <v>47</v>
      </c>
      <c r="K17" s="92">
        <f>SUMIFS('OB History'!E:E,'OB History'!B:B,A17)-J17</f>
        <v>49</v>
      </c>
      <c r="L17" s="41">
        <f t="shared" si="1"/>
        <v>0.48958333333333331</v>
      </c>
      <c r="M17" s="89">
        <f>SUMIFS('OB History'!H:H,'OB History'!B:B,'Old Bow v2'!A17)</f>
        <v>201</v>
      </c>
      <c r="N17" s="92">
        <f>SUMIFS('OB History'!G:G,'OB History'!B:B,'Old Bow v2'!A17)-M17</f>
        <v>203</v>
      </c>
      <c r="O17" s="41">
        <f t="shared" si="2"/>
        <v>0.49752475247524752</v>
      </c>
      <c r="P17" s="92">
        <f>COUNTIFS('OB History'!$B:$B,$A$17,'OB History'!K:K, 1)</f>
        <v>2</v>
      </c>
      <c r="Q17" s="92">
        <f>COUNTIFS('OB History'!$B:$B,$A$17,'OB History'!L:L, 1)</f>
        <v>3</v>
      </c>
      <c r="R17" s="92">
        <f>COUNTIFS('OB History'!$B:$B,$A$17,'OB History'!M:M, 1)</f>
        <v>1</v>
      </c>
      <c r="S17" s="92">
        <f>COUNTIFS('OB History'!$B:$B,$A$17,'OB History'!N:N, 1)</f>
        <v>7</v>
      </c>
      <c r="T17" s="92">
        <f>COUNTIFS('OB History'!$B:$B,$A$17,'OB History'!O:O, 1)</f>
        <v>2</v>
      </c>
      <c r="U17" s="92">
        <f>COUNTIFS('OB History'!$B:$B,$A$17,'OB History'!P:P, 1)</f>
        <v>3</v>
      </c>
      <c r="V17" s="92">
        <f>COUNTIFS('OB History'!$B:$B,$A$17,'OB History'!Q:Q, 1)</f>
        <v>1</v>
      </c>
      <c r="W17" s="92">
        <f>COUNTIFS('OB History'!$B:$B,$A$17,'OB History'!R:R, 1)</f>
        <v>0</v>
      </c>
      <c r="X17" s="92">
        <f>COUNTIFS('OB History'!$B:$B,$A$17,'OB History'!S:S, 1)</f>
        <v>0</v>
      </c>
      <c r="Y17" s="92">
        <f>COUNTIFS('OB History'!$B:$B,$A$17,'OB History'!T:T, 1)</f>
        <v>0</v>
      </c>
      <c r="Z17" s="92">
        <f>COUNTIFS('OB History'!$B:$B,$A$17,'OB History'!U:U, 1)</f>
        <v>0</v>
      </c>
      <c r="AA17" s="92">
        <f>COUNTIFS('OB History'!$B:$B,$A$17,'OB History'!V:V, 1)</f>
        <v>2</v>
      </c>
      <c r="AB17" s="92">
        <f>COUNTIFS('OB History'!$B:$B,$A$17,'OB History'!W:W, 1)</f>
        <v>5</v>
      </c>
      <c r="AC17" s="92">
        <f>COUNTIFS('OB History'!$B:$B,$A$17,'OB History'!X:X, 1)</f>
        <v>10</v>
      </c>
      <c r="AD17" s="92">
        <f>COUNTIFS('OB History'!$B:$B,$A$17,'OB History'!Y:Y, 1)</f>
        <v>3</v>
      </c>
      <c r="AE17" s="92">
        <f>COUNTIFS('OB History'!$B:$B,$A$17,'OB History'!Z:Z, 1)</f>
        <v>8</v>
      </c>
    </row>
    <row r="18" spans="1:31" x14ac:dyDescent="0.25">
      <c r="A18" s="2" t="s">
        <v>46</v>
      </c>
      <c r="B18" s="2" t="s">
        <v>79</v>
      </c>
      <c r="C18" s="2" t="s">
        <v>79</v>
      </c>
      <c r="D18" s="89">
        <f>SUMIFS('OB History'!C:C,'OB History'!B:B,A18)</f>
        <v>183</v>
      </c>
      <c r="E18" s="90">
        <f>AVERAGEIFS('OB History'!C:C,'OB History'!B:B,A18)</f>
        <v>20.333333333333332</v>
      </c>
      <c r="F18" s="91">
        <f t="array" ref="F18">MAX(IF('OB History'!B:B=A18, 'OB History'!C:C))</f>
        <v>36</v>
      </c>
      <c r="G18" s="89">
        <f>COUNTIFS('OB History'!B:B,A18,'OB History'!D:D, 1)</f>
        <v>4</v>
      </c>
      <c r="H18" s="92">
        <f>COUNTIFS('OB History'!B:B,A18,'OB History'!D:D, 0)</f>
        <v>5</v>
      </c>
      <c r="I18" s="41">
        <f t="shared" si="0"/>
        <v>0.44444444444444442</v>
      </c>
      <c r="J18" s="89">
        <f>SUMIFS('OB History'!F:F,'OB History'!B:B,A18)</f>
        <v>16</v>
      </c>
      <c r="K18" s="92">
        <f>SUMIFS('OB History'!E:E,'OB History'!B:B,A18)-J18</f>
        <v>20</v>
      </c>
      <c r="L18" s="41">
        <f t="shared" si="1"/>
        <v>0.44444444444444442</v>
      </c>
      <c r="M18" s="89">
        <f>SUMIFS('OB History'!H:H,'OB History'!B:B,'Old Bow v2'!A18)</f>
        <v>70</v>
      </c>
      <c r="N18" s="92">
        <f>SUMIFS('OB History'!G:G,'OB History'!B:B,'Old Bow v2'!A18)-M18</f>
        <v>83</v>
      </c>
      <c r="O18" s="41">
        <f t="shared" si="2"/>
        <v>0.45751633986928103</v>
      </c>
      <c r="P18" s="92">
        <f>COUNTIFS('OB History'!$B:$B,$A$18,'OB History'!K:K, 1)</f>
        <v>0</v>
      </c>
      <c r="Q18" s="92">
        <f>COUNTIFS('OB History'!$B:$B,$A$18,'OB History'!L:L, 1)</f>
        <v>1</v>
      </c>
      <c r="R18" s="92">
        <f>COUNTIFS('OB History'!$B:$B,$A$18,'OB History'!M:M, 1)</f>
        <v>1</v>
      </c>
      <c r="S18" s="92">
        <f>COUNTIFS('OB History'!$B:$B,$A$18,'OB History'!N:N, 1)</f>
        <v>1</v>
      </c>
      <c r="T18" s="92">
        <f>COUNTIFS('OB History'!$B:$B,$A$18,'OB History'!O:O, 1)</f>
        <v>0</v>
      </c>
      <c r="U18" s="92">
        <f>COUNTIFS('OB History'!$B:$B,$A$18,'OB History'!P:P, 1)</f>
        <v>5</v>
      </c>
      <c r="V18" s="92">
        <f>COUNTIFS('OB History'!$B:$B,$A$18,'OB History'!Q:Q, 1)</f>
        <v>0</v>
      </c>
      <c r="W18" s="92">
        <f>COUNTIFS('OB History'!$B:$B,$A$18,'OB History'!R:R, 1)</f>
        <v>1</v>
      </c>
      <c r="X18" s="92">
        <f>COUNTIFS('OB History'!$B:$B,$A$18,'OB History'!S:S, 1)</f>
        <v>0</v>
      </c>
      <c r="Y18" s="92">
        <f>COUNTIFS('OB History'!$B:$B,$A$18,'OB History'!T:T, 1)</f>
        <v>0</v>
      </c>
      <c r="Z18" s="92">
        <f>COUNTIFS('OB History'!$B:$B,$A$18,'OB History'!U:U, 1)</f>
        <v>0</v>
      </c>
      <c r="AA18" s="92">
        <f>COUNTIFS('OB History'!$B:$B,$A$18,'OB History'!V:V, 1)</f>
        <v>0</v>
      </c>
      <c r="AB18" s="92">
        <f>COUNTIFS('OB History'!$B:$B,$A$18,'OB History'!W:W, 1)</f>
        <v>1</v>
      </c>
      <c r="AC18" s="92">
        <f>COUNTIFS('OB History'!$B:$B,$A$18,'OB History'!X:X, 1)</f>
        <v>3</v>
      </c>
      <c r="AD18" s="92">
        <f>COUNTIFS('OB History'!$B:$B,$A$18,'OB History'!Y:Y, 1)</f>
        <v>1</v>
      </c>
      <c r="AE18" s="92">
        <f>COUNTIFS('OB History'!$B:$B,$A$18,'OB History'!Z:Z, 1)</f>
        <v>2</v>
      </c>
    </row>
    <row r="19" spans="1:31" x14ac:dyDescent="0.25">
      <c r="A19" s="2" t="s">
        <v>140</v>
      </c>
      <c r="B19" s="2" t="s">
        <v>79</v>
      </c>
      <c r="C19" s="2" t="s">
        <v>79</v>
      </c>
      <c r="D19" s="89">
        <f>SUMIFS('OB History'!C:C,'OB History'!B:B,A19)</f>
        <v>54</v>
      </c>
      <c r="E19" s="90">
        <f>AVERAGEIFS('OB History'!C:C,'OB History'!B:B,A19)</f>
        <v>10.8</v>
      </c>
      <c r="F19" s="91">
        <f t="array" ref="F19">MAX(IF('OB History'!B:B=A19, 'OB History'!C:C))</f>
        <v>13</v>
      </c>
      <c r="G19" s="89">
        <f>COUNTIFS('OB History'!B:B,A19,'OB History'!D:D, 1)</f>
        <v>3</v>
      </c>
      <c r="H19" s="92">
        <f>COUNTIFS('OB History'!B:B,A19,'OB History'!D:D, 0)</f>
        <v>2</v>
      </c>
      <c r="I19" s="41">
        <f t="shared" si="0"/>
        <v>0.6</v>
      </c>
      <c r="J19" s="89">
        <f>SUMIFS('OB History'!F:F,'OB History'!B:B,A19)</f>
        <v>13</v>
      </c>
      <c r="K19" s="92">
        <f>SUMIFS('OB History'!E:E,'OB History'!B:B,A19)-J19</f>
        <v>10</v>
      </c>
      <c r="L19" s="41">
        <f t="shared" si="1"/>
        <v>0.56521739130434778</v>
      </c>
      <c r="M19" s="89">
        <f>SUMIFS('OB History'!H:H,'OB History'!B:B,'Old Bow v2'!A19)</f>
        <v>52</v>
      </c>
      <c r="N19" s="92">
        <f>SUMIFS('OB History'!G:G,'OB History'!B:B,'Old Bow v2'!A19)-M19</f>
        <v>45</v>
      </c>
      <c r="O19" s="41">
        <f t="shared" si="2"/>
        <v>0.53608247422680411</v>
      </c>
      <c r="P19" s="92">
        <f>COUNTIFS('OB History'!$B:$B,$A$19,'OB History'!K:K, 1)</f>
        <v>0</v>
      </c>
      <c r="Q19" s="92">
        <f>COUNTIFS('OB History'!$B:$B,$A$19,'OB History'!L:L, 1)</f>
        <v>0</v>
      </c>
      <c r="R19" s="92">
        <f>COUNTIFS('OB History'!$B:$B,$A$19,'OB History'!M:M, 1)</f>
        <v>1</v>
      </c>
      <c r="S19" s="92">
        <f>COUNTIFS('OB History'!$B:$B,$A$19,'OB History'!N:N, 1)</f>
        <v>1</v>
      </c>
      <c r="T19" s="92">
        <f>COUNTIFS('OB History'!$B:$B,$A$19,'OB History'!O:O, 1)</f>
        <v>0</v>
      </c>
      <c r="U19" s="92">
        <f>COUNTIFS('OB History'!$B:$B,$A$19,'OB History'!P:P, 1)</f>
        <v>1</v>
      </c>
      <c r="V19" s="92">
        <f>COUNTIFS('OB History'!$B:$B,$A$19,'OB History'!Q:Q, 1)</f>
        <v>0</v>
      </c>
      <c r="W19" s="92">
        <f>COUNTIFS('OB History'!$B:$B,$A$19,'OB History'!R:R, 1)</f>
        <v>1</v>
      </c>
      <c r="X19" s="92">
        <f>COUNTIFS('OB History'!$B:$B,$A$19,'OB History'!S:S, 1)</f>
        <v>0</v>
      </c>
      <c r="Y19" s="92">
        <f>COUNTIFS('OB History'!$B:$B,$A$19,'OB History'!T:T, 1)</f>
        <v>0</v>
      </c>
      <c r="Z19" s="92">
        <f>COUNTIFS('OB History'!$B:$B,$A$19,'OB History'!U:U, 1)</f>
        <v>0</v>
      </c>
      <c r="AA19" s="92">
        <f>COUNTIFS('OB History'!$B:$B,$A$19,'OB History'!V:V, 1)</f>
        <v>2</v>
      </c>
      <c r="AB19" s="92">
        <f>COUNTIFS('OB History'!$B:$B,$A$19,'OB History'!W:W, 1)</f>
        <v>0</v>
      </c>
      <c r="AC19" s="92">
        <f>COUNTIFS('OB History'!$B:$B,$A$19,'OB History'!X:X, 1)</f>
        <v>4</v>
      </c>
      <c r="AD19" s="92">
        <f>COUNTIFS('OB History'!$B:$B,$A$19,'OB History'!Y:Y, 1)</f>
        <v>2</v>
      </c>
      <c r="AE19" s="92">
        <f>COUNTIFS('OB History'!$B:$B,$A$19,'OB History'!Z:Z, 1)</f>
        <v>1</v>
      </c>
    </row>
    <row r="20" spans="1:31" x14ac:dyDescent="0.25">
      <c r="A20" s="2" t="s">
        <v>28</v>
      </c>
      <c r="B20" s="6" t="s">
        <v>60</v>
      </c>
      <c r="C20" s="2" t="s">
        <v>79</v>
      </c>
      <c r="D20" s="89">
        <f>SUMIFS('OB History'!C:C,'OB History'!B:B,A20)</f>
        <v>261</v>
      </c>
      <c r="E20" s="90">
        <f>AVERAGEIFS('OB History'!C:C,'OB History'!B:B,A20)</f>
        <v>13.736842105263158</v>
      </c>
      <c r="F20" s="91">
        <f t="array" ref="F20">MAX(IF('OB History'!B:B=A20, 'OB History'!C:C))</f>
        <v>27</v>
      </c>
      <c r="G20" s="89">
        <f>COUNTIFS('OB History'!B:B,A20,'OB History'!D:D, 1)</f>
        <v>7</v>
      </c>
      <c r="H20" s="92">
        <f>COUNTIFS('OB History'!B:B,A20,'OB History'!D:D, 0)</f>
        <v>12</v>
      </c>
      <c r="I20" s="41">
        <f t="shared" si="0"/>
        <v>0.36842105263157893</v>
      </c>
      <c r="J20" s="89">
        <f>SUMIFS('OB History'!F:F,'OB History'!B:B,A20)</f>
        <v>33</v>
      </c>
      <c r="K20" s="92">
        <f>SUMIFS('OB History'!E:E,'OB History'!B:B,A20)-J20</f>
        <v>47</v>
      </c>
      <c r="L20" s="41">
        <f t="shared" si="1"/>
        <v>0.41249999999999998</v>
      </c>
      <c r="M20" s="89">
        <f>SUMIFS('OB History'!H:H,'OB History'!B:B,'Old Bow v2'!A20)</f>
        <v>155</v>
      </c>
      <c r="N20" s="92">
        <f>SUMIFS('OB History'!G:G,'OB History'!B:B,'Old Bow v2'!A20)-M20</f>
        <v>181</v>
      </c>
      <c r="O20" s="41">
        <f t="shared" si="2"/>
        <v>0.46130952380952384</v>
      </c>
      <c r="P20" s="92">
        <f>COUNTIFS('OB History'!$B:$B,$A$20,'OB History'!K:K, 1)</f>
        <v>4</v>
      </c>
      <c r="Q20" s="92">
        <f>COUNTIFS('OB History'!$B:$B,$A$20,'OB History'!L:L, 1)</f>
        <v>1</v>
      </c>
      <c r="R20" s="92">
        <f>COUNTIFS('OB History'!$B:$B,$A$20,'OB History'!M:M, 1)</f>
        <v>1</v>
      </c>
      <c r="S20" s="92">
        <f>COUNTIFS('OB History'!$B:$B,$A$20,'OB History'!N:N, 1)</f>
        <v>2</v>
      </c>
      <c r="T20" s="92">
        <f>COUNTIFS('OB History'!$B:$B,$A$20,'OB History'!O:O, 1)</f>
        <v>1</v>
      </c>
      <c r="U20" s="92">
        <f>COUNTIFS('OB History'!$B:$B,$A$20,'OB History'!P:P, 1)</f>
        <v>4</v>
      </c>
      <c r="V20" s="92">
        <f>COUNTIFS('OB History'!$B:$B,$A$20,'OB History'!Q:Q, 1)</f>
        <v>1</v>
      </c>
      <c r="W20" s="92">
        <f>COUNTIFS('OB History'!$B:$B,$A$20,'OB History'!R:R, 1)</f>
        <v>1</v>
      </c>
      <c r="X20" s="92">
        <f>COUNTIFS('OB History'!$B:$B,$A$20,'OB History'!S:S, 1)</f>
        <v>1</v>
      </c>
      <c r="Y20" s="92">
        <f>COUNTIFS('OB History'!$B:$B,$A$20,'OB History'!T:T, 1)</f>
        <v>0</v>
      </c>
      <c r="Z20" s="92">
        <f>COUNTIFS('OB History'!$B:$B,$A$20,'OB History'!U:U, 1)</f>
        <v>1</v>
      </c>
      <c r="AA20" s="92">
        <f>COUNTIFS('OB History'!$B:$B,$A$20,'OB History'!V:V, 1)</f>
        <v>1</v>
      </c>
      <c r="AB20" s="92">
        <f>COUNTIFS('OB History'!$B:$B,$A$20,'OB History'!W:W, 1)</f>
        <v>1</v>
      </c>
      <c r="AC20" s="92">
        <f>COUNTIFS('OB History'!$B:$B,$A$20,'OB History'!X:X, 1)</f>
        <v>4</v>
      </c>
      <c r="AD20" s="92">
        <f>COUNTIFS('OB History'!$B:$B,$A$20,'OB History'!Y:Y, 1)</f>
        <v>2</v>
      </c>
      <c r="AE20" s="92">
        <f>COUNTIFS('OB History'!$B:$B,$A$20,'OB History'!Z:Z, 1)</f>
        <v>8</v>
      </c>
    </row>
    <row r="21" spans="1:31" x14ac:dyDescent="0.25">
      <c r="A21" s="2" t="s">
        <v>53</v>
      </c>
      <c r="B21" s="6" t="s">
        <v>60</v>
      </c>
      <c r="C21" s="6" t="s">
        <v>79</v>
      </c>
      <c r="D21" s="89">
        <f>SUMIFS('OB History'!C:C,'OB History'!B:B,A21)</f>
        <v>43</v>
      </c>
      <c r="E21" s="90">
        <f>AVERAGEIFS('OB History'!C:C,'OB History'!B:B,A21)</f>
        <v>14.333333333333334</v>
      </c>
      <c r="F21" s="91">
        <f t="array" ref="F21">MAX(IF('OB History'!B:B=A21, 'OB History'!C:C))</f>
        <v>25</v>
      </c>
      <c r="G21" s="89">
        <f>COUNTIFS('OB History'!B:B,A21,'OB History'!D:D, 1)</f>
        <v>2</v>
      </c>
      <c r="H21" s="92">
        <f>COUNTIFS('OB History'!B:B,A21,'OB History'!D:D, 0)</f>
        <v>1</v>
      </c>
      <c r="I21" s="42">
        <f t="shared" si="0"/>
        <v>0.66666666666666663</v>
      </c>
      <c r="J21" s="89">
        <f>SUMIFS('OB History'!F:F,'OB History'!B:B,A21)</f>
        <v>6</v>
      </c>
      <c r="K21" s="92">
        <f>SUMIFS('OB History'!E:E,'OB History'!B:B,A21)-J21</f>
        <v>7</v>
      </c>
      <c r="L21" s="42">
        <f t="shared" si="1"/>
        <v>0.46153846153846156</v>
      </c>
      <c r="M21" s="89">
        <f>SUMIFS('OB History'!H:H,'OB History'!B:B,'Old Bow v2'!A21)</f>
        <v>27</v>
      </c>
      <c r="N21" s="92">
        <f>SUMIFS('OB History'!G:G,'OB History'!B:B,'Old Bow v2'!A21)-M21</f>
        <v>26</v>
      </c>
      <c r="O21" s="42">
        <f t="shared" si="2"/>
        <v>0.50943396226415094</v>
      </c>
      <c r="P21" s="92">
        <f>COUNTIFS('OB History'!$B:$B,$A$21,'OB History'!K:K, 1)</f>
        <v>0</v>
      </c>
      <c r="Q21" s="92">
        <f>COUNTIFS('OB History'!$B:$B,$A$21,'OB History'!L:L, 1)</f>
        <v>0</v>
      </c>
      <c r="R21" s="92">
        <f>COUNTIFS('OB History'!$B:$B,$A$21,'OB History'!M:M, 1)</f>
        <v>0</v>
      </c>
      <c r="S21" s="92">
        <f>COUNTIFS('OB History'!$B:$B,$A$21,'OB History'!N:N, 1)</f>
        <v>1</v>
      </c>
      <c r="T21" s="92">
        <f>COUNTIFS('OB History'!$B:$B,$A$21,'OB History'!O:O, 1)</f>
        <v>2</v>
      </c>
      <c r="U21" s="92">
        <f>COUNTIFS('OB History'!$B:$B,$A$21,'OB History'!P:P, 1)</f>
        <v>1</v>
      </c>
      <c r="V21" s="92">
        <f>COUNTIFS('OB History'!$B:$B,$A$21,'OB History'!Q:Q, 1)</f>
        <v>2</v>
      </c>
      <c r="W21" s="92">
        <f>COUNTIFS('OB History'!$B:$B,$A$21,'OB History'!R:R, 1)</f>
        <v>0</v>
      </c>
      <c r="X21" s="92">
        <f>COUNTIFS('OB History'!$B:$B,$A$21,'OB History'!S:S, 1)</f>
        <v>0</v>
      </c>
      <c r="Y21" s="92">
        <f>COUNTIFS('OB History'!$B:$B,$A$21,'OB History'!T:T, 1)</f>
        <v>0</v>
      </c>
      <c r="Z21" s="92">
        <f>COUNTIFS('OB History'!$B:$B,$A$21,'OB History'!U:U, 1)</f>
        <v>0</v>
      </c>
      <c r="AA21" s="92">
        <f>COUNTIFS('OB History'!$B:$B,$A$21,'OB History'!V:V, 1)</f>
        <v>0</v>
      </c>
      <c r="AB21" s="92">
        <f>COUNTIFS('OB History'!$B:$B,$A$21,'OB History'!W:W, 1)</f>
        <v>0</v>
      </c>
      <c r="AC21" s="92">
        <f>COUNTIFS('OB History'!$B:$B,$A$21,'OB History'!X:X, 1)</f>
        <v>0</v>
      </c>
      <c r="AD21" s="92">
        <f>COUNTIFS('OB History'!$B:$B,$A$21,'OB History'!Y:Y, 1)</f>
        <v>0</v>
      </c>
      <c r="AE21" s="92">
        <f>COUNTIFS('OB History'!$B:$B,$A$21,'OB History'!Z:Z, 1)</f>
        <v>0</v>
      </c>
    </row>
    <row r="22" spans="1:31" x14ac:dyDescent="0.25">
      <c r="A22" s="2" t="s">
        <v>51</v>
      </c>
      <c r="B22" s="2" t="s">
        <v>79</v>
      </c>
      <c r="C22" s="2" t="s">
        <v>79</v>
      </c>
      <c r="D22" s="89">
        <f>SUMIFS('OB History'!C:C,'OB History'!B:B,A22)</f>
        <v>180</v>
      </c>
      <c r="E22" s="90">
        <f>AVERAGEIFS('OB History'!C:C,'OB History'!B:B,A22)</f>
        <v>13.846153846153847</v>
      </c>
      <c r="F22" s="91">
        <f t="array" ref="F22">MAX(IF('OB History'!B:B=A22, 'OB History'!C:C))</f>
        <v>22</v>
      </c>
      <c r="G22" s="89">
        <f>COUNTIFS('OB History'!B:B,A22,'OB History'!D:D, 1)</f>
        <v>7</v>
      </c>
      <c r="H22" s="92">
        <f>COUNTIFS('OB History'!B:B,A22,'OB History'!D:D, 0)</f>
        <v>6</v>
      </c>
      <c r="I22" s="42">
        <f t="shared" si="0"/>
        <v>0.53846153846153844</v>
      </c>
      <c r="J22" s="89">
        <f>SUMIFS('OB History'!F:F,'OB History'!B:B,A22)</f>
        <v>29</v>
      </c>
      <c r="K22" s="92">
        <f>SUMIFS('OB History'!E:E,'OB History'!B:B,A22)-J22</f>
        <v>26</v>
      </c>
      <c r="L22" s="42">
        <f t="shared" si="1"/>
        <v>0.52727272727272723</v>
      </c>
      <c r="M22" s="89">
        <f>SUMIFS('OB History'!H:H,'OB History'!B:B,'Old Bow v2'!A22)</f>
        <v>111</v>
      </c>
      <c r="N22" s="92">
        <f>SUMIFS('OB History'!G:G,'OB History'!B:B,'Old Bow v2'!A22)-M22</f>
        <v>111</v>
      </c>
      <c r="O22" s="42">
        <f t="shared" si="2"/>
        <v>0.5</v>
      </c>
      <c r="P22" s="92">
        <f>COUNTIFS('OB History'!$B:$B,$A$22,'OB History'!K:K, 1)</f>
        <v>4</v>
      </c>
      <c r="Q22" s="92">
        <f>COUNTIFS('OB History'!$B:$B,$A$22,'OB History'!L:L, 1)</f>
        <v>1</v>
      </c>
      <c r="R22" s="92">
        <f>COUNTIFS('OB History'!$B:$B,$A$22,'OB History'!M:M, 1)</f>
        <v>0</v>
      </c>
      <c r="S22" s="92">
        <f>COUNTIFS('OB History'!$B:$B,$A$22,'OB History'!N:N, 1)</f>
        <v>3</v>
      </c>
      <c r="T22" s="92">
        <f>COUNTIFS('OB History'!$B:$B,$A$22,'OB History'!O:O, 1)</f>
        <v>0</v>
      </c>
      <c r="U22" s="92">
        <f>COUNTIFS('OB History'!$B:$B,$A$22,'OB History'!P:P, 1)</f>
        <v>3</v>
      </c>
      <c r="V22" s="92">
        <f>COUNTIFS('OB History'!$B:$B,$A$22,'OB History'!Q:Q, 1)</f>
        <v>0</v>
      </c>
      <c r="W22" s="92">
        <f>COUNTIFS('OB History'!$B:$B,$A$22,'OB History'!R:R, 1)</f>
        <v>1</v>
      </c>
      <c r="X22" s="92">
        <f>COUNTIFS('OB History'!$B:$B,$A$22,'OB History'!S:S, 1)</f>
        <v>0</v>
      </c>
      <c r="Y22" s="92">
        <f>COUNTIFS('OB History'!$B:$B,$A$22,'OB History'!T:T, 1)</f>
        <v>0</v>
      </c>
      <c r="Z22" s="92">
        <f>COUNTIFS('OB History'!$B:$B,$A$22,'OB History'!U:U, 1)</f>
        <v>0</v>
      </c>
      <c r="AA22" s="92">
        <f>COUNTIFS('OB History'!$B:$B,$A$22,'OB History'!V:V, 1)</f>
        <v>2</v>
      </c>
      <c r="AB22" s="92">
        <f>COUNTIFS('OB History'!$B:$B,$A$22,'OB History'!W:W, 1)</f>
        <v>5</v>
      </c>
      <c r="AC22" s="92">
        <f>COUNTIFS('OB History'!$B:$B,$A$22,'OB History'!X:X, 1)</f>
        <v>4</v>
      </c>
      <c r="AD22" s="92">
        <f>COUNTIFS('OB History'!$B:$B,$A$22,'OB History'!Y:Y, 1)</f>
        <v>3</v>
      </c>
      <c r="AE22" s="92">
        <f>COUNTIFS('OB History'!$B:$B,$A$22,'OB History'!Z:Z, 1)</f>
        <v>3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89">
        <f>SUMIFS('OB History'!C:C,'OB History'!B:B,A23)</f>
        <v>301</v>
      </c>
      <c r="E23" s="90">
        <f>AVERAGEIFS('OB History'!C:C,'OB History'!B:B,A23)</f>
        <v>13.681818181818182</v>
      </c>
      <c r="F23" s="91">
        <f t="array" ref="F23">MAX(IF('OB History'!B:B=A23, 'OB History'!C:C))</f>
        <v>28</v>
      </c>
      <c r="G23" s="89">
        <f>COUNTIFS('OB History'!B:B,A23,'OB History'!D:D, 1)</f>
        <v>8</v>
      </c>
      <c r="H23" s="92">
        <f>COUNTIFS('OB History'!B:B,A23,'OB History'!D:D, 0)</f>
        <v>14</v>
      </c>
      <c r="I23" s="41">
        <f t="shared" si="0"/>
        <v>0.36363636363636365</v>
      </c>
      <c r="J23" s="89">
        <f>SUMIFS('OB History'!F:F,'OB History'!B:B,A23)</f>
        <v>44</v>
      </c>
      <c r="K23" s="92">
        <f>SUMIFS('OB History'!E:E,'OB History'!B:B,A23)-J23</f>
        <v>50</v>
      </c>
      <c r="L23" s="41">
        <f t="shared" si="1"/>
        <v>0.46808510638297873</v>
      </c>
      <c r="M23" s="89">
        <f>SUMIFS('OB History'!H:H,'OB History'!B:B,'Old Bow v2'!A23)</f>
        <v>194</v>
      </c>
      <c r="N23" s="92">
        <f>SUMIFS('OB History'!G:G,'OB History'!B:B,'Old Bow v2'!A23)-M23</f>
        <v>200</v>
      </c>
      <c r="O23" s="41">
        <f t="shared" si="2"/>
        <v>0.49238578680203043</v>
      </c>
      <c r="P23" s="92">
        <f>COUNTIFS('OB History'!$B:$B,$A$23,'OB History'!K:K, 1)</f>
        <v>1</v>
      </c>
      <c r="Q23" s="92">
        <f>COUNTIFS('OB History'!$B:$B,$A$23,'OB History'!L:L, 1)</f>
        <v>3</v>
      </c>
      <c r="R23" s="92">
        <f>COUNTIFS('OB History'!$B:$B,$A$23,'OB History'!M:M, 1)</f>
        <v>0</v>
      </c>
      <c r="S23" s="92">
        <f>COUNTIFS('OB History'!$B:$B,$A$23,'OB History'!N:N, 1)</f>
        <v>10</v>
      </c>
      <c r="T23" s="92">
        <f>COUNTIFS('OB History'!$B:$B,$A$23,'OB History'!O:O, 1)</f>
        <v>0</v>
      </c>
      <c r="U23" s="92">
        <f>COUNTIFS('OB History'!$B:$B,$A$23,'OB History'!P:P, 1)</f>
        <v>3</v>
      </c>
      <c r="V23" s="92">
        <f>COUNTIFS('OB History'!$B:$B,$A$23,'OB History'!Q:Q, 1)</f>
        <v>2</v>
      </c>
      <c r="W23" s="92">
        <f>COUNTIFS('OB History'!$B:$B,$A$23,'OB History'!R:R, 1)</f>
        <v>2</v>
      </c>
      <c r="X23" s="92">
        <f>COUNTIFS('OB History'!$B:$B,$A$23,'OB History'!S:S, 1)</f>
        <v>0</v>
      </c>
      <c r="Y23" s="92">
        <f>COUNTIFS('OB History'!$B:$B,$A$23,'OB History'!T:T, 1)</f>
        <v>1</v>
      </c>
      <c r="Z23" s="92">
        <f>COUNTIFS('OB History'!$B:$B,$A$23,'OB History'!U:U, 1)</f>
        <v>0</v>
      </c>
      <c r="AA23" s="92">
        <f>COUNTIFS('OB History'!$B:$B,$A$23,'OB History'!V:V, 1)</f>
        <v>2</v>
      </c>
      <c r="AB23" s="92">
        <f>COUNTIFS('OB History'!$B:$B,$A$23,'OB History'!W:W, 1)</f>
        <v>8</v>
      </c>
      <c r="AC23" s="92">
        <f>COUNTIFS('OB History'!$B:$B,$A$23,'OB History'!X:X, 1)</f>
        <v>6</v>
      </c>
      <c r="AD23" s="92">
        <f>COUNTIFS('OB History'!$B:$B,$A$23,'OB History'!Y:Y, 1)</f>
        <v>1</v>
      </c>
      <c r="AE23" s="92">
        <f>COUNTIFS('OB History'!$B:$B,$A$23,'OB History'!Z:Z, 1)</f>
        <v>5</v>
      </c>
    </row>
    <row r="24" spans="1:31" x14ac:dyDescent="0.25">
      <c r="A24" s="1" t="s">
        <v>47</v>
      </c>
      <c r="B24" s="2" t="s">
        <v>79</v>
      </c>
      <c r="C24" s="2" t="s">
        <v>79</v>
      </c>
      <c r="D24" s="89">
        <f>SUMIFS('OB History'!C:C,'OB History'!B:B,A24)</f>
        <v>65</v>
      </c>
      <c r="E24" s="90">
        <f>AVERAGEIFS('OB History'!C:C,'OB History'!B:B,A24)</f>
        <v>8.125</v>
      </c>
      <c r="F24" s="91">
        <f t="array" ref="F24">MAX(IF('OB History'!B:B=A24, 'OB History'!C:C))</f>
        <v>14</v>
      </c>
      <c r="G24" s="89">
        <f>COUNTIFS('OB History'!B:B,A24,'OB History'!D:D, 1)</f>
        <v>5</v>
      </c>
      <c r="H24" s="92">
        <f>COUNTIFS('OB History'!B:B,A24,'OB History'!D:D, 0)</f>
        <v>3</v>
      </c>
      <c r="I24" s="42">
        <f t="shared" si="0"/>
        <v>0.625</v>
      </c>
      <c r="J24" s="89">
        <f>SUMIFS('OB History'!F:F,'OB History'!B:B,A24)</f>
        <v>20</v>
      </c>
      <c r="K24" s="92">
        <f>SUMIFS('OB History'!E:E,'OB History'!B:B,A24)-J24</f>
        <v>16</v>
      </c>
      <c r="L24" s="42">
        <f t="shared" si="1"/>
        <v>0.55555555555555558</v>
      </c>
      <c r="M24" s="89">
        <f>SUMIFS('OB History'!H:H,'OB History'!B:B,'Old Bow v2'!A24)</f>
        <v>81</v>
      </c>
      <c r="N24" s="92">
        <f>SUMIFS('OB History'!G:G,'OB History'!B:B,'Old Bow v2'!A24)-M24</f>
        <v>74</v>
      </c>
      <c r="O24" s="42">
        <f t="shared" si="2"/>
        <v>0.52258064516129032</v>
      </c>
      <c r="P24" s="92">
        <f>COUNTIFS('OB History'!$B:$B,$A$24,'OB History'!K:K, 1)</f>
        <v>0</v>
      </c>
      <c r="Q24" s="92">
        <f>COUNTIFS('OB History'!$B:$B,$A$24,'OB History'!L:L, 1)</f>
        <v>1</v>
      </c>
      <c r="R24" s="92">
        <f>COUNTIFS('OB History'!$B:$B,$A$24,'OB History'!M:M, 1)</f>
        <v>1</v>
      </c>
      <c r="S24" s="92">
        <f>COUNTIFS('OB History'!$B:$B,$A$24,'OB History'!N:N, 1)</f>
        <v>4</v>
      </c>
      <c r="T24" s="92">
        <f>COUNTIFS('OB History'!$B:$B,$A$24,'OB History'!O:O, 1)</f>
        <v>1</v>
      </c>
      <c r="U24" s="92">
        <f>COUNTIFS('OB History'!$B:$B,$A$24,'OB History'!P:P, 1)</f>
        <v>2</v>
      </c>
      <c r="V24" s="92">
        <f>COUNTIFS('OB History'!$B:$B,$A$24,'OB History'!Q:Q, 1)</f>
        <v>0</v>
      </c>
      <c r="W24" s="92">
        <f>COUNTIFS('OB History'!$B:$B,$A$24,'OB History'!R:R, 1)</f>
        <v>0</v>
      </c>
      <c r="X24" s="92">
        <f>COUNTIFS('OB History'!$B:$B,$A$24,'OB History'!S:S, 1)</f>
        <v>0</v>
      </c>
      <c r="Y24" s="92">
        <f>COUNTIFS('OB History'!$B:$B,$A$24,'OB History'!T:T, 1)</f>
        <v>0</v>
      </c>
      <c r="Z24" s="92">
        <f>COUNTIFS('OB History'!$B:$B,$A$24,'OB History'!U:U, 1)</f>
        <v>0</v>
      </c>
      <c r="AA24" s="92">
        <f>COUNTIFS('OB History'!$B:$B,$A$24,'OB History'!V:V, 1)</f>
        <v>1</v>
      </c>
      <c r="AB24" s="92">
        <f>COUNTIFS('OB History'!$B:$B,$A$24,'OB History'!W:W, 1)</f>
        <v>3</v>
      </c>
      <c r="AC24" s="92">
        <f>COUNTIFS('OB History'!$B:$B,$A$24,'OB History'!X:X, 1)</f>
        <v>2</v>
      </c>
      <c r="AD24" s="92">
        <f>COUNTIFS('OB History'!$B:$B,$A$24,'OB History'!Y:Y, 1)</f>
        <v>0</v>
      </c>
      <c r="AE24" s="92">
        <f>COUNTIFS('OB History'!$B:$B,$A$24,'OB History'!Z:Z, 1)</f>
        <v>5</v>
      </c>
    </row>
    <row r="25" spans="1:31" x14ac:dyDescent="0.25">
      <c r="A25" s="2" t="s">
        <v>3</v>
      </c>
      <c r="B25" s="6" t="s">
        <v>60</v>
      </c>
      <c r="C25" s="6" t="s">
        <v>60</v>
      </c>
      <c r="D25" s="89">
        <f>SUMIFS('OB History'!C:C,'OB History'!B:B,A25)</f>
        <v>230</v>
      </c>
      <c r="E25" s="90">
        <f>AVERAGEIFS('OB History'!C:C,'OB History'!B:B,A25)</f>
        <v>23</v>
      </c>
      <c r="F25" s="91">
        <f t="array" ref="F25">MAX(IF('OB History'!B:B=A25, 'OB History'!C:C))</f>
        <v>44</v>
      </c>
      <c r="G25" s="89">
        <f>COUNTIFS('OB History'!B:B,A25,'OB History'!D:D, 1)</f>
        <v>6</v>
      </c>
      <c r="H25" s="92">
        <f>COUNTIFS('OB History'!B:B,A25,'OB History'!D:D, 0)</f>
        <v>4</v>
      </c>
      <c r="I25" s="41">
        <f t="shared" si="0"/>
        <v>0.6</v>
      </c>
      <c r="J25" s="89">
        <f>SUMIFS('OB History'!F:F,'OB History'!B:B,A25)</f>
        <v>22</v>
      </c>
      <c r="K25" s="92">
        <f>SUMIFS('OB History'!E:E,'OB History'!B:B,A25)-J25</f>
        <v>21</v>
      </c>
      <c r="L25" s="41">
        <f t="shared" si="1"/>
        <v>0.51162790697674421</v>
      </c>
      <c r="M25" s="89">
        <f>SUMIFS('OB History'!H:H,'OB History'!B:B,'Old Bow v2'!A25)</f>
        <v>87</v>
      </c>
      <c r="N25" s="92">
        <f>SUMIFS('OB History'!G:G,'OB History'!B:B,'Old Bow v2'!A25)-M25</f>
        <v>88</v>
      </c>
      <c r="O25" s="41">
        <f t="shared" si="2"/>
        <v>0.49714285714285716</v>
      </c>
      <c r="P25" s="92">
        <f>COUNTIFS('OB History'!$B:$B,$A$25,'OB History'!K:K, 1)</f>
        <v>2</v>
      </c>
      <c r="Q25" s="92">
        <f>COUNTIFS('OB History'!$B:$B,$A$25,'OB History'!L:L, 1)</f>
        <v>3</v>
      </c>
      <c r="R25" s="92">
        <f>COUNTIFS('OB History'!$B:$B,$A$25,'OB History'!M:M, 1)</f>
        <v>1</v>
      </c>
      <c r="S25" s="92">
        <f>COUNTIFS('OB History'!$B:$B,$A$25,'OB History'!N:N, 1)</f>
        <v>1</v>
      </c>
      <c r="T25" s="92">
        <f>COUNTIFS('OB History'!$B:$B,$A$25,'OB History'!O:O, 1)</f>
        <v>2</v>
      </c>
      <c r="U25" s="92">
        <f>COUNTIFS('OB History'!$B:$B,$A$25,'OB History'!P:P, 1)</f>
        <v>2</v>
      </c>
      <c r="V25" s="92">
        <f>COUNTIFS('OB History'!$B:$B,$A$25,'OB History'!Q:Q, 1)</f>
        <v>3</v>
      </c>
      <c r="W25" s="92">
        <f>COUNTIFS('OB History'!$B:$B,$A$25,'OB History'!R:R, 1)</f>
        <v>0</v>
      </c>
      <c r="X25" s="92">
        <f>COUNTIFS('OB History'!$B:$B,$A$25,'OB History'!S:S, 1)</f>
        <v>0</v>
      </c>
      <c r="Y25" s="92">
        <f>COUNTIFS('OB History'!$B:$B,$A$25,'OB History'!T:T, 1)</f>
        <v>0</v>
      </c>
      <c r="Z25" s="92">
        <f>COUNTIFS('OB History'!$B:$B,$A$25,'OB History'!U:U, 1)</f>
        <v>0</v>
      </c>
      <c r="AA25" s="92">
        <f>COUNTIFS('OB History'!$B:$B,$A$25,'OB History'!V:V, 1)</f>
        <v>1</v>
      </c>
      <c r="AB25" s="92">
        <f>COUNTIFS('OB History'!$B:$B,$A$25,'OB History'!W:W, 1)</f>
        <v>1</v>
      </c>
      <c r="AC25" s="92">
        <f>COUNTIFS('OB History'!$B:$B,$A$25,'OB History'!X:X, 1)</f>
        <v>3</v>
      </c>
      <c r="AD25" s="92">
        <f>COUNTIFS('OB History'!$B:$B,$A$25,'OB History'!Y:Y, 1)</f>
        <v>2</v>
      </c>
      <c r="AE25" s="92">
        <f>COUNTIFS('OB History'!$B:$B,$A$25,'OB History'!Z:Z, 1)</f>
        <v>1</v>
      </c>
    </row>
    <row r="26" spans="1:31" x14ac:dyDescent="0.25">
      <c r="A26" s="2" t="s">
        <v>149</v>
      </c>
      <c r="B26" s="6" t="s">
        <v>79</v>
      </c>
      <c r="C26" s="6" t="s">
        <v>79</v>
      </c>
      <c r="D26" s="89">
        <f>SUMIFS('OB History'!C:C,'OB History'!B:B,A26)</f>
        <v>22</v>
      </c>
      <c r="E26" s="90">
        <f>AVERAGEIFS('OB History'!C:C,'OB History'!B:B,A26)</f>
        <v>11</v>
      </c>
      <c r="F26" s="91">
        <f t="array" ref="F26">MAX(IF('OB History'!B:B=A26, 'OB History'!C:C))</f>
        <v>11</v>
      </c>
      <c r="G26" s="89">
        <f>COUNTIFS('OB History'!B:B,A26,'OB History'!D:D, 1)</f>
        <v>0</v>
      </c>
      <c r="H26" s="92">
        <f>COUNTIFS('OB History'!B:B,A26,'OB History'!D:D, 0)</f>
        <v>2</v>
      </c>
      <c r="I26" s="41">
        <f t="shared" ref="I26" si="6">G26/(G26+H26)</f>
        <v>0</v>
      </c>
      <c r="J26" s="89">
        <f>SUMIFS('OB History'!F:F,'OB History'!B:B,A26)</f>
        <v>4</v>
      </c>
      <c r="K26" s="92">
        <f>SUMIFS('OB History'!E:E,'OB History'!B:B,A26)-J26</f>
        <v>6</v>
      </c>
      <c r="L26" s="41">
        <f t="shared" ref="L26" si="7">J26/(J26+K26)</f>
        <v>0.4</v>
      </c>
      <c r="M26" s="89">
        <f>SUMIFS('OB History'!H:H,'OB History'!B:B,'Old Bow v2'!A26)</f>
        <v>20</v>
      </c>
      <c r="N26" s="92">
        <f>SUMIFS('OB History'!G:G,'OB History'!B:B,'Old Bow v2'!A26)-M26</f>
        <v>22</v>
      </c>
      <c r="O26" s="41">
        <f t="shared" ref="O26" si="8">M26/(M26+N26)</f>
        <v>0.47619047619047616</v>
      </c>
      <c r="P26" s="92">
        <f>COUNTIFS('OB History'!$B:$B,$A$26,'OB History'!K:K, 1)</f>
        <v>1</v>
      </c>
      <c r="Q26" s="92">
        <f>COUNTIFS('OB History'!$B:$B,$A$26,'OB History'!L:L, 1)</f>
        <v>0</v>
      </c>
      <c r="R26" s="92">
        <f>COUNTIFS('OB History'!$B:$B,$A$26,'OB History'!M:M, 1)</f>
        <v>0</v>
      </c>
      <c r="S26" s="92">
        <f>COUNTIFS('OB History'!$B:$B,$A$26,'OB History'!N:N, 1)</f>
        <v>0</v>
      </c>
      <c r="T26" s="92">
        <f>COUNTIFS('OB History'!$B:$B,$A$26,'OB History'!O:O, 1)</f>
        <v>0</v>
      </c>
      <c r="U26" s="92">
        <f>COUNTIFS('OB History'!$B:$B,$A$26,'OB History'!P:P, 1)</f>
        <v>1</v>
      </c>
      <c r="V26" s="92">
        <f>COUNTIFS('OB History'!$B:$B,$A$26,'OB History'!Q:Q, 1)</f>
        <v>0</v>
      </c>
      <c r="W26" s="92">
        <f>COUNTIFS('OB History'!$B:$B,$A$26,'OB History'!R:R, 1)</f>
        <v>0</v>
      </c>
      <c r="X26" s="92">
        <f>COUNTIFS('OB History'!$B:$B,$A$26,'OB History'!S:S, 1)</f>
        <v>0</v>
      </c>
      <c r="Y26" s="92">
        <f>COUNTIFS('OB History'!$B:$B,$A$26,'OB History'!T:T, 1)</f>
        <v>0</v>
      </c>
      <c r="Z26" s="92">
        <f>COUNTIFS('OB History'!$B:$B,$A$26,'OB History'!U:U, 1)</f>
        <v>0</v>
      </c>
      <c r="AA26" s="92">
        <f>COUNTIFS('OB History'!$B:$B,$A$26,'OB History'!V:V, 1)</f>
        <v>0</v>
      </c>
      <c r="AB26" s="92">
        <f>COUNTIFS('OB History'!$B:$B,$A$26,'OB History'!W:W, 1)</f>
        <v>0</v>
      </c>
      <c r="AC26" s="92">
        <f>COUNTIFS('OB History'!$B:$B,$A$26,'OB History'!X:X, 1)</f>
        <v>1</v>
      </c>
      <c r="AD26" s="92">
        <f>COUNTIFS('OB History'!$B:$B,$A$26,'OB History'!Y:Y, 1)</f>
        <v>1</v>
      </c>
      <c r="AE26" s="92">
        <f>COUNTIFS('OB History'!$B:$B,$A$26,'OB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89">
        <f>SUMIFS('OB History'!C:C,'OB History'!B:B,A27)</f>
        <v>536</v>
      </c>
      <c r="E27" s="90">
        <f>AVERAGEIFS('OB History'!C:C,'OB History'!B:B,A27)</f>
        <v>25.523809523809526</v>
      </c>
      <c r="F27" s="91">
        <f t="array" ref="F27">MAX(IF('OB History'!B:B=A27, 'OB History'!C:C))</f>
        <v>55</v>
      </c>
      <c r="G27" s="89">
        <f>COUNTIFS('OB History'!B:B,A27,'OB History'!D:D, 1)</f>
        <v>6</v>
      </c>
      <c r="H27" s="92">
        <f>COUNTIFS('OB History'!B:B,A27,'OB History'!D:D, 0)</f>
        <v>15</v>
      </c>
      <c r="I27" s="41">
        <f t="shared" si="0"/>
        <v>0.2857142857142857</v>
      </c>
      <c r="J27" s="89">
        <f>SUMIFS('OB History'!F:F,'OB History'!B:B,A27)</f>
        <v>37</v>
      </c>
      <c r="K27" s="92">
        <f>SUMIFS('OB History'!E:E,'OB History'!B:B,A27)-J27</f>
        <v>50</v>
      </c>
      <c r="L27" s="41">
        <f t="shared" si="1"/>
        <v>0.42528735632183906</v>
      </c>
      <c r="M27" s="89">
        <f>SUMIFS('OB History'!H:H,'OB History'!B:B,'Old Bow v2'!A27)</f>
        <v>172</v>
      </c>
      <c r="N27" s="92">
        <f>SUMIFS('OB History'!G:G,'OB History'!B:B,'Old Bow v2'!A27)-M27</f>
        <v>192</v>
      </c>
      <c r="O27" s="41">
        <f t="shared" si="2"/>
        <v>0.47252747252747251</v>
      </c>
      <c r="P27" s="92">
        <f>COUNTIFS('OB History'!$B:$B,$A$27,'OB History'!K:K, 1)</f>
        <v>2</v>
      </c>
      <c r="Q27" s="92">
        <f>COUNTIFS('OB History'!$B:$B,$A$27,'OB History'!L:L, 1)</f>
        <v>0</v>
      </c>
      <c r="R27" s="92">
        <f>COUNTIFS('OB History'!$B:$B,$A$27,'OB History'!M:M, 1)</f>
        <v>0</v>
      </c>
      <c r="S27" s="92">
        <f>COUNTIFS('OB History'!$B:$B,$A$27,'OB History'!N:N, 1)</f>
        <v>5</v>
      </c>
      <c r="T27" s="92">
        <f>COUNTIFS('OB History'!$B:$B,$A$27,'OB History'!O:O, 1)</f>
        <v>0</v>
      </c>
      <c r="U27" s="92">
        <f>COUNTIFS('OB History'!$B:$B,$A$27,'OB History'!P:P, 1)</f>
        <v>4</v>
      </c>
      <c r="V27" s="92">
        <f>COUNTIFS('OB History'!$B:$B,$A$27,'OB History'!Q:Q, 1)</f>
        <v>1</v>
      </c>
      <c r="W27" s="92">
        <f>COUNTIFS('OB History'!$B:$B,$A$27,'OB History'!R:R, 1)</f>
        <v>0</v>
      </c>
      <c r="X27" s="92">
        <f>COUNTIFS('OB History'!$B:$B,$A$27,'OB History'!S:S, 1)</f>
        <v>0</v>
      </c>
      <c r="Y27" s="92">
        <f>COUNTIFS('OB History'!$B:$B,$A$27,'OB History'!T:T, 1)</f>
        <v>0</v>
      </c>
      <c r="Z27" s="92">
        <f>COUNTIFS('OB History'!$B:$B,$A$27,'OB History'!U:U, 1)</f>
        <v>0</v>
      </c>
      <c r="AA27" s="92">
        <f>COUNTIFS('OB History'!$B:$B,$A$27,'OB History'!V:V, 1)</f>
        <v>0</v>
      </c>
      <c r="AB27" s="92">
        <f>COUNTIFS('OB History'!$B:$B,$A$27,'OB History'!W:W, 1)</f>
        <v>5</v>
      </c>
      <c r="AC27" s="92">
        <f>COUNTIFS('OB History'!$B:$B,$A$27,'OB History'!X:X, 1)</f>
        <v>10</v>
      </c>
      <c r="AD27" s="92">
        <f>COUNTIFS('OB History'!$B:$B,$A$27,'OB History'!Y:Y, 1)</f>
        <v>3</v>
      </c>
      <c r="AE27" s="92">
        <f>COUNTIFS('OB History'!$B:$B,$A$27,'OB History'!Z:Z, 1)</f>
        <v>7</v>
      </c>
    </row>
    <row r="28" spans="1:31" x14ac:dyDescent="0.25">
      <c r="A28" s="1" t="s">
        <v>43</v>
      </c>
      <c r="B28" s="2" t="s">
        <v>79</v>
      </c>
      <c r="C28" s="2" t="s">
        <v>79</v>
      </c>
      <c r="D28" s="89">
        <f>SUMIFS('OB History'!C:C,'OB History'!B:B,A28)</f>
        <v>4</v>
      </c>
      <c r="E28" s="90">
        <f>AVERAGEIFS('OB History'!C:C,'OB History'!B:B,A28)</f>
        <v>4</v>
      </c>
      <c r="F28" s="91">
        <f t="array" ref="F28">MAX(IF('OB History'!B:B=A28, 'OB History'!C:C))</f>
        <v>4</v>
      </c>
      <c r="G28" s="89">
        <f>COUNTIFS('OB History'!B:B,A28,'OB History'!D:D, 1)</f>
        <v>1</v>
      </c>
      <c r="H28" s="92">
        <f>COUNTIFS('OB History'!B:B,A28,'OB History'!D:D, 0)</f>
        <v>0</v>
      </c>
      <c r="I28" s="42">
        <f t="shared" si="0"/>
        <v>1</v>
      </c>
      <c r="J28" s="89">
        <f>SUMIFS('OB History'!F:F,'OB History'!B:B,A28)</f>
        <v>3</v>
      </c>
      <c r="K28" s="92">
        <f>SUMIFS('OB History'!E:E,'OB History'!B:B,A28)-J28</f>
        <v>0</v>
      </c>
      <c r="L28" s="42">
        <f t="shared" si="1"/>
        <v>1</v>
      </c>
      <c r="M28" s="89">
        <f>SUMIFS('OB History'!H:H,'OB History'!B:B,'Old Bow v2'!A28)</f>
        <v>9</v>
      </c>
      <c r="N28" s="92">
        <f>SUMIFS('OB History'!G:G,'OB History'!B:B,'Old Bow v2'!A28)-M28</f>
        <v>4</v>
      </c>
      <c r="O28" s="42">
        <f t="shared" si="2"/>
        <v>0.69230769230769229</v>
      </c>
      <c r="P28" s="92">
        <f>COUNTIFS('OB History'!$B:$B,$A$28,'OB History'!K:K, 1)</f>
        <v>0</v>
      </c>
      <c r="Q28" s="92">
        <f>COUNTIFS('OB History'!$B:$B,$A$28,'OB History'!L:L, 1)</f>
        <v>0</v>
      </c>
      <c r="R28" s="92">
        <f>COUNTIFS('OB History'!$B:$B,$A$28,'OB History'!M:M, 1)</f>
        <v>0</v>
      </c>
      <c r="S28" s="92">
        <f>COUNTIFS('OB History'!$B:$B,$A$28,'OB History'!N:N, 1)</f>
        <v>0</v>
      </c>
      <c r="T28" s="92">
        <f>COUNTIFS('OB History'!$B:$B,$A$28,'OB History'!O:O, 1)</f>
        <v>0</v>
      </c>
      <c r="U28" s="92">
        <f>COUNTIFS('OB History'!$B:$B,$A$28,'OB History'!P:P, 1)</f>
        <v>1</v>
      </c>
      <c r="V28" s="92">
        <f>COUNTIFS('OB History'!$B:$B,$A$28,'OB History'!Q:Q, 1)</f>
        <v>0</v>
      </c>
      <c r="W28" s="92">
        <f>COUNTIFS('OB History'!$B:$B,$A$28,'OB History'!R:R, 1)</f>
        <v>0</v>
      </c>
      <c r="X28" s="92">
        <f>COUNTIFS('OB History'!$B:$B,$A$28,'OB History'!S:S, 1)</f>
        <v>0</v>
      </c>
      <c r="Y28" s="92">
        <f>COUNTIFS('OB History'!$B:$B,$A$28,'OB History'!T:T, 1)</f>
        <v>0</v>
      </c>
      <c r="Z28" s="92">
        <f>COUNTIFS('OB History'!$B:$B,$A$28,'OB History'!U:U, 1)</f>
        <v>0</v>
      </c>
      <c r="AA28" s="92">
        <f>COUNTIFS('OB History'!$B:$B,$A$28,'OB History'!V:V, 1)</f>
        <v>0</v>
      </c>
      <c r="AB28" s="92">
        <f>COUNTIFS('OB History'!$B:$B,$A$28,'OB History'!W:W, 1)</f>
        <v>0</v>
      </c>
      <c r="AC28" s="92">
        <f>COUNTIFS('OB History'!$B:$B,$A$28,'OB History'!X:X, 1)</f>
        <v>1</v>
      </c>
      <c r="AD28" s="92">
        <f>COUNTIFS('OB History'!$B:$B,$A$28,'OB History'!Y:Y, 1)</f>
        <v>0</v>
      </c>
      <c r="AE28" s="92">
        <f>COUNTIFS('OB History'!$B:$B,$A$28,'OB History'!Z:Z, 1)</f>
        <v>1</v>
      </c>
    </row>
    <row r="29" spans="1:31" x14ac:dyDescent="0.25">
      <c r="A29" s="2" t="s">
        <v>13</v>
      </c>
      <c r="B29" s="6" t="s">
        <v>124</v>
      </c>
      <c r="C29" s="6" t="s">
        <v>60</v>
      </c>
      <c r="D29" s="89">
        <f>SUMIFS('OB History'!C:C,'OB History'!B:B,A29)</f>
        <v>887</v>
      </c>
      <c r="E29" s="90">
        <f>AVERAGEIFS('OB History'!C:C,'OB History'!B:B,A29)</f>
        <v>28.612903225806452</v>
      </c>
      <c r="F29" s="91">
        <f t="array" ref="F29">MAX(IF('OB History'!B:B=A29, 'OB History'!C:C))</f>
        <v>57</v>
      </c>
      <c r="G29" s="89">
        <f>COUNTIFS('OB History'!B:B,A29,'OB History'!D:D, 1)</f>
        <v>19</v>
      </c>
      <c r="H29" s="92">
        <f>COUNTIFS('OB History'!B:B,A29,'OB History'!D:D, 0)</f>
        <v>12</v>
      </c>
      <c r="I29" s="41">
        <f t="shared" si="0"/>
        <v>0.61290322580645162</v>
      </c>
      <c r="J29" s="89">
        <f>SUMIFS('OB History'!F:F,'OB History'!B:B,A29)</f>
        <v>71</v>
      </c>
      <c r="K29" s="92">
        <f>SUMIFS('OB History'!E:E,'OB History'!B:B,A29)-J29</f>
        <v>59</v>
      </c>
      <c r="L29" s="41">
        <f t="shared" si="1"/>
        <v>0.5461538461538461</v>
      </c>
      <c r="M29" s="89">
        <f>SUMIFS('OB History'!H:H,'OB History'!B:B,'Old Bow v2'!A29)</f>
        <v>283</v>
      </c>
      <c r="N29" s="92">
        <f>SUMIFS('OB History'!G:G,'OB History'!B:B,'Old Bow v2'!A29)-M29</f>
        <v>252</v>
      </c>
      <c r="O29" s="41">
        <f t="shared" si="2"/>
        <v>0.52897196261682244</v>
      </c>
      <c r="P29" s="92">
        <f>COUNTIFS('OB History'!$B:$B,$A$29,'OB History'!K:K, 1)</f>
        <v>3</v>
      </c>
      <c r="Q29" s="92">
        <f>COUNTIFS('OB History'!$B:$B,$A$29,'OB History'!L:L, 1)</f>
        <v>6</v>
      </c>
      <c r="R29" s="92">
        <f>COUNTIFS('OB History'!$B:$B,$A$29,'OB History'!M:M, 1)</f>
        <v>2</v>
      </c>
      <c r="S29" s="92">
        <f>COUNTIFS('OB History'!$B:$B,$A$29,'OB History'!N:N, 1)</f>
        <v>8</v>
      </c>
      <c r="T29" s="92">
        <f>COUNTIFS('OB History'!$B:$B,$A$29,'OB History'!O:O, 1)</f>
        <v>3</v>
      </c>
      <c r="U29" s="92">
        <f>COUNTIFS('OB History'!$B:$B,$A$29,'OB History'!P:P, 1)</f>
        <v>11</v>
      </c>
      <c r="V29" s="92">
        <f>COUNTIFS('OB History'!$B:$B,$A$29,'OB History'!Q:Q, 1)</f>
        <v>4</v>
      </c>
      <c r="W29" s="92">
        <f>COUNTIFS('OB History'!$B:$B,$A$29,'OB History'!R:R, 1)</f>
        <v>1</v>
      </c>
      <c r="X29" s="92">
        <f>COUNTIFS('OB History'!$B:$B,$A$29,'OB History'!S:S, 1)</f>
        <v>1</v>
      </c>
      <c r="Y29" s="92">
        <f>COUNTIFS('OB History'!$B:$B,$A$29,'OB History'!T:T, 1)</f>
        <v>1</v>
      </c>
      <c r="Z29" s="92">
        <f>COUNTIFS('OB History'!$B:$B,$A$29,'OB History'!U:U, 1)</f>
        <v>1</v>
      </c>
      <c r="AA29" s="92">
        <f>COUNTIFS('OB History'!$B:$B,$A$29,'OB History'!V:V, 1)</f>
        <v>4</v>
      </c>
      <c r="AB29" s="92">
        <f>COUNTIFS('OB History'!$B:$B,$A$29,'OB History'!W:W, 1)</f>
        <v>7</v>
      </c>
      <c r="AC29" s="92">
        <f>COUNTIFS('OB History'!$B:$B,$A$29,'OB History'!X:X, 1)</f>
        <v>8</v>
      </c>
      <c r="AD29" s="92">
        <f>COUNTIFS('OB History'!$B:$B,$A$29,'OB History'!Y:Y, 1)</f>
        <v>2</v>
      </c>
      <c r="AE29" s="92">
        <f>COUNTIFS('OB History'!$B:$B,$A$29,'OB History'!Z:Z, 1)</f>
        <v>9</v>
      </c>
    </row>
    <row r="30" spans="1:31" x14ac:dyDescent="0.25">
      <c r="A30" s="2" t="s">
        <v>2</v>
      </c>
      <c r="B30" s="6" t="s">
        <v>60</v>
      </c>
      <c r="C30" s="2" t="s">
        <v>79</v>
      </c>
      <c r="D30" s="89">
        <f>SUMIFS('OB History'!C:C,'OB History'!B:B,A30)</f>
        <v>354</v>
      </c>
      <c r="E30" s="90">
        <f>AVERAGEIFS('OB History'!C:C,'OB History'!B:B,A30)</f>
        <v>27.23076923076923</v>
      </c>
      <c r="F30" s="91">
        <f t="array" ref="F30">MAX(IF('OB History'!B:B=A30, 'OB History'!C:C))</f>
        <v>42</v>
      </c>
      <c r="G30" s="89">
        <f>COUNTIFS('OB History'!B:B,A30,'OB History'!D:D, 1)</f>
        <v>7</v>
      </c>
      <c r="H30" s="92">
        <f>COUNTIFS('OB History'!B:B,A30,'OB History'!D:D, 0)</f>
        <v>6</v>
      </c>
      <c r="I30" s="41">
        <f t="shared" si="0"/>
        <v>0.53846153846153844</v>
      </c>
      <c r="J30" s="89">
        <f>SUMIFS('OB History'!F:F,'OB History'!B:B,A30)</f>
        <v>30</v>
      </c>
      <c r="K30" s="92">
        <f>SUMIFS('OB History'!E:E,'OB History'!B:B,A30)-J30</f>
        <v>26</v>
      </c>
      <c r="L30" s="41">
        <f t="shared" si="1"/>
        <v>0.5357142857142857</v>
      </c>
      <c r="M30" s="89">
        <f>SUMIFS('OB History'!H:H,'OB History'!B:B,'Old Bow v2'!A30)</f>
        <v>124</v>
      </c>
      <c r="N30" s="92">
        <f>SUMIFS('OB History'!G:G,'OB History'!B:B,'Old Bow v2'!A30)-M30</f>
        <v>109</v>
      </c>
      <c r="O30" s="41">
        <f t="shared" si="2"/>
        <v>0.53218884120171672</v>
      </c>
      <c r="P30" s="92">
        <f>COUNTIFS('OB History'!$B:$B,$A$30,'OB History'!K:K, 1)</f>
        <v>2</v>
      </c>
      <c r="Q30" s="92">
        <f>COUNTIFS('OB History'!$B:$B,$A$30,'OB History'!L:L, 1)</f>
        <v>2</v>
      </c>
      <c r="R30" s="92">
        <f>COUNTIFS('OB History'!$B:$B,$A$30,'OB History'!M:M, 1)</f>
        <v>2</v>
      </c>
      <c r="S30" s="92">
        <f>COUNTIFS('OB History'!$B:$B,$A$30,'OB History'!N:N, 1)</f>
        <v>6</v>
      </c>
      <c r="T30" s="92">
        <f>COUNTIFS('OB History'!$B:$B,$A$30,'OB History'!O:O, 1)</f>
        <v>0</v>
      </c>
      <c r="U30" s="92">
        <f>COUNTIFS('OB History'!$B:$B,$A$30,'OB History'!P:P, 1)</f>
        <v>3</v>
      </c>
      <c r="V30" s="92">
        <f>COUNTIFS('OB History'!$B:$B,$A$30,'OB History'!Q:Q, 1)</f>
        <v>0</v>
      </c>
      <c r="W30" s="92">
        <f>COUNTIFS('OB History'!$B:$B,$A$30,'OB History'!R:R, 1)</f>
        <v>1</v>
      </c>
      <c r="X30" s="92">
        <f>COUNTIFS('OB History'!$B:$B,$A$30,'OB History'!S:S, 1)</f>
        <v>0</v>
      </c>
      <c r="Y30" s="92">
        <f>COUNTIFS('OB History'!$B:$B,$A$30,'OB History'!T:T, 1)</f>
        <v>0</v>
      </c>
      <c r="Z30" s="92">
        <f>COUNTIFS('OB History'!$B:$B,$A$30,'OB History'!U:U, 1)</f>
        <v>0</v>
      </c>
      <c r="AA30" s="92">
        <f>COUNTIFS('OB History'!$B:$B,$A$30,'OB History'!V:V, 1)</f>
        <v>0</v>
      </c>
      <c r="AB30" s="92">
        <f>COUNTIFS('OB History'!$B:$B,$A$30,'OB History'!W:W, 1)</f>
        <v>5</v>
      </c>
      <c r="AC30" s="92">
        <f>COUNTIFS('OB History'!$B:$B,$A$30,'OB History'!X:X, 1)</f>
        <v>1</v>
      </c>
      <c r="AD30" s="92">
        <f>COUNTIFS('OB History'!$B:$B,$A$30,'OB History'!Y:Y, 1)</f>
        <v>4</v>
      </c>
      <c r="AE30" s="92">
        <f>COUNTIFS('OB History'!$B:$B,$A$30,'OB History'!Z:Z, 1)</f>
        <v>4</v>
      </c>
    </row>
    <row r="31" spans="1:31" x14ac:dyDescent="0.25">
      <c r="A31" s="2" t="s">
        <v>54</v>
      </c>
      <c r="B31" s="6" t="s">
        <v>60</v>
      </c>
      <c r="C31" s="6" t="s">
        <v>79</v>
      </c>
      <c r="D31" s="89">
        <f>SUMIFS('OB History'!C:C,'OB History'!B:B,A31)</f>
        <v>65</v>
      </c>
      <c r="E31" s="90">
        <f>AVERAGEIFS('OB History'!C:C,'OB History'!B:B,A31)</f>
        <v>21.666666666666668</v>
      </c>
      <c r="F31" s="91">
        <f t="array" ref="F31">MAX(IF('OB History'!B:B=A31, 'OB History'!C:C))</f>
        <v>29</v>
      </c>
      <c r="G31" s="89">
        <f>COUNTIFS('OB History'!B:B,A31,'OB History'!D:D, 1)</f>
        <v>3</v>
      </c>
      <c r="H31" s="92">
        <f>COUNTIFS('OB History'!B:B,A31,'OB History'!D:D, 0)</f>
        <v>0</v>
      </c>
      <c r="I31" s="42">
        <f t="shared" si="0"/>
        <v>1</v>
      </c>
      <c r="J31" s="89">
        <f>SUMIFS('OB History'!F:F,'OB History'!B:B,A31)</f>
        <v>9</v>
      </c>
      <c r="K31" s="92">
        <f>SUMIFS('OB History'!E:E,'OB History'!B:B,A31)-J31</f>
        <v>6</v>
      </c>
      <c r="L31" s="42">
        <f t="shared" si="1"/>
        <v>0.6</v>
      </c>
      <c r="M31" s="89">
        <f>SUMIFS('OB History'!H:H,'OB History'!B:B,'Old Bow v2'!A31)</f>
        <v>36</v>
      </c>
      <c r="N31" s="92">
        <f>SUMIFS('OB History'!G:G,'OB History'!B:B,'Old Bow v2'!A31)-M31</f>
        <v>26</v>
      </c>
      <c r="O31" s="42">
        <f t="shared" si="2"/>
        <v>0.58064516129032262</v>
      </c>
      <c r="P31" s="92">
        <f>COUNTIFS('OB History'!$B:$B,$A$31,'OB History'!K:K, 1)</f>
        <v>0</v>
      </c>
      <c r="Q31" s="92">
        <f>COUNTIFS('OB History'!$B:$B,$A$31,'OB History'!L:L, 1)</f>
        <v>1</v>
      </c>
      <c r="R31" s="92">
        <f>COUNTIFS('OB History'!$B:$B,$A$31,'OB History'!M:M, 1)</f>
        <v>0</v>
      </c>
      <c r="S31" s="92">
        <f>COUNTIFS('OB History'!$B:$B,$A$31,'OB History'!N:N, 1)</f>
        <v>1</v>
      </c>
      <c r="T31" s="92">
        <f>COUNTIFS('OB History'!$B:$B,$A$31,'OB History'!O:O, 1)</f>
        <v>2</v>
      </c>
      <c r="U31" s="92">
        <f>COUNTIFS('OB History'!$B:$B,$A$31,'OB History'!P:P, 1)</f>
        <v>1</v>
      </c>
      <c r="V31" s="92">
        <f>COUNTIFS('OB History'!$B:$B,$A$31,'OB History'!Q:Q, 1)</f>
        <v>2</v>
      </c>
      <c r="W31" s="92">
        <f>COUNTIFS('OB History'!$B:$B,$A$31,'OB History'!R:R, 1)</f>
        <v>0</v>
      </c>
      <c r="X31" s="92">
        <f>COUNTIFS('OB History'!$B:$B,$A$31,'OB History'!S:S, 1)</f>
        <v>0</v>
      </c>
      <c r="Y31" s="92">
        <f>COUNTIFS('OB History'!$B:$B,$A$31,'OB History'!T:T, 1)</f>
        <v>0</v>
      </c>
      <c r="Z31" s="92">
        <f>COUNTIFS('OB History'!$B:$B,$A$31,'OB History'!U:U, 1)</f>
        <v>0</v>
      </c>
      <c r="AA31" s="92">
        <f>COUNTIFS('OB History'!$B:$B,$A$31,'OB History'!V:V, 1)</f>
        <v>1</v>
      </c>
      <c r="AB31" s="92">
        <f>COUNTIFS('OB History'!$B:$B,$A$31,'OB History'!W:W, 1)</f>
        <v>1</v>
      </c>
      <c r="AC31" s="92">
        <f>COUNTIFS('OB History'!$B:$B,$A$31,'OB History'!X:X, 1)</f>
        <v>0</v>
      </c>
      <c r="AD31" s="92">
        <f>COUNTIFS('OB History'!$B:$B,$A$31,'OB History'!Y:Y, 1)</f>
        <v>0</v>
      </c>
      <c r="AE31" s="92">
        <f>COUNTIFS('OB History'!$B:$B,$A$31,'OB History'!Z:Z, 1)</f>
        <v>0</v>
      </c>
    </row>
    <row r="32" spans="1:31" x14ac:dyDescent="0.25">
      <c r="A32" s="2" t="s">
        <v>5</v>
      </c>
      <c r="B32" s="6" t="s">
        <v>60</v>
      </c>
      <c r="C32" s="2" t="s">
        <v>79</v>
      </c>
      <c r="D32" s="89">
        <f>SUMIFS('OB History'!C:C,'OB History'!B:B,A32)</f>
        <v>236</v>
      </c>
      <c r="E32" s="90">
        <f>AVERAGEIFS('OB History'!C:C,'OB History'!B:B,A32)</f>
        <v>23.6</v>
      </c>
      <c r="F32" s="91">
        <f t="array" ref="F32">MAX(IF('OB History'!B:B=A32, 'OB History'!C:C))</f>
        <v>36</v>
      </c>
      <c r="G32" s="89">
        <f>COUNTIFS('OB History'!B:B,A32,'OB History'!D:D, 1)</f>
        <v>5</v>
      </c>
      <c r="H32" s="92">
        <f>COUNTIFS('OB History'!B:B,A32,'OB History'!D:D, 0)</f>
        <v>5</v>
      </c>
      <c r="I32" s="41">
        <f t="shared" si="0"/>
        <v>0.5</v>
      </c>
      <c r="J32" s="89">
        <f>SUMIFS('OB History'!F:F,'OB History'!B:B,A32)</f>
        <v>21</v>
      </c>
      <c r="K32" s="92">
        <f>SUMIFS('OB History'!E:E,'OB History'!B:B,A32)-J32</f>
        <v>23</v>
      </c>
      <c r="L32" s="41">
        <f t="shared" si="1"/>
        <v>0.47727272727272729</v>
      </c>
      <c r="M32" s="89">
        <f>SUMIFS('OB History'!H:H,'OB History'!B:B,'Old Bow v2'!A32)</f>
        <v>91</v>
      </c>
      <c r="N32" s="92">
        <f>SUMIFS('OB History'!G:G,'OB History'!B:B,'Old Bow v2'!A32)-M32</f>
        <v>95</v>
      </c>
      <c r="O32" s="41">
        <f t="shared" si="2"/>
        <v>0.489247311827957</v>
      </c>
      <c r="P32" s="92">
        <f>COUNTIFS('OB History'!$B:$B,$A$32,'OB History'!K:K, 1)</f>
        <v>1</v>
      </c>
      <c r="Q32" s="92">
        <f>COUNTIFS('OB History'!$B:$B,$A$32,'OB History'!L:L, 1)</f>
        <v>1</v>
      </c>
      <c r="R32" s="92">
        <f>COUNTIFS('OB History'!$B:$B,$A$32,'OB History'!M:M, 1)</f>
        <v>3</v>
      </c>
      <c r="S32" s="92">
        <f>COUNTIFS('OB History'!$B:$B,$A$32,'OB History'!N:N, 1)</f>
        <v>2</v>
      </c>
      <c r="T32" s="92">
        <f>COUNTIFS('OB History'!$B:$B,$A$32,'OB History'!O:O, 1)</f>
        <v>1</v>
      </c>
      <c r="U32" s="92">
        <f>COUNTIFS('OB History'!$B:$B,$A$32,'OB History'!P:P, 1)</f>
        <v>1</v>
      </c>
      <c r="V32" s="92">
        <f>COUNTIFS('OB History'!$B:$B,$A$32,'OB History'!Q:Q, 1)</f>
        <v>0</v>
      </c>
      <c r="W32" s="92">
        <f>COUNTIFS('OB History'!$B:$B,$A$32,'OB History'!R:R, 1)</f>
        <v>1</v>
      </c>
      <c r="X32" s="92">
        <f>COUNTIFS('OB History'!$B:$B,$A$32,'OB History'!S:S, 1)</f>
        <v>0</v>
      </c>
      <c r="Y32" s="92">
        <f>COUNTIFS('OB History'!$B:$B,$A$32,'OB History'!T:T, 1)</f>
        <v>0</v>
      </c>
      <c r="Z32" s="92">
        <f>COUNTIFS('OB History'!$B:$B,$A$32,'OB History'!U:U, 1)</f>
        <v>0</v>
      </c>
      <c r="AA32" s="92">
        <f>COUNTIFS('OB History'!$B:$B,$A$32,'OB History'!V:V, 1)</f>
        <v>0</v>
      </c>
      <c r="AB32" s="92">
        <f>COUNTIFS('OB History'!$B:$B,$A$32,'OB History'!W:W, 1)</f>
        <v>1</v>
      </c>
      <c r="AC32" s="92">
        <f>COUNTIFS('OB History'!$B:$B,$A$32,'OB History'!X:X, 1)</f>
        <v>5</v>
      </c>
      <c r="AD32" s="92">
        <f>COUNTIFS('OB History'!$B:$B,$A$32,'OB History'!Y:Y, 1)</f>
        <v>3</v>
      </c>
      <c r="AE32" s="92">
        <f>COUNTIFS('OB History'!$B:$B,$A$32,'OB History'!Z:Z, 1)</f>
        <v>2</v>
      </c>
    </row>
    <row r="33" spans="1:31" x14ac:dyDescent="0.25">
      <c r="A33" s="2" t="s">
        <v>38</v>
      </c>
      <c r="B33" s="2" t="s">
        <v>79</v>
      </c>
      <c r="C33" s="2" t="s">
        <v>79</v>
      </c>
      <c r="D33" s="89">
        <f>SUMIFS('OB History'!C:C,'OB History'!B:B,A33)</f>
        <v>24</v>
      </c>
      <c r="E33" s="90">
        <f>AVERAGEIFS('OB History'!C:C,'OB History'!B:B,A33)</f>
        <v>4</v>
      </c>
      <c r="F33" s="91">
        <f t="array" ref="F33">MAX(IF('OB History'!B:B=A33, 'OB History'!C:C))</f>
        <v>7</v>
      </c>
      <c r="G33" s="89">
        <f>COUNTIFS('OB History'!B:B,A33,'OB History'!D:D, 1)</f>
        <v>2</v>
      </c>
      <c r="H33" s="92">
        <f>COUNTIFS('OB History'!B:B,A33,'OB History'!D:D, 0)</f>
        <v>4</v>
      </c>
      <c r="I33" s="41">
        <f t="shared" si="0"/>
        <v>0.33333333333333331</v>
      </c>
      <c r="J33" s="89">
        <f>SUMIFS('OB History'!F:F,'OB History'!B:B,A33)</f>
        <v>8</v>
      </c>
      <c r="K33" s="92">
        <f>SUMIFS('OB History'!E:E,'OB History'!B:B,A33)-J33</f>
        <v>13</v>
      </c>
      <c r="L33" s="41">
        <f t="shared" si="1"/>
        <v>0.38095238095238093</v>
      </c>
      <c r="M33" s="89">
        <f>SUMIFS('OB History'!H:H,'OB History'!B:B,'Old Bow v2'!A33)</f>
        <v>35</v>
      </c>
      <c r="N33" s="92">
        <f>SUMIFS('OB History'!G:G,'OB History'!B:B,'Old Bow v2'!A33)-M33</f>
        <v>50</v>
      </c>
      <c r="O33" s="41">
        <f t="shared" si="2"/>
        <v>0.41176470588235292</v>
      </c>
      <c r="P33" s="92">
        <f>COUNTIFS('OB History'!$B:$B,$A$33,'OB History'!K:K, 1)</f>
        <v>1</v>
      </c>
      <c r="Q33" s="92">
        <f>COUNTIFS('OB History'!$B:$B,$A$33,'OB History'!L:L, 1)</f>
        <v>1</v>
      </c>
      <c r="R33" s="92">
        <f>COUNTIFS('OB History'!$B:$B,$A$33,'OB History'!M:M, 1)</f>
        <v>1</v>
      </c>
      <c r="S33" s="92">
        <f>COUNTIFS('OB History'!$B:$B,$A$33,'OB History'!N:N, 1)</f>
        <v>1</v>
      </c>
      <c r="T33" s="92">
        <f>COUNTIFS('OB History'!$B:$B,$A$33,'OB History'!O:O, 1)</f>
        <v>0</v>
      </c>
      <c r="U33" s="92">
        <f>COUNTIFS('OB History'!$B:$B,$A$33,'OB History'!P:P, 1)</f>
        <v>2</v>
      </c>
      <c r="V33" s="92">
        <f>COUNTIFS('OB History'!$B:$B,$A$33,'OB History'!Q:Q, 1)</f>
        <v>0</v>
      </c>
      <c r="W33" s="92">
        <f>COUNTIFS('OB History'!$B:$B,$A$33,'OB History'!R:R, 1)</f>
        <v>1</v>
      </c>
      <c r="X33" s="92">
        <f>COUNTIFS('OB History'!$B:$B,$A$33,'OB History'!S:S, 1)</f>
        <v>0</v>
      </c>
      <c r="Y33" s="92">
        <f>COUNTIFS('OB History'!$B:$B,$A$33,'OB History'!T:T, 1)</f>
        <v>0</v>
      </c>
      <c r="Z33" s="92">
        <f>COUNTIFS('OB History'!$B:$B,$A$33,'OB History'!U:U, 1)</f>
        <v>0</v>
      </c>
      <c r="AA33" s="92">
        <f>COUNTIFS('OB History'!$B:$B,$A$33,'OB History'!V:V, 1)</f>
        <v>0</v>
      </c>
      <c r="AB33" s="92">
        <f>COUNTIFS('OB History'!$B:$B,$A$33,'OB History'!W:W, 1)</f>
        <v>1</v>
      </c>
      <c r="AC33" s="92">
        <f>COUNTIFS('OB History'!$B:$B,$A$33,'OB History'!X:X, 1)</f>
        <v>0</v>
      </c>
      <c r="AD33" s="92">
        <f>COUNTIFS('OB History'!$B:$B,$A$33,'OB History'!Y:Y, 1)</f>
        <v>0</v>
      </c>
      <c r="AE33" s="92">
        <f>COUNTIFS('OB History'!$B:$B,$A$33,'OB History'!Z:Z, 1)</f>
        <v>0</v>
      </c>
    </row>
    <row r="34" spans="1:31" x14ac:dyDescent="0.25">
      <c r="A34" s="2" t="s">
        <v>150</v>
      </c>
      <c r="B34" s="2" t="s">
        <v>79</v>
      </c>
      <c r="C34" s="2" t="s">
        <v>79</v>
      </c>
      <c r="D34" s="89">
        <f>SUMIFS('OB History'!C:C,'OB History'!B:B,A34)</f>
        <v>4</v>
      </c>
      <c r="E34" s="90">
        <f>AVERAGEIFS('OB History'!C:C,'OB History'!B:B,A34)</f>
        <v>4</v>
      </c>
      <c r="F34" s="91">
        <f t="array" ref="F34">MAX(IF('OB History'!B:B=A34, 'OB History'!C:C))</f>
        <v>4</v>
      </c>
      <c r="G34" s="89">
        <f>COUNTIFS('OB History'!B:B,A34,'OB History'!D:D, 1)</f>
        <v>0</v>
      </c>
      <c r="H34" s="92">
        <f>COUNTIFS('OB History'!B:B,A34,'OB History'!D:D, 0)</f>
        <v>1</v>
      </c>
      <c r="I34" s="41">
        <f t="shared" ref="I34" si="9">G34/(G34+H34)</f>
        <v>0</v>
      </c>
      <c r="J34" s="89">
        <f>SUMIFS('OB History'!F:F,'OB History'!B:B,A34)</f>
        <v>2</v>
      </c>
      <c r="K34" s="92">
        <f>SUMIFS('OB History'!E:E,'OB History'!B:B,A34)-J34</f>
        <v>3</v>
      </c>
      <c r="L34" s="41">
        <f t="shared" ref="L34" si="10">J34/(J34+K34)</f>
        <v>0.4</v>
      </c>
      <c r="M34" s="89">
        <f>SUMIFS('OB History'!H:H,'OB History'!B:B,'Old Bow v2'!A34)</f>
        <v>8</v>
      </c>
      <c r="N34" s="92">
        <f>SUMIFS('OB History'!G:G,'OB History'!B:B,'Old Bow v2'!A34)-M34</f>
        <v>10</v>
      </c>
      <c r="O34" s="41">
        <f t="shared" ref="O34" si="11">M34/(M34+N34)</f>
        <v>0.44444444444444442</v>
      </c>
      <c r="P34" s="92">
        <f>COUNTIFS('OB History'!$B:$B,$A$34,'OB History'!K:K, 1)</f>
        <v>1</v>
      </c>
      <c r="Q34" s="92">
        <f>COUNTIFS('OB History'!$B:$B,$A$34,'OB History'!L:L, 1)</f>
        <v>0</v>
      </c>
      <c r="R34" s="92">
        <f>COUNTIFS('OB History'!$B:$B,$A$34,'OB History'!M:M, 1)</f>
        <v>0</v>
      </c>
      <c r="S34" s="92">
        <f>COUNTIFS('OB History'!$B:$B,$A$34,'OB History'!N:N, 1)</f>
        <v>0</v>
      </c>
      <c r="T34" s="92">
        <f>COUNTIFS('OB History'!$B:$B,$A$34,'OB History'!O:O, 1)</f>
        <v>0</v>
      </c>
      <c r="U34" s="92">
        <f>COUNTIFS('OB History'!$B:$B,$A$34,'OB History'!P:P, 1)</f>
        <v>1</v>
      </c>
      <c r="V34" s="92">
        <f>COUNTIFS('OB History'!$B:$B,$A$34,'OB History'!Q:Q, 1)</f>
        <v>0</v>
      </c>
      <c r="W34" s="92">
        <f>COUNTIFS('OB History'!$B:$B,$A$34,'OB History'!R:R, 1)</f>
        <v>0</v>
      </c>
      <c r="X34" s="92">
        <f>COUNTIFS('OB History'!$B:$B,$A$34,'OB History'!S:S, 1)</f>
        <v>0</v>
      </c>
      <c r="Y34" s="92">
        <f>COUNTIFS('OB History'!$B:$B,$A$34,'OB History'!T:T, 1)</f>
        <v>0</v>
      </c>
      <c r="Z34" s="92">
        <f>COUNTIFS('OB History'!$B:$B,$A$34,'OB History'!U:U, 1)</f>
        <v>0</v>
      </c>
      <c r="AA34" s="92">
        <f>COUNTIFS('OB History'!$B:$B,$A$34,'OB History'!V:V, 1)</f>
        <v>0</v>
      </c>
      <c r="AB34" s="92">
        <f>COUNTIFS('OB History'!$B:$B,$A$34,'OB History'!W:W, 1)</f>
        <v>0</v>
      </c>
      <c r="AC34" s="92">
        <f>COUNTIFS('OB History'!$B:$B,$A$34,'OB History'!X:X, 1)</f>
        <v>0</v>
      </c>
      <c r="AD34" s="92">
        <f>COUNTIFS('OB History'!$B:$B,$A$34,'OB History'!Y:Y, 1)</f>
        <v>0</v>
      </c>
      <c r="AE34" s="92">
        <f>COUNTIFS('OB History'!$B:$B,$A$34,'OB History'!Z:Z, 1)</f>
        <v>0</v>
      </c>
    </row>
    <row r="35" spans="1:31" x14ac:dyDescent="0.25">
      <c r="A35" s="2" t="s">
        <v>40</v>
      </c>
      <c r="B35" s="2" t="s">
        <v>79</v>
      </c>
      <c r="C35" s="2" t="s">
        <v>79</v>
      </c>
      <c r="D35" s="89">
        <f>SUMIFS('OB History'!C:C,'OB History'!B:B,A35)</f>
        <v>65</v>
      </c>
      <c r="E35" s="90">
        <f>AVERAGEIFS('OB History'!C:C,'OB History'!B:B,A35)</f>
        <v>16.25</v>
      </c>
      <c r="F35" s="91">
        <f t="array" ref="F35">MAX(IF('OB History'!B:B=A35, 'OB History'!C:C))</f>
        <v>28</v>
      </c>
      <c r="G35" s="89">
        <f>COUNTIFS('OB History'!B:B,A35,'OB History'!D:D, 1)</f>
        <v>0</v>
      </c>
      <c r="H35" s="92">
        <f>COUNTIFS('OB History'!B:B,A35,'OB History'!D:D, 0)</f>
        <v>4</v>
      </c>
      <c r="I35" s="42">
        <f t="shared" si="0"/>
        <v>0</v>
      </c>
      <c r="J35" s="89">
        <f>SUMIFS('OB History'!F:F,'OB History'!B:B,A35)</f>
        <v>4</v>
      </c>
      <c r="K35" s="92">
        <f>SUMIFS('OB History'!E:E,'OB History'!B:B,A35)-J35</f>
        <v>12</v>
      </c>
      <c r="L35" s="42">
        <f t="shared" si="1"/>
        <v>0.25</v>
      </c>
      <c r="M35" s="89">
        <f>SUMIFS('OB History'!H:H,'OB History'!B:B,'Old Bow v2'!A35)</f>
        <v>23</v>
      </c>
      <c r="N35" s="92">
        <f>SUMIFS('OB History'!G:G,'OB History'!B:B,'Old Bow v2'!A35)-M35</f>
        <v>42</v>
      </c>
      <c r="O35" s="42">
        <f t="shared" si="2"/>
        <v>0.35384615384615387</v>
      </c>
      <c r="P35" s="92">
        <f>COUNTIFS('OB History'!$B:$B,$A$35,'OB History'!K:K, 1)</f>
        <v>1</v>
      </c>
      <c r="Q35" s="92">
        <f>COUNTIFS('OB History'!$B:$B,$A$35,'OB History'!L:L, 1)</f>
        <v>0</v>
      </c>
      <c r="R35" s="92">
        <f>COUNTIFS('OB History'!$B:$B,$A$35,'OB History'!M:M, 1)</f>
        <v>0</v>
      </c>
      <c r="S35" s="92">
        <f>COUNTIFS('OB History'!$B:$B,$A$35,'OB History'!N:N, 1)</f>
        <v>0</v>
      </c>
      <c r="T35" s="92">
        <f>COUNTIFS('OB History'!$B:$B,$A$35,'OB History'!O:O, 1)</f>
        <v>0</v>
      </c>
      <c r="U35" s="92">
        <f>COUNTIFS('OB History'!$B:$B,$A$35,'OB History'!P:P, 1)</f>
        <v>0</v>
      </c>
      <c r="V35" s="92">
        <f>COUNTIFS('OB History'!$B:$B,$A$35,'OB History'!Q:Q, 1)</f>
        <v>0</v>
      </c>
      <c r="W35" s="92">
        <f>COUNTIFS('OB History'!$B:$B,$A$35,'OB History'!R:R, 1)</f>
        <v>0</v>
      </c>
      <c r="X35" s="92">
        <f>COUNTIFS('OB History'!$B:$B,$A$35,'OB History'!S:S, 1)</f>
        <v>0</v>
      </c>
      <c r="Y35" s="92">
        <f>COUNTIFS('OB History'!$B:$B,$A$35,'OB History'!T:T, 1)</f>
        <v>0</v>
      </c>
      <c r="Z35" s="92">
        <f>COUNTIFS('OB History'!$B:$B,$A$35,'OB History'!U:U, 1)</f>
        <v>0</v>
      </c>
      <c r="AA35" s="92">
        <f>COUNTIFS('OB History'!$B:$B,$A$35,'OB History'!V:V, 1)</f>
        <v>0</v>
      </c>
      <c r="AB35" s="92">
        <f>COUNTIFS('OB History'!$B:$B,$A$35,'OB History'!W:W, 1)</f>
        <v>0</v>
      </c>
      <c r="AC35" s="92">
        <f>COUNTIFS('OB History'!$B:$B,$A$35,'OB History'!X:X, 1)</f>
        <v>1</v>
      </c>
      <c r="AD35" s="92">
        <f>COUNTIFS('OB History'!$B:$B,$A$35,'OB History'!Y:Y, 1)</f>
        <v>1</v>
      </c>
      <c r="AE35" s="92">
        <f>COUNTIFS('OB History'!$B:$B,$A$35,'OB History'!Z:Z, 1)</f>
        <v>1</v>
      </c>
    </row>
    <row r="36" spans="1:31" x14ac:dyDescent="0.25">
      <c r="A36" s="2" t="s">
        <v>148</v>
      </c>
      <c r="B36" s="2" t="s">
        <v>79</v>
      </c>
      <c r="C36" s="2" t="s">
        <v>79</v>
      </c>
      <c r="D36" s="89">
        <f>SUMIFS('OB History'!C:C,'OB History'!B:B,A36)</f>
        <v>37</v>
      </c>
      <c r="E36" s="90">
        <f>AVERAGEIFS('OB History'!C:C,'OB History'!B:B,A36)</f>
        <v>18.5</v>
      </c>
      <c r="F36" s="91">
        <f t="array" ref="F36">MAX(IF('OB History'!B:B=A36, 'OB History'!C:C))</f>
        <v>22</v>
      </c>
      <c r="G36" s="89">
        <f>COUNTIFS('OB History'!B:B,A36,'OB History'!D:D, 1)</f>
        <v>0</v>
      </c>
      <c r="H36" s="92">
        <f>COUNTIFS('OB History'!B:B,A36,'OB History'!D:D, 0)</f>
        <v>2</v>
      </c>
      <c r="I36" s="42">
        <f t="shared" ref="I36" si="12">G36/(G36+H36)</f>
        <v>0</v>
      </c>
      <c r="J36" s="89">
        <f>SUMIFS('OB History'!F:F,'OB History'!B:B,A36)</f>
        <v>4</v>
      </c>
      <c r="K36" s="92">
        <f>SUMIFS('OB History'!E:E,'OB History'!B:B,A36)-J36</f>
        <v>6</v>
      </c>
      <c r="L36" s="42">
        <f t="shared" ref="L36" si="13">J36/(J36+K36)</f>
        <v>0.4</v>
      </c>
      <c r="M36" s="89">
        <f>SUMIFS('OB History'!H:H,'OB History'!B:B,'Old Bow v2'!A36)</f>
        <v>16</v>
      </c>
      <c r="N36" s="92">
        <f>SUMIFS('OB History'!G:G,'OB History'!B:B,'Old Bow v2'!A36)-M36</f>
        <v>22</v>
      </c>
      <c r="O36" s="42">
        <f t="shared" ref="O36" si="14">M36/(M36+N36)</f>
        <v>0.42105263157894735</v>
      </c>
      <c r="P36" s="92">
        <f>COUNTIFS('OB History'!$B:$B,$A$36,'OB History'!K:K, 1)</f>
        <v>1</v>
      </c>
      <c r="Q36" s="92">
        <f>COUNTIFS('OB History'!$B:$B,$A$36,'OB History'!L:L, 1)</f>
        <v>0</v>
      </c>
      <c r="R36" s="92">
        <f>COUNTIFS('OB History'!$B:$B,$A$36,'OB History'!M:M, 1)</f>
        <v>0</v>
      </c>
      <c r="S36" s="92">
        <f>COUNTIFS('OB History'!$B:$B,$A$36,'OB History'!N:N, 1)</f>
        <v>0</v>
      </c>
      <c r="T36" s="92">
        <f>COUNTIFS('OB History'!$B:$B,$A$36,'OB History'!O:O, 1)</f>
        <v>0</v>
      </c>
      <c r="U36" s="92">
        <f>COUNTIFS('OB History'!$B:$B,$A$36,'OB History'!P:P, 1)</f>
        <v>1</v>
      </c>
      <c r="V36" s="92">
        <f>COUNTIFS('OB History'!$B:$B,$A$36,'OB History'!Q:Q, 1)</f>
        <v>0</v>
      </c>
      <c r="W36" s="92">
        <f>COUNTIFS('OB History'!$B:$B,$A$36,'OB History'!R:R, 1)</f>
        <v>0</v>
      </c>
      <c r="X36" s="92">
        <f>COUNTIFS('OB History'!$B:$B,$A$36,'OB History'!S:S, 1)</f>
        <v>0</v>
      </c>
      <c r="Y36" s="92">
        <f>COUNTIFS('OB History'!$B:$B,$A$36,'OB History'!T:T, 1)</f>
        <v>0</v>
      </c>
      <c r="Z36" s="92">
        <f>COUNTIFS('OB History'!$B:$B,$A$36,'OB History'!U:U, 1)</f>
        <v>0</v>
      </c>
      <c r="AA36" s="92">
        <f>COUNTIFS('OB History'!$B:$B,$A$36,'OB History'!V:V, 1)</f>
        <v>0</v>
      </c>
      <c r="AB36" s="92">
        <f>COUNTIFS('OB History'!$B:$B,$A$36,'OB History'!W:W, 1)</f>
        <v>0</v>
      </c>
      <c r="AC36" s="92">
        <f>COUNTIFS('OB History'!$B:$B,$A$36,'OB History'!X:X, 1)</f>
        <v>1</v>
      </c>
      <c r="AD36" s="92">
        <f>COUNTIFS('OB History'!$B:$B,$A$36,'OB History'!Y:Y, 1)</f>
        <v>1</v>
      </c>
      <c r="AE36" s="92">
        <f>COUNTIFS('OB History'!$B:$B,$A$36,'OB History'!Z:Z, 1)</f>
        <v>0</v>
      </c>
    </row>
    <row r="37" spans="1:31" x14ac:dyDescent="0.25">
      <c r="A37" s="2" t="s">
        <v>17</v>
      </c>
      <c r="B37" s="2" t="s">
        <v>79</v>
      </c>
      <c r="C37" s="2" t="s">
        <v>79</v>
      </c>
      <c r="D37" s="89">
        <f>SUMIFS('OB History'!C:C,'OB History'!B:B,A37)</f>
        <v>775</v>
      </c>
      <c r="E37" s="90">
        <f>AVERAGEIFS('OB History'!C:C,'OB History'!B:B,A37)</f>
        <v>26.724137931034484</v>
      </c>
      <c r="F37" s="91">
        <f t="array" ref="F37">MAX(IF('OB History'!B:B=A37, 'OB History'!C:C))</f>
        <v>49</v>
      </c>
      <c r="G37" s="89">
        <f>COUNTIFS('OB History'!B:B,A37,'OB History'!D:D, 1)</f>
        <v>12</v>
      </c>
      <c r="H37" s="92">
        <f>COUNTIFS('OB History'!B:B,A37,'OB History'!D:D, 0)</f>
        <v>17</v>
      </c>
      <c r="I37" s="41">
        <f t="shared" si="0"/>
        <v>0.41379310344827586</v>
      </c>
      <c r="J37" s="89">
        <f>SUMIFS('OB History'!F:F,'OB History'!B:B,A37)</f>
        <v>61</v>
      </c>
      <c r="K37" s="92">
        <f>SUMIFS('OB History'!E:E,'OB History'!B:B,A37)-J37</f>
        <v>60</v>
      </c>
      <c r="L37" s="41">
        <f t="shared" si="1"/>
        <v>0.50413223140495866</v>
      </c>
      <c r="M37" s="89">
        <f>SUMIFS('OB History'!H:H,'OB History'!B:B,'Old Bow v2'!A37)</f>
        <v>255</v>
      </c>
      <c r="N37" s="92">
        <f>SUMIFS('OB History'!G:G,'OB History'!B:B,'Old Bow v2'!A37)-M37</f>
        <v>247</v>
      </c>
      <c r="O37" s="41">
        <f t="shared" si="2"/>
        <v>0.50796812749003983</v>
      </c>
      <c r="P37" s="92">
        <f>COUNTIFS('OB History'!$B:$B,$A$37,'OB History'!K:K, 1)</f>
        <v>5</v>
      </c>
      <c r="Q37" s="92">
        <f>COUNTIFS('OB History'!$B:$B,$A$37,'OB History'!L:L, 1)</f>
        <v>2</v>
      </c>
      <c r="R37" s="92">
        <f>COUNTIFS('OB History'!$B:$B,$A$37,'OB History'!M:M, 1)</f>
        <v>2</v>
      </c>
      <c r="S37" s="92">
        <f>COUNTIFS('OB History'!$B:$B,$A$37,'OB History'!N:N, 1)</f>
        <v>8</v>
      </c>
      <c r="T37" s="92">
        <f>COUNTIFS('OB History'!$B:$B,$A$37,'OB History'!O:O, 1)</f>
        <v>0</v>
      </c>
      <c r="U37" s="92">
        <f>COUNTIFS('OB History'!$B:$B,$A$37,'OB History'!P:P, 1)</f>
        <v>9</v>
      </c>
      <c r="V37" s="92">
        <f>COUNTIFS('OB History'!$B:$B,$A$37,'OB History'!Q:Q, 1)</f>
        <v>2</v>
      </c>
      <c r="W37" s="92">
        <f>COUNTIFS('OB History'!$B:$B,$A$37,'OB History'!R:R, 1)</f>
        <v>0</v>
      </c>
      <c r="X37" s="92">
        <f>COUNTIFS('OB History'!$B:$B,$A$37,'OB History'!S:S, 1)</f>
        <v>1</v>
      </c>
      <c r="Y37" s="92">
        <f>COUNTIFS('OB History'!$B:$B,$A$37,'OB History'!T:T, 1)</f>
        <v>0</v>
      </c>
      <c r="Z37" s="92">
        <f>COUNTIFS('OB History'!$B:$B,$A$37,'OB History'!U:U, 1)</f>
        <v>1</v>
      </c>
      <c r="AA37" s="92">
        <f>COUNTIFS('OB History'!$B:$B,$A$37,'OB History'!V:V, 1)</f>
        <v>2</v>
      </c>
      <c r="AB37" s="92">
        <f>COUNTIFS('OB History'!$B:$B,$A$37,'OB History'!W:W, 1)</f>
        <v>6</v>
      </c>
      <c r="AC37" s="92">
        <f>COUNTIFS('OB History'!$B:$B,$A$37,'OB History'!X:X, 1)</f>
        <v>8</v>
      </c>
      <c r="AD37" s="92">
        <f>COUNTIFS('OB History'!$B:$B,$A$37,'OB History'!Y:Y, 1)</f>
        <v>5</v>
      </c>
      <c r="AE37" s="92">
        <f>COUNTIFS('OB History'!$B:$B,$A$37,'OB History'!Z:Z, 1)</f>
        <v>10</v>
      </c>
    </row>
    <row r="38" spans="1:31" x14ac:dyDescent="0.25">
      <c r="A38" s="2" t="s">
        <v>6</v>
      </c>
      <c r="B38" s="2" t="s">
        <v>79</v>
      </c>
      <c r="C38" s="2" t="s">
        <v>79</v>
      </c>
      <c r="D38" s="89">
        <f>SUMIFS('OB History'!C:C,'OB History'!B:B,A38)</f>
        <v>395</v>
      </c>
      <c r="E38" s="90">
        <f>AVERAGEIFS('OB History'!C:C,'OB History'!B:B,A38)</f>
        <v>23.235294117647058</v>
      </c>
      <c r="F38" s="91">
        <f t="array" ref="F38">MAX(IF('OB History'!B:B=A38, 'OB History'!C:C))</f>
        <v>43</v>
      </c>
      <c r="G38" s="89">
        <f>COUNTIFS('OB History'!B:B,A38,'OB History'!D:D, 1)</f>
        <v>13</v>
      </c>
      <c r="H38" s="92">
        <f>COUNTIFS('OB History'!B:B,A38,'OB History'!D:D, 0)</f>
        <v>4</v>
      </c>
      <c r="I38" s="41">
        <f t="shared" si="0"/>
        <v>0.76470588235294112</v>
      </c>
      <c r="J38" s="89">
        <f>SUMIFS('OB History'!F:F,'OB History'!B:B,A38)</f>
        <v>43</v>
      </c>
      <c r="K38" s="92">
        <f>SUMIFS('OB History'!E:E,'OB History'!B:B,A38)-J38</f>
        <v>27</v>
      </c>
      <c r="L38" s="41">
        <f t="shared" si="1"/>
        <v>0.61428571428571432</v>
      </c>
      <c r="M38" s="89">
        <f>SUMIFS('OB History'!H:H,'OB History'!B:B,'Old Bow v2'!A38)</f>
        <v>161</v>
      </c>
      <c r="N38" s="92">
        <f>SUMIFS('OB History'!G:G,'OB History'!B:B,'Old Bow v2'!A38)-M38</f>
        <v>137</v>
      </c>
      <c r="O38" s="41">
        <f t="shared" si="2"/>
        <v>0.54026845637583898</v>
      </c>
      <c r="P38" s="92">
        <f>COUNTIFS('OB History'!$B:$B,$A$38,'OB History'!K:K, 1)</f>
        <v>1</v>
      </c>
      <c r="Q38" s="92">
        <f>COUNTIFS('OB History'!$B:$B,$A$38,'OB History'!L:L, 1)</f>
        <v>4</v>
      </c>
      <c r="R38" s="92">
        <f>COUNTIFS('OB History'!$B:$B,$A$38,'OB History'!M:M, 1)</f>
        <v>2</v>
      </c>
      <c r="S38" s="92">
        <f>COUNTIFS('OB History'!$B:$B,$A$38,'OB History'!N:N, 1)</f>
        <v>2</v>
      </c>
      <c r="T38" s="92">
        <f>COUNTIFS('OB History'!$B:$B,$A$38,'OB History'!O:O, 1)</f>
        <v>1</v>
      </c>
      <c r="U38" s="92">
        <f>COUNTIFS('OB History'!$B:$B,$A$38,'OB History'!P:P, 1)</f>
        <v>7</v>
      </c>
      <c r="V38" s="92">
        <f>COUNTIFS('OB History'!$B:$B,$A$38,'OB History'!Q:Q, 1)</f>
        <v>1</v>
      </c>
      <c r="W38" s="92">
        <f>COUNTIFS('OB History'!$B:$B,$A$38,'OB History'!R:R, 1)</f>
        <v>2</v>
      </c>
      <c r="X38" s="92">
        <f>COUNTIFS('OB History'!$B:$B,$A$38,'OB History'!S:S, 1)</f>
        <v>0</v>
      </c>
      <c r="Y38" s="92">
        <f>COUNTIFS('OB History'!$B:$B,$A$38,'OB History'!T:T, 1)</f>
        <v>1</v>
      </c>
      <c r="Z38" s="92">
        <f>COUNTIFS('OB History'!$B:$B,$A$38,'OB History'!U:U, 1)</f>
        <v>0</v>
      </c>
      <c r="AA38" s="92">
        <f>COUNTIFS('OB History'!$B:$B,$A$38,'OB History'!V:V, 1)</f>
        <v>1</v>
      </c>
      <c r="AB38" s="92">
        <f>COUNTIFS('OB History'!$B:$B,$A$38,'OB History'!W:W, 1)</f>
        <v>6</v>
      </c>
      <c r="AC38" s="92">
        <f>COUNTIFS('OB History'!$B:$B,$A$38,'OB History'!X:X, 1)</f>
        <v>7</v>
      </c>
      <c r="AD38" s="92">
        <f>COUNTIFS('OB History'!$B:$B,$A$38,'OB History'!Y:Y, 1)</f>
        <v>2</v>
      </c>
      <c r="AE38" s="92">
        <f>COUNTIFS('OB History'!$B:$B,$A$38,'OB History'!Z:Z, 1)</f>
        <v>6</v>
      </c>
    </row>
    <row r="39" spans="1:31" x14ac:dyDescent="0.25">
      <c r="A39" s="2" t="s">
        <v>18</v>
      </c>
      <c r="B39" s="2" t="s">
        <v>79</v>
      </c>
      <c r="C39" s="2" t="s">
        <v>79</v>
      </c>
      <c r="D39" s="89">
        <f>SUMIFS('OB History'!C:C,'OB History'!B:B,A39)</f>
        <v>414</v>
      </c>
      <c r="E39" s="90">
        <f>AVERAGEIFS('OB History'!C:C,'OB History'!B:B,A39)</f>
        <v>25.875</v>
      </c>
      <c r="F39" s="91">
        <f t="array" ref="F39">MAX(IF('OB History'!B:B=A39, 'OB History'!C:C))</f>
        <v>41</v>
      </c>
      <c r="G39" s="89">
        <f>COUNTIFS('OB History'!B:B,A39,'OB History'!D:D, 1)</f>
        <v>6</v>
      </c>
      <c r="H39" s="92">
        <f>COUNTIFS('OB History'!B:B,A39,'OB History'!D:D, 0)</f>
        <v>10</v>
      </c>
      <c r="I39" s="41">
        <f t="shared" si="0"/>
        <v>0.375</v>
      </c>
      <c r="J39" s="89">
        <f>SUMIFS('OB History'!F:F,'OB History'!B:B,A39)</f>
        <v>30</v>
      </c>
      <c r="K39" s="92">
        <f>SUMIFS('OB History'!E:E,'OB History'!B:B,A39)-J39</f>
        <v>38</v>
      </c>
      <c r="L39" s="41">
        <f t="shared" si="1"/>
        <v>0.44117647058823528</v>
      </c>
      <c r="M39" s="89">
        <f>SUMIFS('OB History'!H:H,'OB History'!B:B,'Old Bow v2'!A39)</f>
        <v>133</v>
      </c>
      <c r="N39" s="92">
        <f>SUMIFS('OB History'!G:G,'OB History'!B:B,'Old Bow v2'!A39)-M39</f>
        <v>151</v>
      </c>
      <c r="O39" s="41">
        <f t="shared" si="2"/>
        <v>0.46830985915492956</v>
      </c>
      <c r="P39" s="92">
        <f>COUNTIFS('OB History'!$B:$B,$A$39,'OB History'!K:K, 1)</f>
        <v>2</v>
      </c>
      <c r="Q39" s="92">
        <f>COUNTIFS('OB History'!$B:$B,$A$39,'OB History'!L:L, 1)</f>
        <v>0</v>
      </c>
      <c r="R39" s="92">
        <f>COUNTIFS('OB History'!$B:$B,$A$39,'OB History'!M:M, 1)</f>
        <v>0</v>
      </c>
      <c r="S39" s="92">
        <f>COUNTIFS('OB History'!$B:$B,$A$39,'OB History'!N:N, 1)</f>
        <v>6</v>
      </c>
      <c r="T39" s="92">
        <f>COUNTIFS('OB History'!$B:$B,$A$39,'OB History'!O:O, 1)</f>
        <v>1</v>
      </c>
      <c r="U39" s="92">
        <f>COUNTIFS('OB History'!$B:$B,$A$39,'OB History'!P:P, 1)</f>
        <v>4</v>
      </c>
      <c r="V39" s="92">
        <f>COUNTIFS('OB History'!$B:$B,$A$39,'OB History'!Q:Q, 1)</f>
        <v>2</v>
      </c>
      <c r="W39" s="92">
        <f>COUNTIFS('OB History'!$B:$B,$A$39,'OB History'!R:R, 1)</f>
        <v>2</v>
      </c>
      <c r="X39" s="92">
        <f>COUNTIFS('OB History'!$B:$B,$A$39,'OB History'!S:S, 1)</f>
        <v>0</v>
      </c>
      <c r="Y39" s="92">
        <f>COUNTIFS('OB History'!$B:$B,$A$39,'OB History'!T:T, 1)</f>
        <v>1</v>
      </c>
      <c r="Z39" s="92">
        <f>COUNTIFS('OB History'!$B:$B,$A$39,'OB History'!U:U, 1)</f>
        <v>0</v>
      </c>
      <c r="AA39" s="92">
        <f>COUNTIFS('OB History'!$B:$B,$A$39,'OB History'!V:V, 1)</f>
        <v>0</v>
      </c>
      <c r="AB39" s="92">
        <f>COUNTIFS('OB History'!$B:$B,$A$39,'OB History'!W:W, 1)</f>
        <v>4</v>
      </c>
      <c r="AC39" s="92">
        <f>COUNTIFS('OB History'!$B:$B,$A$39,'OB History'!X:X, 1)</f>
        <v>4</v>
      </c>
      <c r="AD39" s="92">
        <f>COUNTIFS('OB History'!$B:$B,$A$39,'OB History'!Y:Y, 1)</f>
        <v>0</v>
      </c>
      <c r="AE39" s="92">
        <f>COUNTIFS('OB History'!$B:$B,$A$39,'OB History'!Z:Z, 1)</f>
        <v>4</v>
      </c>
    </row>
    <row r="40" spans="1:31" x14ac:dyDescent="0.25">
      <c r="A40" s="2" t="s">
        <v>113</v>
      </c>
      <c r="B40" s="2" t="s">
        <v>79</v>
      </c>
      <c r="C40" s="2" t="s">
        <v>79</v>
      </c>
      <c r="D40" s="89">
        <f>SUMIFS('OB History'!C:C,'OB History'!B:B,A40)</f>
        <v>8</v>
      </c>
      <c r="E40" s="90">
        <f>AVERAGEIFS('OB History'!C:C,'OB History'!B:B,A40)</f>
        <v>8</v>
      </c>
      <c r="F40" s="91">
        <f t="array" ref="F40">MAX(IF('OB History'!B:B=A40, 'OB History'!C:C))</f>
        <v>8</v>
      </c>
      <c r="G40" s="89">
        <f>COUNTIFS('OB History'!B:B,A40,'OB History'!D:D, 1)</f>
        <v>1</v>
      </c>
      <c r="H40" s="92">
        <f>COUNTIFS('OB History'!B:B,A40,'OB History'!D:D, 0)</f>
        <v>0</v>
      </c>
      <c r="I40" s="41">
        <f t="shared" ref="I40" si="15">G40/(G40+H40)</f>
        <v>1</v>
      </c>
      <c r="J40" s="89">
        <f>SUMIFS('OB History'!F:F,'OB History'!B:B,A40)</f>
        <v>3</v>
      </c>
      <c r="K40" s="92">
        <f>SUMIFS('OB History'!E:E,'OB History'!B:B,A40)-J40</f>
        <v>2</v>
      </c>
      <c r="L40" s="41">
        <f t="shared" ref="L40" si="16">J40/(J40+K40)</f>
        <v>0.6</v>
      </c>
      <c r="M40" s="89">
        <f>SUMIFS('OB History'!H:H,'OB History'!B:B,'Old Bow v2'!A40)</f>
        <v>12</v>
      </c>
      <c r="N40" s="92">
        <f>SUMIFS('OB History'!G:G,'OB History'!B:B,'Old Bow v2'!A40)-M40</f>
        <v>9</v>
      </c>
      <c r="O40" s="41">
        <f t="shared" ref="O40" si="17">M40/(M40+N40)</f>
        <v>0.5714285714285714</v>
      </c>
      <c r="P40" s="92">
        <f>COUNTIFS('OB History'!$B:$B,$A$40,'OB History'!K:K, 1)</f>
        <v>0</v>
      </c>
      <c r="Q40" s="92">
        <f>COUNTIFS('OB History'!$B:$B,$A$40,'OB History'!L:L, 1)</f>
        <v>0</v>
      </c>
      <c r="R40" s="92">
        <f>COUNTIFS('OB History'!$B:$B,$A$40,'OB History'!M:M, 1)</f>
        <v>1</v>
      </c>
      <c r="S40" s="92">
        <f>COUNTIFS('OB History'!$B:$B,$A$40,'OB History'!N:N, 1)</f>
        <v>0</v>
      </c>
      <c r="T40" s="92">
        <f>COUNTIFS('OB History'!$B:$B,$A$40,'OB History'!O:O, 1)</f>
        <v>0</v>
      </c>
      <c r="U40" s="92">
        <f>COUNTIFS('OB History'!$B:$B,$A$40,'OB History'!P:P, 1)</f>
        <v>0</v>
      </c>
      <c r="V40" s="92">
        <f>COUNTIFS('OB History'!$B:$B,$A$40,'OB History'!Q:Q, 1)</f>
        <v>0</v>
      </c>
      <c r="W40" s="92">
        <f>COUNTIFS('OB History'!$B:$B,$A$40,'OB History'!R:R, 1)</f>
        <v>1</v>
      </c>
      <c r="X40" s="92">
        <f>COUNTIFS('OB History'!$B:$B,$A$40,'OB History'!S:S, 1)</f>
        <v>0</v>
      </c>
      <c r="Y40" s="92">
        <f>COUNTIFS('OB History'!$B:$B,$A$40,'OB History'!T:T, 1)</f>
        <v>0</v>
      </c>
      <c r="Z40" s="92">
        <f>COUNTIFS('OB History'!$B:$B,$A$40,'OB History'!U:U, 1)</f>
        <v>0</v>
      </c>
      <c r="AA40" s="92">
        <f>COUNTIFS('OB History'!$B:$B,$A$40,'OB History'!V:V, 1)</f>
        <v>0</v>
      </c>
      <c r="AB40" s="92">
        <f>COUNTIFS('OB History'!$B:$B,$A$40,'OB History'!W:W, 1)</f>
        <v>0</v>
      </c>
      <c r="AC40" s="92">
        <f>COUNTIFS('OB History'!$B:$B,$A$40,'OB History'!X:X, 1)</f>
        <v>1</v>
      </c>
      <c r="AD40" s="92">
        <f>COUNTIFS('OB History'!$B:$B,$A$40,'OB History'!Y:Y, 1)</f>
        <v>0</v>
      </c>
      <c r="AE40" s="92">
        <f>COUNTIFS('OB History'!$B:$B,$A$40,'OB History'!Z:Z, 1)</f>
        <v>0</v>
      </c>
    </row>
    <row r="41" spans="1:31" x14ac:dyDescent="0.25">
      <c r="A41" s="2" t="s">
        <v>14</v>
      </c>
      <c r="B41" s="6" t="s">
        <v>60</v>
      </c>
      <c r="C41" s="6" t="s">
        <v>60</v>
      </c>
      <c r="D41" s="89">
        <f>SUMIFS('OB History'!C:C,'OB History'!B:B,A41)</f>
        <v>663</v>
      </c>
      <c r="E41" s="90">
        <f>AVERAGEIFS('OB History'!C:C,'OB History'!B:B,A41)</f>
        <v>25.5</v>
      </c>
      <c r="F41" s="91">
        <f t="array" ref="F41">MAX(IF('OB History'!B:B=A41, 'OB History'!C:C))</f>
        <v>56</v>
      </c>
      <c r="G41" s="89">
        <f>COUNTIFS('OB History'!B:B,A41,'OB History'!D:D, 1)</f>
        <v>15</v>
      </c>
      <c r="H41" s="92">
        <f>COUNTIFS('OB History'!B:B,A41,'OB History'!D:D, 0)</f>
        <v>11</v>
      </c>
      <c r="I41" s="41">
        <f t="shared" si="0"/>
        <v>0.57692307692307687</v>
      </c>
      <c r="J41" s="89">
        <f>SUMIFS('OB History'!F:F,'OB History'!B:B,A41)</f>
        <v>57</v>
      </c>
      <c r="K41" s="92">
        <f>SUMIFS('OB History'!E:E,'OB History'!B:B,A41)-J41</f>
        <v>52</v>
      </c>
      <c r="L41" s="41">
        <f t="shared" si="1"/>
        <v>0.52293577981651373</v>
      </c>
      <c r="M41" s="89">
        <f>SUMIFS('OB History'!H:H,'OB History'!B:B,'Old Bow v2'!A41)</f>
        <v>231</v>
      </c>
      <c r="N41" s="92">
        <f>SUMIFS('OB History'!G:G,'OB History'!B:B,'Old Bow v2'!A41)-M41</f>
        <v>227</v>
      </c>
      <c r="O41" s="41">
        <f t="shared" si="2"/>
        <v>0.50436681222707425</v>
      </c>
      <c r="P41" s="92">
        <f>COUNTIFS('OB History'!$B:$B,$A$41,'OB History'!K:K, 1)</f>
        <v>3</v>
      </c>
      <c r="Q41" s="92">
        <f>COUNTIFS('OB History'!$B:$B,$A$41,'OB History'!L:L, 1)</f>
        <v>5</v>
      </c>
      <c r="R41" s="92">
        <f>COUNTIFS('OB History'!$B:$B,$A$41,'OB History'!M:M, 1)</f>
        <v>2</v>
      </c>
      <c r="S41" s="92">
        <f>COUNTIFS('OB History'!$B:$B,$A$41,'OB History'!N:N, 1)</f>
        <v>7</v>
      </c>
      <c r="T41" s="92">
        <f>COUNTIFS('OB History'!$B:$B,$A$41,'OB History'!O:O, 1)</f>
        <v>2</v>
      </c>
      <c r="U41" s="92">
        <f>COUNTIFS('OB History'!$B:$B,$A$41,'OB History'!P:P, 1)</f>
        <v>5</v>
      </c>
      <c r="V41" s="92">
        <f>COUNTIFS('OB History'!$B:$B,$A$41,'OB History'!Q:Q, 1)</f>
        <v>0</v>
      </c>
      <c r="W41" s="92">
        <f>COUNTIFS('OB History'!$B:$B,$A$41,'OB History'!R:R, 1)</f>
        <v>1</v>
      </c>
      <c r="X41" s="92">
        <f>COUNTIFS('OB History'!$B:$B,$A$41,'OB History'!S:S, 1)</f>
        <v>0</v>
      </c>
      <c r="Y41" s="92">
        <f>COUNTIFS('OB History'!$B:$B,$A$41,'OB History'!T:T, 1)</f>
        <v>0</v>
      </c>
      <c r="Z41" s="92">
        <f>COUNTIFS('OB History'!$B:$B,$A$41,'OB History'!U:U, 1)</f>
        <v>0</v>
      </c>
      <c r="AA41" s="92">
        <f>COUNTIFS('OB History'!$B:$B,$A$41,'OB History'!V:V, 1)</f>
        <v>3</v>
      </c>
      <c r="AB41" s="92">
        <f>COUNTIFS('OB History'!$B:$B,$A$41,'OB History'!W:W, 1)</f>
        <v>6</v>
      </c>
      <c r="AC41" s="92">
        <f>COUNTIFS('OB History'!$B:$B,$A$41,'OB History'!X:X, 1)</f>
        <v>14</v>
      </c>
      <c r="AD41" s="92">
        <f>COUNTIFS('OB History'!$B:$B,$A$41,'OB History'!Y:Y, 1)</f>
        <v>2</v>
      </c>
      <c r="AE41" s="92">
        <f>COUNTIFS('OB History'!$B:$B,$A$41,'OB History'!Z:Z, 1)</f>
        <v>7</v>
      </c>
    </row>
    <row r="42" spans="1:31" x14ac:dyDescent="0.25">
      <c r="A42" s="2" t="s">
        <v>70</v>
      </c>
      <c r="B42" s="6" t="s">
        <v>79</v>
      </c>
      <c r="C42" s="6" t="s">
        <v>79</v>
      </c>
      <c r="D42" s="89">
        <f>SUMIFS('OB History'!C:C,'OB History'!B:B,A42)</f>
        <v>46</v>
      </c>
      <c r="E42" s="90">
        <f>AVERAGEIFS('OB History'!C:C,'OB History'!B:B,A42)</f>
        <v>23</v>
      </c>
      <c r="F42" s="91">
        <f t="array" ref="F42">MAX(IF('OB History'!B:B=A42, 'OB History'!C:C))</f>
        <v>25</v>
      </c>
      <c r="G42" s="89">
        <f>COUNTIFS('OB History'!B:B,A42,'OB History'!D:D, 1)</f>
        <v>1</v>
      </c>
      <c r="H42" s="92">
        <f>COUNTIFS('OB History'!B:B,A42,'OB History'!D:D, 0)</f>
        <v>1</v>
      </c>
      <c r="I42" s="41">
        <f t="shared" ref="I42" si="18">G42/(G42+H42)</f>
        <v>0.5</v>
      </c>
      <c r="J42" s="89">
        <f>SUMIFS('OB History'!F:F,'OB History'!B:B,A42)</f>
        <v>5</v>
      </c>
      <c r="K42" s="92">
        <f>SUMIFS('OB History'!E:E,'OB History'!B:B,A42)-J42</f>
        <v>5</v>
      </c>
      <c r="L42" s="41">
        <f t="shared" ref="L42" si="19">J42/(J42+K42)</f>
        <v>0.5</v>
      </c>
      <c r="M42" s="89">
        <f>SUMIFS('OB History'!H:H,'OB History'!B:B,'Old Bow v2'!A42)</f>
        <v>20</v>
      </c>
      <c r="N42" s="92">
        <f>SUMIFS('OB History'!G:G,'OB History'!B:B,'Old Bow v2'!A42)-M42</f>
        <v>19</v>
      </c>
      <c r="O42" s="41">
        <f t="shared" ref="O42" si="20">M42/(M42+N42)</f>
        <v>0.51282051282051277</v>
      </c>
      <c r="P42" s="92">
        <f>COUNTIFS('OB History'!$B:$B,$A$42,'OB History'!K:K, 1)</f>
        <v>0</v>
      </c>
      <c r="Q42" s="92">
        <f>COUNTIFS('OB History'!$B:$B,$A$42,'OB History'!L:L, 1)</f>
        <v>0</v>
      </c>
      <c r="R42" s="92">
        <f>COUNTIFS('OB History'!$B:$B,$A$42,'OB History'!M:M, 1)</f>
        <v>0</v>
      </c>
      <c r="S42" s="92">
        <f>COUNTIFS('OB History'!$B:$B,$A$42,'OB History'!N:N, 1)</f>
        <v>2</v>
      </c>
      <c r="T42" s="92">
        <f>COUNTIFS('OB History'!$B:$B,$A$42,'OB History'!O:O, 1)</f>
        <v>0</v>
      </c>
      <c r="U42" s="92">
        <f>COUNTIFS('OB History'!$B:$B,$A$42,'OB History'!P:P, 1)</f>
        <v>0</v>
      </c>
      <c r="V42" s="92">
        <f>COUNTIFS('OB History'!$B:$B,$A$42,'OB History'!Q:Q, 1)</f>
        <v>0</v>
      </c>
      <c r="W42" s="92">
        <f>COUNTIFS('OB History'!$B:$B,$A$42,'OB History'!R:R, 1)</f>
        <v>1</v>
      </c>
      <c r="X42" s="92">
        <f>COUNTIFS('OB History'!$B:$B,$A$42,'OB History'!S:S, 1)</f>
        <v>0</v>
      </c>
      <c r="Y42" s="92">
        <f>COUNTIFS('OB History'!$B:$B,$A$42,'OB History'!T:T, 1)</f>
        <v>0</v>
      </c>
      <c r="Z42" s="92">
        <f>COUNTIFS('OB History'!$B:$B,$A$42,'OB History'!U:U, 1)</f>
        <v>0</v>
      </c>
      <c r="AA42" s="92">
        <f>COUNTIFS('OB History'!$B:$B,$A$42,'OB History'!V:V, 1)</f>
        <v>1</v>
      </c>
      <c r="AB42" s="92">
        <f>COUNTIFS('OB History'!$B:$B,$A$42,'OB History'!W:W, 1)</f>
        <v>0</v>
      </c>
      <c r="AC42" s="92">
        <f>COUNTIFS('OB History'!$B:$B,$A$42,'OB History'!X:X, 1)</f>
        <v>1</v>
      </c>
      <c r="AD42" s="92">
        <f>COUNTIFS('OB History'!$B:$B,$A$42,'OB History'!Y:Y, 1)</f>
        <v>0</v>
      </c>
      <c r="AE42" s="92">
        <f>COUNTIFS('OB History'!$B:$B,$A$42,'OB History'!Z:Z, 1)</f>
        <v>0</v>
      </c>
    </row>
    <row r="43" spans="1:31" x14ac:dyDescent="0.25">
      <c r="A43" s="2" t="s">
        <v>4</v>
      </c>
      <c r="B43" s="2" t="s">
        <v>79</v>
      </c>
      <c r="C43" s="2" t="s">
        <v>79</v>
      </c>
      <c r="D43" s="89">
        <f>SUMIFS('OB History'!C:C,'OB History'!B:B,A43)</f>
        <v>53</v>
      </c>
      <c r="E43" s="90">
        <f>AVERAGEIFS('OB History'!C:C,'OB History'!B:B,A43)</f>
        <v>17.666666666666668</v>
      </c>
      <c r="F43" s="91">
        <f t="array" ref="F43">MAX(IF('OB History'!B:B=A43, 'OB History'!C:C))</f>
        <v>24</v>
      </c>
      <c r="G43" s="89">
        <f>COUNTIFS('OB History'!B:B,A43,'OB History'!D:D, 1)</f>
        <v>3</v>
      </c>
      <c r="H43" s="92">
        <f>COUNTIFS('OB History'!B:B,A43,'OB History'!D:D, 0)</f>
        <v>0</v>
      </c>
      <c r="I43" s="41">
        <f t="shared" si="0"/>
        <v>1</v>
      </c>
      <c r="J43" s="89">
        <f>SUMIFS('OB History'!F:F,'OB History'!B:B,A43)</f>
        <v>9</v>
      </c>
      <c r="K43" s="92">
        <f>SUMIFS('OB History'!E:E,'OB History'!B:B,A43)-J43</f>
        <v>3</v>
      </c>
      <c r="L43" s="41">
        <f t="shared" si="1"/>
        <v>0.75</v>
      </c>
      <c r="M43" s="89">
        <f>SUMIFS('OB History'!H:H,'OB History'!B:B,'Old Bow v2'!A43)</f>
        <v>31</v>
      </c>
      <c r="N43" s="92">
        <f>SUMIFS('OB History'!G:G,'OB History'!B:B,'Old Bow v2'!A43)-M43</f>
        <v>18</v>
      </c>
      <c r="O43" s="41">
        <f t="shared" si="2"/>
        <v>0.63265306122448983</v>
      </c>
      <c r="P43" s="92">
        <f>COUNTIFS('OB History'!$B:$B,$A$43,'OB History'!K:K, 1)</f>
        <v>0</v>
      </c>
      <c r="Q43" s="92">
        <f>COUNTIFS('OB History'!$B:$B,$A$43,'OB History'!L:L, 1)</f>
        <v>2</v>
      </c>
      <c r="R43" s="92">
        <f>COUNTIFS('OB History'!$B:$B,$A$43,'OB History'!M:M, 1)</f>
        <v>2</v>
      </c>
      <c r="S43" s="92">
        <f>COUNTIFS('OB History'!$B:$B,$A$43,'OB History'!N:N, 1)</f>
        <v>0</v>
      </c>
      <c r="T43" s="92">
        <f>COUNTIFS('OB History'!$B:$B,$A$43,'OB History'!O:O, 1)</f>
        <v>1</v>
      </c>
      <c r="U43" s="92">
        <f>COUNTIFS('OB History'!$B:$B,$A$43,'OB History'!P:P, 1)</f>
        <v>2</v>
      </c>
      <c r="V43" s="92">
        <f>COUNTIFS('OB History'!$B:$B,$A$43,'OB History'!Q:Q, 1)</f>
        <v>0</v>
      </c>
      <c r="W43" s="92">
        <f>COUNTIFS('OB History'!$B:$B,$A$43,'OB History'!R:R, 1)</f>
        <v>0</v>
      </c>
      <c r="X43" s="92">
        <f>COUNTIFS('OB History'!$B:$B,$A$43,'OB History'!S:S, 1)</f>
        <v>0</v>
      </c>
      <c r="Y43" s="92">
        <f>COUNTIFS('OB History'!$B:$B,$A$43,'OB History'!T:T, 1)</f>
        <v>0</v>
      </c>
      <c r="Z43" s="92">
        <f>COUNTIFS('OB History'!$B:$B,$A$43,'OB History'!U:U, 1)</f>
        <v>0</v>
      </c>
      <c r="AA43" s="92">
        <f>COUNTIFS('OB History'!$B:$B,$A$43,'OB History'!V:V, 1)</f>
        <v>0</v>
      </c>
      <c r="AB43" s="92">
        <f>COUNTIFS('OB History'!$B:$B,$A$43,'OB History'!W:W, 1)</f>
        <v>0</v>
      </c>
      <c r="AC43" s="92">
        <f>COUNTIFS('OB History'!$B:$B,$A$43,'OB History'!X:X, 1)</f>
        <v>0</v>
      </c>
      <c r="AD43" s="92">
        <f>COUNTIFS('OB History'!$B:$B,$A$43,'OB History'!Y:Y, 1)</f>
        <v>1</v>
      </c>
      <c r="AE43" s="92">
        <f>COUNTIFS('OB History'!$B:$B,$A$43,'OB History'!Z:Z, 1)</f>
        <v>1</v>
      </c>
    </row>
    <row r="44" spans="1:31" ht="15.75" thickBot="1" x14ac:dyDescent="0.3">
      <c r="A44" s="2" t="s">
        <v>55</v>
      </c>
      <c r="B44" s="2" t="s">
        <v>79</v>
      </c>
      <c r="C44" s="2" t="s">
        <v>79</v>
      </c>
      <c r="D44" s="89">
        <f>SUMIFS('OB History'!C:C,'OB History'!B:B,A44)</f>
        <v>83</v>
      </c>
      <c r="E44" s="90">
        <f>AVERAGEIFS('OB History'!C:C,'OB History'!B:B,A44)</f>
        <v>10.375</v>
      </c>
      <c r="F44" s="91">
        <f t="array" ref="F44">MAX(IF('OB History'!B:B=A44, 'OB History'!C:C))</f>
        <v>18</v>
      </c>
      <c r="G44" s="89">
        <f>COUNTIFS('OB History'!B:B,A44,'OB History'!D:D, 1)</f>
        <v>5</v>
      </c>
      <c r="H44" s="92">
        <f>COUNTIFS('OB History'!B:B,A44,'OB History'!D:D, 0)</f>
        <v>3</v>
      </c>
      <c r="I44" s="45">
        <f t="shared" si="0"/>
        <v>0.625</v>
      </c>
      <c r="J44" s="89">
        <f>SUMIFS('OB History'!F:F,'OB History'!B:B,A44)</f>
        <v>18</v>
      </c>
      <c r="K44" s="92">
        <f>SUMIFS('OB History'!E:E,'OB History'!B:B,A44)-J44</f>
        <v>16</v>
      </c>
      <c r="L44" s="45">
        <f t="shared" si="1"/>
        <v>0.52941176470588236</v>
      </c>
      <c r="M44" s="89">
        <f>SUMIFS('OB History'!H:H,'OB History'!B:B,'Old Bow v2'!A44)</f>
        <v>69</v>
      </c>
      <c r="N44" s="92">
        <f>SUMIFS('OB History'!G:G,'OB History'!B:B,'Old Bow v2'!A44)-M44</f>
        <v>68</v>
      </c>
      <c r="O44" s="45">
        <f t="shared" si="2"/>
        <v>0.5036496350364964</v>
      </c>
      <c r="P44" s="92">
        <f>COUNTIFS('OB History'!$B:$B,$A$44,'OB History'!K:K, 1)</f>
        <v>1</v>
      </c>
      <c r="Q44" s="92">
        <f>COUNTIFS('OB History'!$B:$B,$A$44,'OB History'!L:L, 1)</f>
        <v>0</v>
      </c>
      <c r="R44" s="92">
        <f>COUNTIFS('OB History'!$B:$B,$A$44,'OB History'!M:M, 1)</f>
        <v>1</v>
      </c>
      <c r="S44" s="92">
        <f>COUNTIFS('OB History'!$B:$B,$A$44,'OB History'!N:N, 1)</f>
        <v>4</v>
      </c>
      <c r="T44" s="92">
        <f>COUNTIFS('OB History'!$B:$B,$A$44,'OB History'!O:O, 1)</f>
        <v>1</v>
      </c>
      <c r="U44" s="92">
        <f>COUNTIFS('OB History'!$B:$B,$A$44,'OB History'!P:P, 1)</f>
        <v>0</v>
      </c>
      <c r="V44" s="92">
        <f>COUNTIFS('OB History'!$B:$B,$A$44,'OB History'!Q:Q, 1)</f>
        <v>1</v>
      </c>
      <c r="W44" s="92">
        <f>COUNTIFS('OB History'!$B:$B,$A$44,'OB History'!R:R, 1)</f>
        <v>0</v>
      </c>
      <c r="X44" s="92">
        <f>COUNTIFS('OB History'!$B:$B,$A$44,'OB History'!S:S, 1)</f>
        <v>0</v>
      </c>
      <c r="Y44" s="92">
        <f>COUNTIFS('OB History'!$B:$B,$A$44,'OB History'!T:T, 1)</f>
        <v>0</v>
      </c>
      <c r="Z44" s="92">
        <f>COUNTIFS('OB History'!$B:$B,$A$44,'OB History'!U:U, 1)</f>
        <v>0</v>
      </c>
      <c r="AA44" s="92">
        <f>COUNTIFS('OB History'!$B:$B,$A$44,'OB History'!V:V, 1)</f>
        <v>0</v>
      </c>
      <c r="AB44" s="92">
        <f>COUNTIFS('OB History'!$B:$B,$A$44,'OB History'!W:W, 1)</f>
        <v>3</v>
      </c>
      <c r="AC44" s="92">
        <f>COUNTIFS('OB History'!$B:$B,$A$44,'OB History'!X:X, 1)</f>
        <v>4</v>
      </c>
      <c r="AD44" s="92">
        <f>COUNTIFS('OB History'!$B:$B,$A$44,'OB History'!Y:Y, 1)</f>
        <v>1</v>
      </c>
      <c r="AE44" s="92">
        <f>COUNTIFS('OB History'!$B:$B,$A$44,'OB History'!Z:Z, 1)</f>
        <v>2</v>
      </c>
    </row>
    <row r="50" spans="6:6" x14ac:dyDescent="0.25">
      <c r="F50" s="81"/>
    </row>
    <row r="52" spans="6:6" x14ac:dyDescent="0.25">
      <c r="F52" s="81"/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450"/>
  <sheetViews>
    <sheetView workbookViewId="0">
      <pane ySplit="1" topLeftCell="A420" activePane="bottomLeft" state="frozen"/>
      <selection pane="bottomLeft" activeCell="C447" sqref="C447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9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</sheetData>
  <autoFilter ref="A1:AD450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5"/>
  <sheetViews>
    <sheetView tabSelected="1"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G61" sqref="G61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5" t="s">
        <v>93</v>
      </c>
      <c r="P1" s="96" t="s">
        <v>41</v>
      </c>
      <c r="Q1" s="96" t="s">
        <v>69</v>
      </c>
      <c r="R1" s="97" t="s">
        <v>63</v>
      </c>
      <c r="S1" s="97" t="s">
        <v>116</v>
      </c>
      <c r="T1" s="96" t="s">
        <v>112</v>
      </c>
      <c r="U1" s="97" t="s">
        <v>32</v>
      </c>
      <c r="V1" s="96" t="s">
        <v>106</v>
      </c>
      <c r="W1" s="96" t="s">
        <v>145</v>
      </c>
      <c r="X1" s="97" t="s">
        <v>62</v>
      </c>
      <c r="Y1" s="96" t="s">
        <v>73</v>
      </c>
      <c r="Z1" s="96" t="s">
        <v>91</v>
      </c>
      <c r="AA1" s="97" t="s">
        <v>95</v>
      </c>
      <c r="AB1" s="96" t="s">
        <v>92</v>
      </c>
      <c r="AC1" s="97" t="s">
        <v>67</v>
      </c>
      <c r="AD1" s="97" t="s">
        <v>56</v>
      </c>
      <c r="AE1" s="96" t="s">
        <v>104</v>
      </c>
      <c r="AF1" s="96" t="s">
        <v>66</v>
      </c>
      <c r="AG1" s="96" t="s">
        <v>72</v>
      </c>
      <c r="AH1" s="97" t="s">
        <v>68</v>
      </c>
      <c r="AI1" s="97" t="s">
        <v>135</v>
      </c>
      <c r="AJ1" s="98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146</v>
      </c>
      <c r="D2" s="66">
        <f>AVERAGEIFS('BA History'!C:C,'BA History'!B:B,A2)</f>
        <v>13.272727272727273</v>
      </c>
      <c r="E2" s="35">
        <f t="array" ref="E2">MAX(IF('BA History'!B:B=A2, 'BA History'!C:C))</f>
        <v>23</v>
      </c>
      <c r="F2" s="34">
        <f>COUNTIFS('BA History'!B:B,A2,'BA History'!D:D, 1)</f>
        <v>5</v>
      </c>
      <c r="G2" s="2">
        <f>COUNTIFS('BA History'!B:B,A2,'BA History'!D:D, 0)</f>
        <v>6</v>
      </c>
      <c r="H2" s="75">
        <f t="shared" ref="H2:H34" si="0">F2/(F2+G2)</f>
        <v>0.45454545454545453</v>
      </c>
      <c r="I2" s="34">
        <f>SUMIFS('BA History'!F:F,'BA History'!B:B,A2)</f>
        <v>22</v>
      </c>
      <c r="J2" s="2">
        <f>SUMIFS('BA History'!E:E,'BA History'!B:B,A2)-I2</f>
        <v>24</v>
      </c>
      <c r="K2" s="75">
        <f t="shared" ref="K2:K34" si="1">I2/(I2+J2)</f>
        <v>0.47826086956521741</v>
      </c>
      <c r="L2" s="34">
        <f>SUMIFS('BA History'!H:H,'BA History'!B:B,A2)</f>
        <v>92</v>
      </c>
      <c r="M2" s="2">
        <f>SUMIFS('BA History'!G:G,'BA History'!B:B,A2)-L2</f>
        <v>94</v>
      </c>
      <c r="N2" s="93">
        <f t="shared" ref="N2:N34" si="2">L2/(L2+M2)</f>
        <v>0.4946236559139785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4</v>
      </c>
      <c r="R2" s="2">
        <f>COUNTIFS('BA History'!$B:$B,$A$2,'BA History'!N:N, 1)</f>
        <v>3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1</v>
      </c>
      <c r="V2" s="2">
        <f>COUNTIFS('BA History'!$B:$B,$A$2,'BA History'!R:R, 1)</f>
        <v>1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1</v>
      </c>
      <c r="AA2" s="2">
        <f>COUNTIFS('BA History'!$B:$B,$A$2,'BA History'!W:W, 1)</f>
        <v>1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2</v>
      </c>
      <c r="AE2" s="2">
        <f>COUNTIFS('BA History'!$B:$B,$A$2,'BA History'!AA:AA, 1)</f>
        <v>0</v>
      </c>
      <c r="AF2" s="2">
        <f>COUNTIFS('BA History'!$B:$B,$A$2,'BA History'!AB:AB, 1)</f>
        <v>2</v>
      </c>
      <c r="AG2" s="2">
        <f>COUNTIFS('BA History'!$B:$B,$A$2,'BA History'!AC:AC, 1)</f>
        <v>0</v>
      </c>
      <c r="AH2" s="2">
        <f>COUNTIFS('BA History'!$B:$B,$A$2,'BA History'!AD:AD, 1)</f>
        <v>2</v>
      </c>
      <c r="AI2" s="2">
        <f>COUNTIFS('BA History'!$B:$B,$A$2,'BA History'!AE:AE, 1)</f>
        <v>0</v>
      </c>
      <c r="AJ2" s="2">
        <f>COUNTIFS('BA History'!$B:$B,$A$2,'BA History'!AF:AF, 1)</f>
        <v>2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101</v>
      </c>
      <c r="D3" s="66">
        <f>AVERAGEIFS('BA History'!C:C,'BA History'!B:B,A3)</f>
        <v>12.625</v>
      </c>
      <c r="E3" s="35">
        <f t="array" ref="E3">MAX(IF('BA History'!B:B=A3, 'BA History'!C:C))</f>
        <v>19</v>
      </c>
      <c r="F3" s="34">
        <f>COUNTIFS('BA History'!B:B,A3,'BA History'!D:D, 1)</f>
        <v>3</v>
      </c>
      <c r="G3" s="2">
        <f>COUNTIFS('BA History'!B:B,A3,'BA History'!D:D, 0)</f>
        <v>5</v>
      </c>
      <c r="H3" s="75">
        <f t="shared" si="0"/>
        <v>0.375</v>
      </c>
      <c r="I3" s="34">
        <f>SUMIFS('BA History'!F:F,'BA History'!B:B,A3)</f>
        <v>17</v>
      </c>
      <c r="J3" s="2">
        <f>SUMIFS('BA History'!E:E,'BA History'!B:B,A3)-I3</f>
        <v>17</v>
      </c>
      <c r="K3" s="75">
        <f t="shared" si="1"/>
        <v>0.5</v>
      </c>
      <c r="L3" s="34">
        <f>SUMIFS('BA History'!H:H,'BA History'!B:B,A3)</f>
        <v>70</v>
      </c>
      <c r="M3" s="2">
        <f>SUMIFS('BA History'!G:G,'BA History'!B:B,A3)-L3</f>
        <v>71</v>
      </c>
      <c r="N3" s="93">
        <f t="shared" si="2"/>
        <v>0.49645390070921985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2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0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1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 t="shared" si="0"/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 t="shared" si="1"/>
        <v>0.46153846153846156</v>
      </c>
      <c r="L4" s="34">
        <f>SUMIFS('BA History'!H:H,'BA History'!B:B,A4)</f>
        <v>24</v>
      </c>
      <c r="M4" s="2">
        <f>SUMIFS('BA History'!G:G,'BA History'!B:B,A4)-L4</f>
        <v>29</v>
      </c>
      <c r="N4" s="93">
        <f t="shared" si="2"/>
        <v>0.45283018867924529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218</v>
      </c>
      <c r="D5" s="66">
        <f>AVERAGEIFS('BA History'!C:C,'BA History'!B:B,A5)</f>
        <v>12.823529411764707</v>
      </c>
      <c r="E5" s="35">
        <f t="array" ref="E5">MAX(IF('BA History'!B:B=A5, 'BA History'!C:C))</f>
        <v>19</v>
      </c>
      <c r="F5" s="34">
        <f>COUNTIFS('BA History'!B:B,A5,'BA History'!D:D, 1)</f>
        <v>10</v>
      </c>
      <c r="G5" s="2">
        <f>COUNTIFS('BA History'!B:B,A5,'BA History'!D:D, 0)</f>
        <v>7</v>
      </c>
      <c r="H5" s="75">
        <f t="shared" si="0"/>
        <v>0.58823529411764708</v>
      </c>
      <c r="I5" s="34">
        <f>SUMIFS('BA History'!F:F,'BA History'!B:B,A5)</f>
        <v>35</v>
      </c>
      <c r="J5" s="2">
        <f>SUMIFS('BA History'!E:E,'BA History'!B:B,A5)-I5</f>
        <v>34</v>
      </c>
      <c r="K5" s="75">
        <f t="shared" si="1"/>
        <v>0.50724637681159424</v>
      </c>
      <c r="L5" s="34">
        <f>SUMIFS('BA History'!H:H,'BA History'!B:B,A5)</f>
        <v>136</v>
      </c>
      <c r="M5" s="2">
        <f>SUMIFS('BA History'!G:G,'BA History'!B:B,A5)-L5</f>
        <v>139</v>
      </c>
      <c r="N5" s="93">
        <f t="shared" si="2"/>
        <v>0.49454545454545457</v>
      </c>
      <c r="O5" s="2">
        <f>COUNTIFS('BA History'!$B:$B,$A$5,'BA History'!K:K, 1)</f>
        <v>1</v>
      </c>
      <c r="P5" s="2">
        <f>COUNTIFS('BA History'!$B:$B,$A$5,'BA History'!L:L, 1)</f>
        <v>3</v>
      </c>
      <c r="Q5" s="2">
        <f>COUNTIFS('BA History'!$B:$B,$A$5,'BA History'!M:M, 1)</f>
        <v>3</v>
      </c>
      <c r="R5" s="2">
        <f>COUNTIFS('BA History'!$B:$B,$A$5,'BA History'!N:N, 1)</f>
        <v>2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3</v>
      </c>
      <c r="AA5" s="2">
        <f>COUNTIFS('BA History'!$B:$B,$A$5,'BA History'!W:W, 1)</f>
        <v>1</v>
      </c>
      <c r="AB5" s="2">
        <f>COUNTIFS('BA History'!$B:$B,$A$5,'BA History'!X:X, 1)</f>
        <v>0</v>
      </c>
      <c r="AC5" s="2">
        <f>COUNTIFS('BA History'!$B:$B,$A$5,'BA History'!Y:Y, 1)</f>
        <v>6</v>
      </c>
      <c r="AD5" s="2">
        <f>COUNTIFS('BA History'!$B:$B,$A$5,'BA History'!Z:Z, 1)</f>
        <v>3</v>
      </c>
      <c r="AE5" s="2">
        <f>COUNTIFS('BA History'!$B:$B,$A$5,'BA History'!AA:AA, 1)</f>
        <v>1</v>
      </c>
      <c r="AF5" s="2">
        <f>COUNTIFS('BA History'!$B:$B,$A$5,'BA History'!AB:AB, 1)</f>
        <v>3</v>
      </c>
      <c r="AG5" s="2">
        <f>COUNTIFS('BA History'!$B:$B,$A$5,'BA History'!AC:AC, 1)</f>
        <v>2</v>
      </c>
      <c r="AH5" s="2">
        <f>COUNTIFS('BA History'!$B:$B,$A$5,'BA History'!AD:AD, 1)</f>
        <v>4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 t="shared" si="0"/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 t="shared" si="1"/>
        <v>0.25</v>
      </c>
      <c r="L6" s="34">
        <f>SUMIFS('BA History'!H:H,'BA History'!B:B,A6)</f>
        <v>8</v>
      </c>
      <c r="M6" s="2">
        <f>SUMIFS('BA History'!G:G,'BA History'!B:B,A6)-L6</f>
        <v>11</v>
      </c>
      <c r="N6" s="93">
        <f t="shared" si="2"/>
        <v>0.42105263157894735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364</v>
      </c>
      <c r="D7" s="66">
        <f>AVERAGEIFS('BA History'!C:C,'BA History'!B:B,A7)</f>
        <v>10.705882352941176</v>
      </c>
      <c r="E7" s="35">
        <f t="array" ref="E7">MAX(IF('BA History'!B:B=A7, 'BA History'!C:C))</f>
        <v>20</v>
      </c>
      <c r="F7" s="34">
        <f>COUNTIFS('BA History'!B:B,A7,'BA History'!D:D, 1)</f>
        <v>15</v>
      </c>
      <c r="G7" s="2">
        <f>COUNTIFS('BA History'!B:B,A7,'BA History'!D:D, 0)</f>
        <v>19</v>
      </c>
      <c r="H7" s="75">
        <f t="shared" si="0"/>
        <v>0.44117647058823528</v>
      </c>
      <c r="I7" s="34">
        <f>SUMIFS('BA History'!F:F,'BA History'!B:B,A7)</f>
        <v>67</v>
      </c>
      <c r="J7" s="2">
        <f>SUMIFS('BA History'!E:E,'BA History'!B:B,A7)-I7</f>
        <v>73</v>
      </c>
      <c r="K7" s="75">
        <f t="shared" si="1"/>
        <v>0.47857142857142859</v>
      </c>
      <c r="L7" s="34">
        <f>SUMIFS('BA History'!H:H,'BA History'!B:B,A7)</f>
        <v>291</v>
      </c>
      <c r="M7" s="2">
        <f>SUMIFS('BA History'!G:G,'BA History'!B:B,A7)-L7</f>
        <v>294</v>
      </c>
      <c r="N7" s="93">
        <f t="shared" si="2"/>
        <v>0.49743589743589745</v>
      </c>
      <c r="O7" s="2">
        <f>COUNTIFS('BA History'!$B:$B,$A$7,'BA History'!K:K, 1)</f>
        <v>2</v>
      </c>
      <c r="P7" s="2">
        <f>COUNTIFS('BA History'!$B:$B,$A$7,'BA History'!L:L, 1)</f>
        <v>4</v>
      </c>
      <c r="Q7" s="2">
        <f>COUNTIFS('BA History'!$B:$B,$A$7,'BA History'!M:M, 1)</f>
        <v>5</v>
      </c>
      <c r="R7" s="2">
        <f>COUNTIFS('BA History'!$B:$B,$A$7,'BA History'!N:N, 1)</f>
        <v>5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1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3</v>
      </c>
      <c r="AA7" s="2">
        <f>COUNTIFS('BA History'!$B:$B,$A$7,'BA History'!W:W, 1)</f>
        <v>0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7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7</v>
      </c>
      <c r="AI7" s="2">
        <f>COUNTIFS('BA History'!$B:$B,$A$7,'BA History'!AE:AE, 1)</f>
        <v>1</v>
      </c>
      <c r="AJ7" s="2">
        <f>COUNTIFS('BA History'!$B:$B,$A$7,'BA History'!AF:AF, 1)</f>
        <v>2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 t="shared" si="0"/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 t="shared" si="1"/>
        <v>0.59615384615384615</v>
      </c>
      <c r="L8" s="34">
        <f>SUMIFS('BA History'!H:H,'BA History'!B:B,A8)</f>
        <v>120</v>
      </c>
      <c r="M8" s="2">
        <f>SUMIFS('BA History'!G:G,'BA History'!B:B,A8)-L8</f>
        <v>92</v>
      </c>
      <c r="N8" s="93">
        <f t="shared" si="2"/>
        <v>0.56603773584905659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511</v>
      </c>
      <c r="D9" s="66">
        <f>AVERAGEIFS('BA History'!C:C,'BA History'!B:B,A9)</f>
        <v>18.925925925925927</v>
      </c>
      <c r="E9" s="35">
        <f t="array" ref="E9">MAX(IF('BA History'!B:B=A9, 'BA History'!C:C))</f>
        <v>34</v>
      </c>
      <c r="F9" s="34">
        <f>COUNTIFS('BA History'!B:B,A9,'BA History'!D:D, 1)</f>
        <v>13</v>
      </c>
      <c r="G9" s="2">
        <f>COUNTIFS('BA History'!B:B,A9,'BA History'!D:D, 0)</f>
        <v>14</v>
      </c>
      <c r="H9" s="75">
        <f t="shared" si="0"/>
        <v>0.48148148148148145</v>
      </c>
      <c r="I9" s="34">
        <f>SUMIFS('BA History'!F:F,'BA History'!B:B,A9)</f>
        <v>52</v>
      </c>
      <c r="J9" s="2">
        <f>SUMIFS('BA History'!E:E,'BA History'!B:B,A9)-I9</f>
        <v>60</v>
      </c>
      <c r="K9" s="75">
        <f t="shared" si="1"/>
        <v>0.4642857142857143</v>
      </c>
      <c r="L9" s="34">
        <f>SUMIFS('BA History'!H:H,'BA History'!B:B,A9)</f>
        <v>213</v>
      </c>
      <c r="M9" s="2">
        <f>SUMIFS('BA History'!G:G,'BA History'!B:B,A9)-L9</f>
        <v>246</v>
      </c>
      <c r="N9" s="93">
        <f t="shared" si="2"/>
        <v>0.46405228758169936</v>
      </c>
      <c r="O9" s="2">
        <f>COUNTIFS('BA History'!$B:$B,$A$9,'BA History'!K:K, 1)</f>
        <v>2</v>
      </c>
      <c r="P9" s="2">
        <f>COUNTIFS('BA History'!$B:$B,$A$9,'BA History'!L:L, 1)</f>
        <v>6</v>
      </c>
      <c r="Q9" s="2">
        <f>COUNTIFS('BA History'!$B:$B,$A$9,'BA History'!M:M, 1)</f>
        <v>1</v>
      </c>
      <c r="R9" s="2">
        <f>COUNTIFS('BA History'!$B:$B,$A$9,'BA History'!N:N, 1)</f>
        <v>6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2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3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5</v>
      </c>
      <c r="AD9" s="2">
        <f>COUNTIFS('BA History'!$B:$B,$A$9,'BA History'!Z:Z, 1)</f>
        <v>7</v>
      </c>
      <c r="AE9" s="2">
        <f>COUNTIFS('BA History'!$B:$B,$A$9,'BA History'!AA:AA, 1)</f>
        <v>2</v>
      </c>
      <c r="AF9" s="2">
        <f>COUNTIFS('BA History'!$B:$B,$A$9,'BA History'!AB:AB, 1)</f>
        <v>2</v>
      </c>
      <c r="AG9" s="2">
        <f>COUNTIFS('BA History'!$B:$B,$A$9,'BA History'!AC:AC, 1)</f>
        <v>3</v>
      </c>
      <c r="AH9" s="2">
        <f>COUNTIFS('BA History'!$B:$B,$A$9,'BA History'!AD:AD, 1)</f>
        <v>6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 t="shared" si="0"/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 t="shared" si="1"/>
        <v>0.63636363636363635</v>
      </c>
      <c r="L10" s="34">
        <f>SUMIFS('BA History'!H:H,'BA History'!B:B,A10)</f>
        <v>53</v>
      </c>
      <c r="M10" s="2">
        <f>SUMIFS('BA History'!G:G,'BA History'!B:B,A10)-L10</f>
        <v>35</v>
      </c>
      <c r="N10" s="93">
        <f t="shared" si="2"/>
        <v>0.60227272727272729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 t="shared" si="0"/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 t="shared" si="1"/>
        <v>0.45714285714285713</v>
      </c>
      <c r="L11" s="34">
        <f>SUMIFS('BA History'!H:H,'BA History'!B:B,A11)</f>
        <v>66</v>
      </c>
      <c r="M11" s="2">
        <f>SUMIFS('BA History'!G:G,'BA History'!B:B,A11)-L11</f>
        <v>71</v>
      </c>
      <c r="N11" s="93">
        <f t="shared" si="2"/>
        <v>0.48175182481751827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147</v>
      </c>
      <c r="B12" s="2" t="s">
        <v>79</v>
      </c>
      <c r="C12" s="34">
        <f>SUMIFS('BA History'!C:C,'BA History'!B:B,A12)</f>
        <v>43</v>
      </c>
      <c r="D12" s="66">
        <f>AVERAGEIFS('BA History'!C:C,'BA History'!B:B,A12)</f>
        <v>8.6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4</v>
      </c>
      <c r="H12" s="75">
        <f t="shared" si="0"/>
        <v>0.2</v>
      </c>
      <c r="I12" s="34">
        <f>SUMIFS('BA History'!F:F,'BA History'!B:B,A12)</f>
        <v>5</v>
      </c>
      <c r="J12" s="2">
        <f>SUMIFS('BA History'!E:E,'BA History'!B:B,A12)-I12</f>
        <v>12</v>
      </c>
      <c r="K12" s="75">
        <f t="shared" si="1"/>
        <v>0.29411764705882354</v>
      </c>
      <c r="L12" s="34">
        <f>SUMIFS('BA History'!H:H,'BA History'!B:B,A12)</f>
        <v>26</v>
      </c>
      <c r="M12" s="2">
        <f>SUMIFS('BA History'!G:G,'BA History'!B:B,A12)-L12</f>
        <v>43</v>
      </c>
      <c r="N12" s="93">
        <f t="shared" si="2"/>
        <v>0.37681159420289856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93</v>
      </c>
      <c r="D13" s="66">
        <f>AVERAGEIFS('BA History'!C:C,'BA History'!B:B,A13)</f>
        <v>11.625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6</v>
      </c>
      <c r="H13" s="75">
        <f t="shared" si="0"/>
        <v>0.25</v>
      </c>
      <c r="I13" s="34">
        <f>SUMIFS('BA History'!F:F,'BA History'!B:B,A13)</f>
        <v>12</v>
      </c>
      <c r="J13" s="2">
        <f>SUMIFS('BA History'!E:E,'BA History'!B:B,A13)-I13</f>
        <v>22</v>
      </c>
      <c r="K13" s="75">
        <f t="shared" si="1"/>
        <v>0.35294117647058826</v>
      </c>
      <c r="L13" s="34">
        <f>SUMIFS('BA History'!H:H,'BA History'!B:B,A13)</f>
        <v>52</v>
      </c>
      <c r="M13" s="2">
        <f>SUMIFS('BA History'!G:G,'BA History'!B:B,A13)-L13</f>
        <v>84</v>
      </c>
      <c r="N13" s="93">
        <f t="shared" si="2"/>
        <v>0.38235294117647056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 t="shared" si="0"/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 t="shared" si="1"/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93">
        <f t="shared" si="2"/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153</v>
      </c>
      <c r="B15" s="2" t="s">
        <v>79</v>
      </c>
      <c r="C15" s="34">
        <f>SUMIFS('BA History'!C:C,'BA History'!B:B,A15)</f>
        <v>12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0</v>
      </c>
      <c r="H15" s="75">
        <f t="shared" ref="H15" si="3">F15/(F15+G15)</f>
        <v>1</v>
      </c>
      <c r="I15" s="34">
        <f>SUMIFS('BA History'!F:F,'BA History'!B:B,A15)</f>
        <v>4</v>
      </c>
      <c r="J15" s="2">
        <f>SUMIFS('BA History'!E:E,'BA History'!B:B,A15)-I15</f>
        <v>1</v>
      </c>
      <c r="K15" s="75">
        <f t="shared" ref="K15" si="4">I15/(I15+J15)</f>
        <v>0.8</v>
      </c>
      <c r="L15" s="34">
        <f>SUMIFS('BA History'!H:H,'BA History'!B:B,A15)</f>
        <v>14</v>
      </c>
      <c r="M15" s="2">
        <f>SUMIFS('BA History'!G:G,'BA History'!B:B,A15)-L15</f>
        <v>5</v>
      </c>
      <c r="N15" s="93">
        <f t="shared" ref="N15" si="5">L15/(L15+M15)</f>
        <v>0.73684210526315785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1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 t="shared" si="0"/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 t="shared" si="1"/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93">
        <f t="shared" si="2"/>
        <v>0.30769230769230771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 t="shared" si="0"/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 t="shared" si="1"/>
        <v>0.4642857142857143</v>
      </c>
      <c r="L17" s="34">
        <f>SUMIFS('BA History'!H:H,'BA History'!B:B,A17)</f>
        <v>62</v>
      </c>
      <c r="M17" s="2">
        <f>SUMIFS('BA History'!G:G,'BA History'!B:B,A17)-L17</f>
        <v>66</v>
      </c>
      <c r="N17" s="93">
        <f t="shared" si="2"/>
        <v>0.484375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588</v>
      </c>
      <c r="D18" s="66">
        <f>AVERAGEIFS('BA History'!C:C,'BA History'!B:B,A18)</f>
        <v>18.375</v>
      </c>
      <c r="E18" s="35">
        <f t="array" ref="E18">MAX(IF('BA History'!B:B=A18, 'BA History'!C:C))</f>
        <v>31</v>
      </c>
      <c r="F18" s="34">
        <f>COUNTIFS('BA History'!B:B,A18,'BA History'!D:D, 1)</f>
        <v>17</v>
      </c>
      <c r="G18" s="2">
        <f>COUNTIFS('BA History'!B:B,A18,'BA History'!D:D, 0)</f>
        <v>15</v>
      </c>
      <c r="H18" s="75">
        <f t="shared" si="0"/>
        <v>0.53125</v>
      </c>
      <c r="I18" s="34">
        <f>SUMIFS('BA History'!F:F,'BA History'!B:B,A18)</f>
        <v>67</v>
      </c>
      <c r="J18" s="2">
        <f>SUMIFS('BA History'!E:E,'BA History'!B:B,A18)-I18</f>
        <v>61</v>
      </c>
      <c r="K18" s="75">
        <f t="shared" si="1"/>
        <v>0.5234375</v>
      </c>
      <c r="L18" s="34">
        <f>SUMIFS('BA History'!H:H,'BA History'!B:B,A18)</f>
        <v>278</v>
      </c>
      <c r="M18" s="2">
        <f>SUMIFS('BA History'!G:G,'BA History'!B:B,A18)-L18</f>
        <v>259</v>
      </c>
      <c r="N18" s="93">
        <f t="shared" si="2"/>
        <v>0.51769087523277468</v>
      </c>
      <c r="O18" s="2">
        <f>COUNTIFS('BA History'!$B:$B,$A$18,'BA History'!K:K, 1)</f>
        <v>3</v>
      </c>
      <c r="P18" s="2">
        <f>COUNTIFS('BA History'!$B:$B,$A$18,'BA History'!L:L, 1)</f>
        <v>6</v>
      </c>
      <c r="Q18" s="2">
        <f>COUNTIFS('BA History'!$B:$B,$A$18,'BA History'!M:M, 1)</f>
        <v>2</v>
      </c>
      <c r="R18" s="2">
        <f>COUNTIFS('BA History'!$B:$B,$A$18,'BA History'!N:N, 1)</f>
        <v>5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7</v>
      </c>
      <c r="AA18" s="2">
        <f>COUNTIFS('BA History'!$B:$B,$A$18,'BA History'!W:W, 1)</f>
        <v>1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8</v>
      </c>
      <c r="AE18" s="2">
        <f>COUNTIFS('BA History'!$B:$B,$A$18,'BA History'!AA:AA, 1)</f>
        <v>1</v>
      </c>
      <c r="AF18" s="2">
        <f>COUNTIFS('BA History'!$B:$B,$A$18,'BA History'!AB:AB, 1)</f>
        <v>8</v>
      </c>
      <c r="AG18" s="2">
        <f>COUNTIFS('BA History'!$B:$B,$A$18,'BA History'!AC:AC, 1)</f>
        <v>1</v>
      </c>
      <c r="AH18" s="2">
        <f>COUNTIFS('BA History'!$B:$B,$A$18,'BA History'!AD:AD, 1)</f>
        <v>8</v>
      </c>
      <c r="AI18" s="2">
        <f>COUNTIFS('BA History'!$B:$B,$A$18,'BA History'!AE:AE, 1)</f>
        <v>1</v>
      </c>
      <c r="AJ18" s="2">
        <f>COUNTIFS('BA History'!$B:$B,$A$18,'BA History'!AF:AF, 1)</f>
        <v>2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208</v>
      </c>
      <c r="D19" s="66">
        <f>AVERAGEIFS('BA History'!C:C,'BA History'!B:B,A19)</f>
        <v>16</v>
      </c>
      <c r="E19" s="35">
        <f t="array" ref="E19">MAX(IF('BA History'!B:B=A19, 'BA History'!C:C))</f>
        <v>31</v>
      </c>
      <c r="F19" s="34">
        <f>COUNTIFS('BA History'!B:B,A19,'BA History'!D:D, 1)</f>
        <v>5</v>
      </c>
      <c r="G19" s="2">
        <f>COUNTIFS('BA History'!B:B,A19,'BA History'!D:D, 0)</f>
        <v>8</v>
      </c>
      <c r="H19" s="75">
        <f t="shared" si="0"/>
        <v>0.38461538461538464</v>
      </c>
      <c r="I19" s="34">
        <f>SUMIFS('BA History'!F:F,'BA History'!B:B,A19)</f>
        <v>26</v>
      </c>
      <c r="J19" s="2">
        <f>SUMIFS('BA History'!E:E,'BA History'!B:B,A19)-I19</f>
        <v>29</v>
      </c>
      <c r="K19" s="75">
        <f t="shared" si="1"/>
        <v>0.47272727272727272</v>
      </c>
      <c r="L19" s="34">
        <f>SUMIFS('BA History'!H:H,'BA History'!B:B,A19)</f>
        <v>104</v>
      </c>
      <c r="M19" s="2">
        <f>SUMIFS('BA History'!G:G,'BA History'!B:B,A19)-L19</f>
        <v>113</v>
      </c>
      <c r="N19" s="93">
        <f t="shared" si="2"/>
        <v>0.47926267281105989</v>
      </c>
      <c r="O19" s="2">
        <f>COUNTIFS('BA History'!$B:$B,$A$19,'BA History'!K:K, 1)</f>
        <v>1</v>
      </c>
      <c r="P19" s="2">
        <f>COUNTIFS('BA History'!$B:$B,$A$19,'BA History'!L:L, 1)</f>
        <v>2</v>
      </c>
      <c r="Q19" s="2">
        <f>COUNTIFS('BA History'!$B:$B,$A$19,'BA History'!M:M, 1)</f>
        <v>2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1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3</v>
      </c>
      <c r="AE19" s="2">
        <f>COUNTIFS('BA History'!$B:$B,$A$19,'BA History'!AA:AA, 1)</f>
        <v>0</v>
      </c>
      <c r="AF19" s="2">
        <f>COUNTIFS('BA History'!$B:$B,$A$19,'BA History'!AB:AB, 1)</f>
        <v>5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411</v>
      </c>
      <c r="D20" s="66">
        <f>AVERAGEIFS('BA History'!C:C,'BA History'!B:B,A20)</f>
        <v>15.807692307692308</v>
      </c>
      <c r="E20" s="35">
        <f t="array" ref="E20">MAX(IF('BA History'!B:B=A20, 'BA History'!C:C))</f>
        <v>31</v>
      </c>
      <c r="F20" s="34">
        <f>COUNTIFS('BA History'!B:B,A20,'BA History'!D:D, 1)</f>
        <v>17</v>
      </c>
      <c r="G20" s="2">
        <f>COUNTIFS('BA History'!B:B,A20,'BA History'!D:D, 0)</f>
        <v>9</v>
      </c>
      <c r="H20" s="75">
        <f t="shared" si="0"/>
        <v>0.65384615384615385</v>
      </c>
      <c r="I20" s="34">
        <f>SUMIFS('BA History'!F:F,'BA History'!B:B,A20)</f>
        <v>57</v>
      </c>
      <c r="J20" s="2">
        <f>SUMIFS('BA History'!E:E,'BA History'!B:B,A20)-I20</f>
        <v>48</v>
      </c>
      <c r="K20" s="75">
        <f t="shared" si="1"/>
        <v>0.54285714285714282</v>
      </c>
      <c r="L20" s="34">
        <f>SUMIFS('BA History'!H:H,'BA History'!B:B,A20)</f>
        <v>231</v>
      </c>
      <c r="M20" s="2">
        <f>SUMIFS('BA History'!G:G,'BA History'!B:B,A20)-L20</f>
        <v>203</v>
      </c>
      <c r="N20" s="93">
        <f t="shared" si="2"/>
        <v>0.532258064516129</v>
      </c>
      <c r="O20" s="2">
        <f>COUNTIFS('BA History'!$B:$B,$A$20,'BA History'!K:K, 1)</f>
        <v>3</v>
      </c>
      <c r="P20" s="2">
        <f>COUNTIFS('BA History'!$B:$B,$A$20,'BA History'!L:L, 1)</f>
        <v>3</v>
      </c>
      <c r="Q20" s="2">
        <f>COUNTIFS('BA History'!$B:$B,$A$20,'BA History'!M:M, 1)</f>
        <v>5</v>
      </c>
      <c r="R20" s="2">
        <f>COUNTIFS('BA History'!$B:$B,$A$20,'BA History'!N:N, 1)</f>
        <v>5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2</v>
      </c>
      <c r="V20" s="2">
        <f>COUNTIFS('BA History'!$B:$B,$A$20,'BA History'!R:R, 1)</f>
        <v>1</v>
      </c>
      <c r="W20" s="2">
        <f>COUNTIFS('BA History'!$B:$B,$A$20,'BA History'!S:S, 1)</f>
        <v>1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4</v>
      </c>
      <c r="AA20" s="2">
        <f>COUNTIFS('BA History'!$B:$B,$A$20,'BA History'!W:W, 1)</f>
        <v>3</v>
      </c>
      <c r="AB20" s="2">
        <f>COUNTIFS('BA History'!$B:$B,$A$20,'BA History'!X:X, 1)</f>
        <v>1</v>
      </c>
      <c r="AC20" s="2">
        <f>COUNTIFS('BA History'!$B:$B,$A$20,'BA History'!Y:Y, 1)</f>
        <v>3</v>
      </c>
      <c r="AD20" s="2">
        <f>COUNTIFS('BA History'!$B:$B,$A$20,'BA History'!Z:Z, 1)</f>
        <v>6</v>
      </c>
      <c r="AE20" s="2">
        <f>COUNTIFS('BA History'!$B:$B,$A$20,'BA History'!AA:AA, 1)</f>
        <v>2</v>
      </c>
      <c r="AF20" s="2">
        <f>COUNTIFS('BA History'!$B:$B,$A$20,'BA History'!AB:AB, 1)</f>
        <v>4</v>
      </c>
      <c r="AG20" s="2">
        <f>COUNTIFS('BA History'!$B:$B,$A$20,'BA History'!AC:AC, 1)</f>
        <v>4</v>
      </c>
      <c r="AH20" s="2">
        <f>COUNTIFS('BA History'!$B:$B,$A$20,'BA History'!AD:AD, 1)</f>
        <v>4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 t="shared" si="0"/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 t="shared" si="1"/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93">
        <f t="shared" si="2"/>
        <v>0.45454545454545453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1</v>
      </c>
      <c r="AF21" s="2">
        <f>COUNTIFS('BA History'!$B:$B,$A$21,'BA History'!AB:AB, 1)</f>
        <v>1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ht="15.75" x14ac:dyDescent="0.25">
      <c r="A22" s="2" t="s">
        <v>1</v>
      </c>
      <c r="B22" s="80" t="s">
        <v>60</v>
      </c>
      <c r="C22" s="34">
        <f>SUMIFS('BA History'!C:C,'BA History'!B:B,A22)</f>
        <v>590</v>
      </c>
      <c r="D22" s="66">
        <f>AVERAGEIFS('BA History'!C:C,'BA History'!B:B,A22)</f>
        <v>26.818181818181817</v>
      </c>
      <c r="E22" s="35">
        <f t="array" ref="E22">MAX(IF('BA History'!B:B=A22, 'BA History'!C:C))</f>
        <v>50</v>
      </c>
      <c r="F22" s="34">
        <f>COUNTIFS('BA History'!B:B,A22,'BA History'!D:D, 1)</f>
        <v>10</v>
      </c>
      <c r="G22" s="2">
        <f>COUNTIFS('BA History'!B:B,A22,'BA History'!D:D, 0)</f>
        <v>12</v>
      </c>
      <c r="H22" s="75">
        <f t="shared" si="0"/>
        <v>0.45454545454545453</v>
      </c>
      <c r="I22" s="34">
        <f>SUMIFS('BA History'!F:F,'BA History'!B:B,A22)</f>
        <v>40</v>
      </c>
      <c r="J22" s="2">
        <f>SUMIFS('BA History'!E:E,'BA History'!B:B,A22)-I22</f>
        <v>49</v>
      </c>
      <c r="K22" s="75">
        <f t="shared" si="1"/>
        <v>0.449438202247191</v>
      </c>
      <c r="L22" s="34">
        <f>SUMIFS('BA History'!H:H,'BA History'!B:B,A22)</f>
        <v>170</v>
      </c>
      <c r="M22" s="2">
        <f>SUMIFS('BA History'!G:G,'BA History'!B:B,A22)-L22</f>
        <v>194</v>
      </c>
      <c r="N22" s="93">
        <f t="shared" si="2"/>
        <v>0.46703296703296704</v>
      </c>
      <c r="O22" s="2">
        <f>COUNTIFS('BA History'!$B:$B,$A$22,'BA History'!K:K, 1)</f>
        <v>2</v>
      </c>
      <c r="P22" s="2">
        <f>COUNTIFS('BA History'!$B:$B,$A$22,'BA History'!L:L, 1)</f>
        <v>5</v>
      </c>
      <c r="Q22" s="2">
        <f>COUNTIFS('BA History'!$B:$B,$A$22,'BA History'!M:M, 1)</f>
        <v>4</v>
      </c>
      <c r="R22" s="2">
        <f>COUNTIFS('BA History'!$B:$B,$A$22,'BA History'!N:N, 1)</f>
        <v>1</v>
      </c>
      <c r="S22" s="2">
        <f>COUNTIFS('BA History'!$B:$B,$A$22,'BA History'!O:O, 1)</f>
        <v>3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1</v>
      </c>
      <c r="X22" s="2">
        <f>COUNTIFS('BA History'!$B:$B,$A$22,'BA History'!T:T, 1)</f>
        <v>0</v>
      </c>
      <c r="Y22" s="2">
        <f>COUNTIFS('BA History'!$B:$B,$A$22,'BA History'!U:U, 1)</f>
        <v>1</v>
      </c>
      <c r="Z22" s="2">
        <f>COUNTIFS('BA History'!$B:$B,$A$22,'BA History'!V:V, 1)</f>
        <v>3</v>
      </c>
      <c r="AA22" s="2">
        <f>COUNTIFS('BA History'!$B:$B,$A$22,'BA History'!W:W, 1)</f>
        <v>1</v>
      </c>
      <c r="AB22" s="2">
        <f>COUNTIFS('BA History'!$B:$B,$A$22,'BA History'!X:X, 1)</f>
        <v>0</v>
      </c>
      <c r="AC22" s="2">
        <f>COUNTIFS('BA History'!$B:$B,$A$22,'BA History'!Y:Y, 1)</f>
        <v>2</v>
      </c>
      <c r="AD22" s="2">
        <f>COUNTIFS('BA History'!$B:$B,$A$22,'BA History'!Z:Z, 1)</f>
        <v>2</v>
      </c>
      <c r="AE22" s="2">
        <f>COUNTIFS('BA History'!$B:$B,$A$22,'BA History'!AA:AA, 1)</f>
        <v>1</v>
      </c>
      <c r="AF22" s="2">
        <f>COUNTIFS('BA History'!$B:$B,$A$22,'BA History'!AB:AB, 1)</f>
        <v>3</v>
      </c>
      <c r="AG22" s="2">
        <f>COUNTIFS('BA History'!$B:$B,$A$22,'BA History'!AC:AC, 1)</f>
        <v>3</v>
      </c>
      <c r="AH22" s="2">
        <f>COUNTIFS('BA History'!$B:$B,$A$22,'BA History'!AD:AD, 1)</f>
        <v>5</v>
      </c>
      <c r="AI22" s="2">
        <f>COUNTIFS('BA History'!$B:$B,$A$22,'BA History'!AE:AE, 1)</f>
        <v>1</v>
      </c>
      <c r="AJ22" s="2">
        <f>COUNTIFS('BA History'!$B:$B,$A$22,'BA History'!AF:AF, 1)</f>
        <v>2</v>
      </c>
    </row>
    <row r="23" spans="1:36" ht="15.75" x14ac:dyDescent="0.25">
      <c r="A23" s="2" t="s">
        <v>152</v>
      </c>
      <c r="B23" s="80" t="s">
        <v>79</v>
      </c>
      <c r="C23" s="34">
        <f>SUMIFS('BA History'!C:C,'BA History'!B:B,A23)</f>
        <v>7</v>
      </c>
      <c r="D23" s="66">
        <f>AVERAGEIFS('BA History'!C:C,'BA History'!B:B,A23)</f>
        <v>7</v>
      </c>
      <c r="E23" s="35">
        <f t="array" ref="E23">MAX(IF('BA History'!B:B=A23, 'BA History'!C:C))</f>
        <v>7</v>
      </c>
      <c r="F23" s="34">
        <f>COUNTIFS('BA History'!B:B,A23,'BA History'!D:D, 1)</f>
        <v>0</v>
      </c>
      <c r="G23" s="2">
        <f>COUNTIFS('BA History'!B:B,A23,'BA History'!D:D, 0)</f>
        <v>1</v>
      </c>
      <c r="H23" s="75">
        <f t="shared" ref="H23" si="6">F23/(F23+G23)</f>
        <v>0</v>
      </c>
      <c r="I23" s="34">
        <f>SUMIFS('BA History'!F:F,'BA History'!B:B,A23)</f>
        <v>1</v>
      </c>
      <c r="J23" s="2">
        <f>SUMIFS('BA History'!E:E,'BA History'!B:B,A23)-I23</f>
        <v>4</v>
      </c>
      <c r="K23" s="75">
        <f t="shared" ref="K23" si="7">I23/(I23+J23)</f>
        <v>0.2</v>
      </c>
      <c r="L23" s="34">
        <f>SUMIFS('BA History'!H:H,'BA History'!B:B,A23)</f>
        <v>5</v>
      </c>
      <c r="M23" s="2">
        <f>SUMIFS('BA History'!G:G,'BA History'!B:B,A23)-L23</f>
        <v>14</v>
      </c>
      <c r="N23" s="93">
        <f t="shared" ref="N23" si="8">L23/(L23+M23)</f>
        <v>0.26315789473684209</v>
      </c>
      <c r="O23" s="2">
        <f>COUNTIFS('BA History'!$B:$B,$A$23,'BA History'!K:K, 1)</f>
        <v>0</v>
      </c>
      <c r="P23" s="2">
        <f>COUNTIFS('BA History'!$B:$B,$A$23,'BA History'!L:L, 1)</f>
        <v>1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0</v>
      </c>
      <c r="AC23" s="2">
        <f>COUNTIFS('BA History'!$B:$B,$A$23,'BA History'!Y:Y, 1)</f>
        <v>0</v>
      </c>
      <c r="AD23" s="2">
        <f>COUNTIFS('BA History'!$B:$B,$A$23,'BA History'!Z:Z, 1)</f>
        <v>0</v>
      </c>
      <c r="AE23" s="2">
        <f>COUNTIFS('BA History'!$B:$B,$A$23,'BA History'!AA:AA, 1)</f>
        <v>0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  <c r="AJ23" s="2">
        <f>COUNTIFS('BA History'!$B:$B,$A$23,'BA History'!AF:AF, 1)</f>
        <v>0</v>
      </c>
    </row>
    <row r="24" spans="1:36" ht="15.75" x14ac:dyDescent="0.25">
      <c r="A24" s="2" t="s">
        <v>151</v>
      </c>
      <c r="B24" s="100" t="s">
        <v>79</v>
      </c>
      <c r="C24" s="34">
        <f>SUMIFS('BA History'!C:C,'BA History'!B:B,A24)</f>
        <v>80</v>
      </c>
      <c r="D24" s="66">
        <f>AVERAGEIFS('BA History'!C:C,'BA History'!B:B,A24)</f>
        <v>13.333333333333334</v>
      </c>
      <c r="E24" s="35">
        <f t="array" ref="E24">MAX(IF('BA History'!B:B=A24, 'BA History'!C:C))</f>
        <v>17</v>
      </c>
      <c r="F24" s="34">
        <f>COUNTIFS('BA History'!B:B,A24,'BA History'!D:D, 1)</f>
        <v>2</v>
      </c>
      <c r="G24" s="2">
        <f>COUNTIFS('BA History'!B:B,A24,'BA History'!D:D, 0)</f>
        <v>4</v>
      </c>
      <c r="H24" s="75">
        <f t="shared" si="0"/>
        <v>0.33333333333333331</v>
      </c>
      <c r="I24" s="34">
        <f>SUMIFS('BA History'!F:F,'BA History'!B:B,A24)</f>
        <v>13</v>
      </c>
      <c r="J24" s="2">
        <f>SUMIFS('BA History'!E:E,'BA History'!B:B,A24)-I24</f>
        <v>15</v>
      </c>
      <c r="K24" s="75">
        <f t="shared" si="1"/>
        <v>0.4642857142857143</v>
      </c>
      <c r="L24" s="34">
        <f>SUMIFS('BA History'!H:H,'BA History'!B:B,A24)</f>
        <v>58</v>
      </c>
      <c r="M24" s="2">
        <f>SUMIFS('BA History'!G:G,'BA History'!B:B,A24)-L24</f>
        <v>57</v>
      </c>
      <c r="N24" s="93">
        <f t="shared" si="2"/>
        <v>0.5043478260869565</v>
      </c>
      <c r="O24" s="2">
        <f>COUNTIFS('BA History'!$B:$B,$A$24,'BA History'!K:K, 1)</f>
        <v>0</v>
      </c>
      <c r="P24" s="2">
        <f>COUNTIFS('BA History'!$B:$B,$A$24,'BA History'!L:L, 1)</f>
        <v>1</v>
      </c>
      <c r="Q24" s="2">
        <f>COUNTIFS('BA History'!$B:$B,$A$24,'BA History'!M:M, 1)</f>
        <v>2</v>
      </c>
      <c r="R24" s="2">
        <f>COUNTIFS('BA History'!$B:$B,$A$24,'BA History'!N:N, 1)</f>
        <v>0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1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1</v>
      </c>
      <c r="AA24" s="2">
        <f>COUNTIFS('BA History'!$B:$B,$A$24,'BA History'!W:W, 1)</f>
        <v>2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1</v>
      </c>
      <c r="AE24" s="2">
        <f>COUNTIFS('BA History'!$B:$B,$A$24,'BA History'!AA:AA, 1)</f>
        <v>0</v>
      </c>
      <c r="AF24" s="2">
        <f>COUNTIFS('BA History'!$B:$B,$A$24,'BA History'!AB:AB, 1)</f>
        <v>2</v>
      </c>
      <c r="AG24" s="2">
        <f>COUNTIFS('BA History'!$B:$B,$A$24,'BA History'!AC:AC, 1)</f>
        <v>0</v>
      </c>
      <c r="AH24" s="2">
        <f>COUNTIFS('BA History'!$B:$B,$A$24,'BA History'!AD:AD, 1)</f>
        <v>1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ht="15.75" x14ac:dyDescent="0.25">
      <c r="A25" s="2" t="s">
        <v>46</v>
      </c>
      <c r="B25" s="80" t="s">
        <v>60</v>
      </c>
      <c r="C25" s="34">
        <f>SUMIFS('BA History'!C:C,'BA History'!B:B,A25)</f>
        <v>425</v>
      </c>
      <c r="D25" s="66">
        <f>AVERAGEIFS('BA History'!C:C,'BA History'!B:B,A25)</f>
        <v>18.478260869565219</v>
      </c>
      <c r="E25" s="35">
        <f t="array" ref="E25">MAX(IF('BA History'!B:B=A25, 'BA History'!C:C))</f>
        <v>27</v>
      </c>
      <c r="F25" s="34">
        <f>COUNTIFS('BA History'!B:B,A25,'BA History'!D:D, 1)</f>
        <v>9</v>
      </c>
      <c r="G25" s="2">
        <f>COUNTIFS('BA History'!B:B,A25,'BA History'!D:D, 0)</f>
        <v>14</v>
      </c>
      <c r="H25" s="75">
        <f t="shared" si="0"/>
        <v>0.39130434782608697</v>
      </c>
      <c r="I25" s="34">
        <f>SUMIFS('BA History'!F:F,'BA History'!B:B,A25)</f>
        <v>43</v>
      </c>
      <c r="J25" s="2">
        <f>SUMIFS('BA History'!E:E,'BA History'!B:B,A25)-I25</f>
        <v>55</v>
      </c>
      <c r="K25" s="75">
        <f t="shared" si="1"/>
        <v>0.43877551020408162</v>
      </c>
      <c r="L25" s="34">
        <f>SUMIFS('BA History'!H:H,'BA History'!B:B,A25)</f>
        <v>190</v>
      </c>
      <c r="M25" s="2">
        <f>SUMIFS('BA History'!G:G,'BA History'!B:B,A25)-L25</f>
        <v>218</v>
      </c>
      <c r="N25" s="93">
        <f t="shared" si="2"/>
        <v>0.46568627450980393</v>
      </c>
      <c r="O25" s="2">
        <f>COUNTIFS('BA History'!$B:$B,$A$25,'BA History'!K:K, 1)</f>
        <v>5</v>
      </c>
      <c r="P25" s="2">
        <f>COUNTIFS('BA History'!$B:$B,$A$25,'BA History'!L:L, 1)</f>
        <v>2</v>
      </c>
      <c r="Q25" s="2">
        <f>COUNTIFS('BA History'!$B:$B,$A$25,'BA History'!M:M, 1)</f>
        <v>3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2</v>
      </c>
      <c r="AB25" s="2">
        <f>COUNTIFS('BA History'!$B:$B,$A$25,'BA History'!X:X, 1)</f>
        <v>1</v>
      </c>
      <c r="AC25" s="2">
        <f>COUNTIFS('BA History'!$B:$B,$A$25,'BA History'!Y:Y, 1)</f>
        <v>0</v>
      </c>
      <c r="AD25" s="2">
        <f>COUNTIFS('BA History'!$B:$B,$A$25,'BA History'!Z:Z, 1)</f>
        <v>7</v>
      </c>
      <c r="AE25" s="2">
        <f>COUNTIFS('BA History'!$B:$B,$A$25,'BA History'!AA:AA, 1)</f>
        <v>2</v>
      </c>
      <c r="AF25" s="2">
        <f>COUNTIFS('BA History'!$B:$B,$A$25,'BA History'!AB:AB, 1)</f>
        <v>5</v>
      </c>
      <c r="AG25" s="2">
        <f>COUNTIFS('BA History'!$B:$B,$A$25,'BA History'!AC:AC, 1)</f>
        <v>1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3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372</v>
      </c>
      <c r="D26" s="66">
        <f>AVERAGEIFS('BA History'!C:C,'BA History'!B:B,A26)</f>
        <v>13.777777777777779</v>
      </c>
      <c r="E26" s="35">
        <f t="array" ref="E26">MAX(IF('BA History'!B:B=A26, 'BA History'!C:C))</f>
        <v>25</v>
      </c>
      <c r="F26" s="34">
        <f>COUNTIFS('BA History'!B:B,A26,'BA History'!D:D, 1)</f>
        <v>11</v>
      </c>
      <c r="G26" s="2">
        <f>COUNTIFS('BA History'!B:B,A26,'BA History'!D:D, 0)</f>
        <v>16</v>
      </c>
      <c r="H26" s="75">
        <f t="shared" si="0"/>
        <v>0.40740740740740738</v>
      </c>
      <c r="I26" s="34">
        <f>SUMIFS('BA History'!F:F,'BA History'!B:B,A26)</f>
        <v>46</v>
      </c>
      <c r="J26" s="2">
        <f>SUMIFS('BA History'!E:E,'BA History'!B:B,A26)-I26</f>
        <v>57</v>
      </c>
      <c r="K26" s="75">
        <f t="shared" si="1"/>
        <v>0.44660194174757284</v>
      </c>
      <c r="L26" s="34">
        <f>SUMIFS('BA History'!H:H,'BA History'!B:B,A26)</f>
        <v>198</v>
      </c>
      <c r="M26" s="2">
        <f>SUMIFS('BA History'!G:G,'BA History'!B:B,A26)-L26</f>
        <v>221</v>
      </c>
      <c r="N26" s="93">
        <f t="shared" si="2"/>
        <v>0.47255369928400953</v>
      </c>
      <c r="O26" s="2">
        <f>COUNTIFS('BA History'!$B:$B,$A$26,'BA History'!K:K, 1)</f>
        <v>1</v>
      </c>
      <c r="P26" s="2">
        <f>COUNTIFS('BA History'!$B:$B,$A$26,'BA History'!L:L, 1)</f>
        <v>4</v>
      </c>
      <c r="Q26" s="2">
        <f>COUNTIFS('BA History'!$B:$B,$A$26,'BA History'!M:M, 1)</f>
        <v>2</v>
      </c>
      <c r="R26" s="2">
        <f>COUNTIFS('BA History'!$B:$B,$A$26,'BA History'!N:N, 1)</f>
        <v>5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2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3</v>
      </c>
      <c r="AD26" s="2">
        <f>COUNTIFS('BA History'!$B:$B,$A$26,'BA History'!Z:Z, 1)</f>
        <v>4</v>
      </c>
      <c r="AE26" s="2">
        <f>COUNTIFS('BA History'!$B:$B,$A$26,'BA History'!AA:AA, 1)</f>
        <v>2</v>
      </c>
      <c r="AF26" s="2">
        <f>COUNTIFS('BA History'!$B:$B,$A$26,'BA History'!AB:AB, 1)</f>
        <v>3</v>
      </c>
      <c r="AG26" s="2">
        <f>COUNTIFS('BA History'!$B:$B,$A$26,'BA History'!AC:AC, 1)</f>
        <v>3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241</v>
      </c>
      <c r="D27" s="66">
        <f>AVERAGEIFS('BA History'!C:C,'BA History'!B:B,A27)</f>
        <v>16.066666666666666</v>
      </c>
      <c r="E27" s="35">
        <f t="array" ref="E27">MAX(IF('BA History'!B:B=A27, 'BA History'!C:C))</f>
        <v>36</v>
      </c>
      <c r="F27" s="34">
        <f>COUNTIFS('BA History'!B:B,A27,'BA History'!D:D, 1)</f>
        <v>8</v>
      </c>
      <c r="G27" s="2">
        <f>COUNTIFS('BA History'!B:B,A27,'BA History'!D:D, 0)</f>
        <v>7</v>
      </c>
      <c r="H27" s="75">
        <f t="shared" si="0"/>
        <v>0.53333333333333333</v>
      </c>
      <c r="I27" s="34">
        <f>SUMIFS('BA History'!F:F,'BA History'!B:B,A27)</f>
        <v>30</v>
      </c>
      <c r="J27" s="2">
        <f>SUMIFS('BA History'!E:E,'BA History'!B:B,A27)-I27</f>
        <v>26</v>
      </c>
      <c r="K27" s="75">
        <f t="shared" si="1"/>
        <v>0.5357142857142857</v>
      </c>
      <c r="L27" s="34">
        <f>SUMIFS('BA History'!H:H,'BA History'!B:B,A27)</f>
        <v>114</v>
      </c>
      <c r="M27" s="2">
        <f>SUMIFS('BA History'!G:G,'BA History'!B:B,A27)-L27</f>
        <v>108</v>
      </c>
      <c r="N27" s="93">
        <f t="shared" si="2"/>
        <v>0.51351351351351349</v>
      </c>
      <c r="O27" s="2">
        <f>COUNTIFS('BA History'!$B:$B,$A$27,'BA History'!K:K, 1)</f>
        <v>1</v>
      </c>
      <c r="P27" s="2">
        <f>COUNTIFS('BA History'!$B:$B,$A$27,'BA History'!L:L, 1)</f>
        <v>2</v>
      </c>
      <c r="Q27" s="2">
        <f>COUNTIFS('BA History'!$B:$B,$A$27,'BA History'!M:M, 1)</f>
        <v>0</v>
      </c>
      <c r="R27" s="2">
        <f>COUNTIFS('BA History'!$B:$B,$A$27,'BA History'!N:N, 1)</f>
        <v>4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2</v>
      </c>
      <c r="AD27" s="2">
        <f>COUNTIFS('BA History'!$B:$B,$A$27,'BA History'!Z:Z, 1)</f>
        <v>6</v>
      </c>
      <c r="AE27" s="2">
        <f>COUNTIFS('BA History'!$B:$B,$A$27,'BA History'!AA:AA, 1)</f>
        <v>0</v>
      </c>
      <c r="AF27" s="2">
        <f>COUNTIFS('BA History'!$B:$B,$A$27,'BA History'!AB:AB, 1)</f>
        <v>5</v>
      </c>
      <c r="AG27" s="2">
        <f>COUNTIFS('BA History'!$B:$B,$A$27,'BA History'!AC:AC, 1)</f>
        <v>1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0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 t="shared" si="0"/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 t="shared" si="1"/>
        <v>0.33333333333333331</v>
      </c>
      <c r="L28" s="34">
        <f>SUMIFS('BA History'!H:H,'BA History'!B:B,A28)</f>
        <v>10</v>
      </c>
      <c r="M28" s="2">
        <f>SUMIFS('BA History'!G:G,'BA History'!B:B,A28)-L28</f>
        <v>16</v>
      </c>
      <c r="N28" s="93">
        <f t="shared" si="2"/>
        <v>0.38461538461538464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40</v>
      </c>
      <c r="D29" s="66">
        <f>AVERAGEIFS('BA History'!C:C,'BA History'!B:B,A29)</f>
        <v>6.666666666666667</v>
      </c>
      <c r="E29" s="35">
        <f t="array" ref="E29">MAX(IF('BA History'!B:B=A29, 'BA History'!C:C))</f>
        <v>11</v>
      </c>
      <c r="F29" s="34">
        <f>COUNTIFS('BA History'!B:B,A29,'BA History'!D:D, 1)</f>
        <v>2</v>
      </c>
      <c r="G29" s="2">
        <f>COUNTIFS('BA History'!B:B,A29,'BA History'!D:D, 0)</f>
        <v>4</v>
      </c>
      <c r="H29" s="75">
        <f t="shared" si="0"/>
        <v>0.33333333333333331</v>
      </c>
      <c r="I29" s="34">
        <f>SUMIFS('BA History'!F:F,'BA History'!B:B,A29)</f>
        <v>13</v>
      </c>
      <c r="J29" s="2">
        <f>SUMIFS('BA History'!E:E,'BA History'!B:B,A29)-I29</f>
        <v>14</v>
      </c>
      <c r="K29" s="75">
        <f t="shared" si="1"/>
        <v>0.48148148148148145</v>
      </c>
      <c r="L29" s="34">
        <f>SUMIFS('BA History'!H:H,'BA History'!B:B,A29)</f>
        <v>51</v>
      </c>
      <c r="M29" s="2">
        <f>SUMIFS('BA History'!G:G,'BA History'!B:B,A29)-L29</f>
        <v>54</v>
      </c>
      <c r="N29" s="93">
        <f t="shared" si="2"/>
        <v>0.48571428571428571</v>
      </c>
      <c r="O29" s="2">
        <f>COUNTIFS('BA History'!$B:$B,$A$29,'BA History'!K:K, 1)</f>
        <v>2</v>
      </c>
      <c r="P29" s="2">
        <f>COUNTIFS('BA History'!$B:$B,$A$29,'BA History'!L:L, 1)</f>
        <v>1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2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ht="15.75" x14ac:dyDescent="0.25">
      <c r="A30" s="2" t="s">
        <v>3</v>
      </c>
      <c r="B30" s="80" t="s">
        <v>60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 t="shared" si="0"/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 t="shared" si="1"/>
        <v>0.44444444444444442</v>
      </c>
      <c r="L30" s="34">
        <f>SUMIFS('BA History'!H:H,'BA History'!B:B,A30)</f>
        <v>74</v>
      </c>
      <c r="M30" s="2">
        <f>SUMIFS('BA History'!G:G,'BA History'!B:B,A30)-L30</f>
        <v>83</v>
      </c>
      <c r="N30" s="93">
        <f t="shared" si="2"/>
        <v>0.4713375796178344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15</v>
      </c>
      <c r="B31" s="2" t="s">
        <v>79</v>
      </c>
      <c r="C31" s="34">
        <f>SUMIFS('BA History'!C:C,'BA History'!B:B,A31)</f>
        <v>4</v>
      </c>
      <c r="D31" s="66">
        <f>AVERAGEIFS('BA History'!C:C,'BA History'!B:B,A31)</f>
        <v>4</v>
      </c>
      <c r="E31" s="35">
        <f t="array" ref="E31">MAX(IF('BA History'!B:B=A31, 'BA History'!C:C))</f>
        <v>4</v>
      </c>
      <c r="F31" s="34">
        <f>COUNTIFS('BA History'!B:B,A31,'BA History'!D:D, 1)</f>
        <v>0</v>
      </c>
      <c r="G31" s="2">
        <f>COUNTIFS('BA History'!B:B,A31,'BA History'!D:D, 0)</f>
        <v>1</v>
      </c>
      <c r="H31" s="75">
        <f t="shared" si="0"/>
        <v>0</v>
      </c>
      <c r="I31" s="34">
        <f>SUMIFS('BA History'!F:F,'BA History'!B:B,A31)</f>
        <v>0</v>
      </c>
      <c r="J31" s="2">
        <f>SUMIFS('BA History'!E:E,'BA History'!B:B,A31)-I31</f>
        <v>3</v>
      </c>
      <c r="K31" s="75">
        <f t="shared" si="1"/>
        <v>0</v>
      </c>
      <c r="L31" s="34">
        <f>SUMIFS('BA History'!H:H,'BA History'!B:B,A31)</f>
        <v>1</v>
      </c>
      <c r="M31" s="2">
        <f>SUMIFS('BA History'!G:G,'BA History'!B:B,A31)-L31</f>
        <v>9</v>
      </c>
      <c r="N31" s="93">
        <f t="shared" si="2"/>
        <v>0.1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143</v>
      </c>
      <c r="B32" s="2" t="s">
        <v>79</v>
      </c>
      <c r="C32" s="34">
        <f>SUMIFS('BA History'!C:C,'BA History'!B:B,A32)</f>
        <v>25</v>
      </c>
      <c r="D32" s="66">
        <f>AVERAGEIFS('BA History'!C:C,'BA History'!B:B,A32)</f>
        <v>8.3333333333333339</v>
      </c>
      <c r="E32" s="35">
        <f t="array" ref="E32">MAX(IF('BA History'!B:B=A32, 'BA History'!C:C))</f>
        <v>9</v>
      </c>
      <c r="F32" s="34">
        <f>COUNTIFS('BA History'!B:B,A32,'BA History'!D:D, 1)</f>
        <v>0</v>
      </c>
      <c r="G32" s="2">
        <f>COUNTIFS('BA History'!B:B,A32,'BA History'!D:D, 0)</f>
        <v>3</v>
      </c>
      <c r="H32" s="75">
        <f t="shared" si="0"/>
        <v>0</v>
      </c>
      <c r="I32" s="34">
        <f>SUMIFS('BA History'!F:F,'BA History'!B:B,A32)</f>
        <v>2</v>
      </c>
      <c r="J32" s="2">
        <f>SUMIFS('BA History'!E:E,'BA History'!B:B,A32)-I32</f>
        <v>9</v>
      </c>
      <c r="K32" s="75">
        <f t="shared" si="1"/>
        <v>0.18181818181818182</v>
      </c>
      <c r="L32" s="34">
        <f>SUMIFS('BA History'!H:H,'BA History'!B:B,A32)</f>
        <v>14</v>
      </c>
      <c r="M32" s="2">
        <f>SUMIFS('BA History'!G:G,'BA History'!B:B,A32)-L32</f>
        <v>29</v>
      </c>
      <c r="N32" s="93">
        <f t="shared" si="2"/>
        <v>0.32558139534883723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2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90</v>
      </c>
      <c r="B33" s="2" t="s">
        <v>79</v>
      </c>
      <c r="C33" s="34">
        <f>SUMIFS('BA History'!C:C,'BA History'!B:B,A33)</f>
        <v>3</v>
      </c>
      <c r="D33" s="66">
        <f>AVERAGEIFS('BA History'!C:C,'BA History'!B:B,A33)</f>
        <v>3</v>
      </c>
      <c r="E33" s="35">
        <f t="array" ref="E33">MAX(IF('BA History'!B:B=A33, 'BA History'!C:C))</f>
        <v>3</v>
      </c>
      <c r="F33" s="34">
        <f>COUNTIFS('BA History'!B:B,A33,'BA History'!D:D, 1)</f>
        <v>1</v>
      </c>
      <c r="G33" s="2">
        <f>COUNTIFS('BA History'!B:B,A33,'BA History'!D:D, 0)</f>
        <v>0</v>
      </c>
      <c r="H33" s="75">
        <f t="shared" si="0"/>
        <v>1</v>
      </c>
      <c r="I33" s="34">
        <f>SUMIFS('BA History'!F:F,'BA History'!B:B,A33)</f>
        <v>3</v>
      </c>
      <c r="J33" s="2">
        <f>SUMIFS('BA History'!E:E,'BA History'!B:B,A33)-I33</f>
        <v>0</v>
      </c>
      <c r="K33" s="75">
        <f t="shared" si="1"/>
        <v>1</v>
      </c>
      <c r="L33" s="34">
        <f>SUMIFS('BA History'!H:H,'BA History'!B:B,A33)</f>
        <v>9</v>
      </c>
      <c r="M33" s="2">
        <f>SUMIFS('BA History'!G:G,'BA History'!B:B,A33)-L33</f>
        <v>5</v>
      </c>
      <c r="N33" s="93">
        <f t="shared" si="2"/>
        <v>0.6428571428571429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1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1</v>
      </c>
      <c r="AG33" s="2">
        <f>COUNTIFS('BA History'!$B:$B,$A$33,'BA History'!AC:AC, 1)</f>
        <v>1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13</v>
      </c>
      <c r="B34" s="2" t="s">
        <v>79</v>
      </c>
      <c r="C34" s="34">
        <f>SUMIFS('BA History'!C:C,'BA History'!B:B,A34)</f>
        <v>146</v>
      </c>
      <c r="D34" s="66">
        <f>AVERAGEIFS('BA History'!C:C,'BA History'!B:B,A34)</f>
        <v>13.272727272727273</v>
      </c>
      <c r="E34" s="35">
        <f t="array" ref="E34">MAX(IF('BA History'!B:B=A34, 'BA History'!C:C))</f>
        <v>21</v>
      </c>
      <c r="F34" s="34">
        <f>COUNTIFS('BA History'!B:B,A34,'BA History'!D:D, 1)</f>
        <v>4</v>
      </c>
      <c r="G34" s="2">
        <f>COUNTIFS('BA History'!B:B,A34,'BA History'!D:D, 0)</f>
        <v>7</v>
      </c>
      <c r="H34" s="75">
        <f t="shared" si="0"/>
        <v>0.36363636363636365</v>
      </c>
      <c r="I34" s="34">
        <f>SUMIFS('BA History'!F:F,'BA History'!B:B,A34)</f>
        <v>21</v>
      </c>
      <c r="J34" s="2">
        <f>SUMIFS('BA History'!E:E,'BA History'!B:B,A34)-I34</f>
        <v>23</v>
      </c>
      <c r="K34" s="75">
        <f t="shared" si="1"/>
        <v>0.47727272727272729</v>
      </c>
      <c r="L34" s="34">
        <f>SUMIFS('BA History'!H:H,'BA History'!B:B,A34)</f>
        <v>89</v>
      </c>
      <c r="M34" s="2">
        <f>SUMIFS('BA History'!G:G,'BA History'!B:B,A34)-L34</f>
        <v>96</v>
      </c>
      <c r="N34" s="93">
        <f t="shared" si="2"/>
        <v>0.48108108108108111</v>
      </c>
      <c r="O34" s="2">
        <f>COUNTIFS('BA History'!$B:$B,$A$34,'BA History'!K:K, 1)</f>
        <v>4</v>
      </c>
      <c r="P34" s="2">
        <f>COUNTIFS('BA History'!$B:$B,$A$34,'BA History'!L:L, 1)</f>
        <v>0</v>
      </c>
      <c r="Q34" s="2">
        <f>COUNTIFS('BA History'!$B:$B,$A$34,'BA History'!M:M, 1)</f>
        <v>2</v>
      </c>
      <c r="R34" s="2">
        <f>COUNTIFS('BA History'!$B:$B,$A$34,'BA History'!N:N, 1)</f>
        <v>1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0</v>
      </c>
      <c r="AB34" s="2">
        <f>COUNTIFS('BA History'!$B:$B,$A$34,'BA History'!X:X, 1)</f>
        <v>0</v>
      </c>
      <c r="AC34" s="2">
        <f>COUNTIFS('BA History'!$B:$B,$A$34,'BA History'!Y:Y, 1)</f>
        <v>3</v>
      </c>
      <c r="AD34" s="2">
        <f>COUNTIFS('BA History'!$B:$B,$A$34,'BA History'!Z:Z, 1)</f>
        <v>3</v>
      </c>
      <c r="AE34" s="2">
        <f>COUNTIFS('BA History'!$B:$B,$A$34,'BA History'!AA:AA, 1)</f>
        <v>0</v>
      </c>
      <c r="AF34" s="2">
        <f>COUNTIFS('BA History'!$B:$B,$A$34,'BA History'!AB:AB, 1)</f>
        <v>2</v>
      </c>
      <c r="AG34" s="2">
        <f>COUNTIFS('BA History'!$B:$B,$A$34,'BA History'!AC:AC, 1)</f>
        <v>1</v>
      </c>
      <c r="AH34" s="2">
        <f>COUNTIFS('BA History'!$B:$B,$A$34,'BA History'!AD:AD, 1)</f>
        <v>2</v>
      </c>
      <c r="AI34" s="2">
        <f>COUNTIFS('BA History'!$B:$B,$A$34,'BA History'!AE:AE, 1)</f>
        <v>0</v>
      </c>
      <c r="AJ34" s="2">
        <f>COUNTIFS('BA History'!$B:$B,$A$34,'BA History'!AF:AF, 1)</f>
        <v>2</v>
      </c>
    </row>
    <row r="35" spans="1:36" ht="15.75" x14ac:dyDescent="0.25">
      <c r="A35" s="2" t="s">
        <v>2</v>
      </c>
      <c r="B35" s="80" t="s">
        <v>60</v>
      </c>
      <c r="C35" s="34">
        <f>SUMIFS('BA History'!C:C,'BA History'!B:B,A35)</f>
        <v>696</v>
      </c>
      <c r="D35" s="66">
        <f>AVERAGEIFS('BA History'!C:C,'BA History'!B:B,A35)</f>
        <v>24</v>
      </c>
      <c r="E35" s="35">
        <f t="array" ref="E35">MAX(IF('BA History'!B:B=A35, 'BA History'!C:C))</f>
        <v>43</v>
      </c>
      <c r="F35" s="34">
        <f>COUNTIFS('BA History'!B:B,A35,'BA History'!D:D, 1)</f>
        <v>17</v>
      </c>
      <c r="G35" s="2">
        <f>COUNTIFS('BA History'!B:B,A35,'BA History'!D:D, 0)</f>
        <v>12</v>
      </c>
      <c r="H35" s="75">
        <f t="shared" ref="H35:H55" si="9">F35/(F35+G35)</f>
        <v>0.58620689655172409</v>
      </c>
      <c r="I35" s="34">
        <f>SUMIFS('BA History'!F:F,'BA History'!B:B,A35)</f>
        <v>63</v>
      </c>
      <c r="J35" s="2">
        <f>SUMIFS('BA History'!E:E,'BA History'!B:B,A35)-I35</f>
        <v>49</v>
      </c>
      <c r="K35" s="75">
        <f t="shared" ref="K35:K55" si="10">I35/(I35+J35)</f>
        <v>0.5625</v>
      </c>
      <c r="L35" s="34">
        <f>SUMIFS('BA History'!H:H,'BA History'!B:B,A35)</f>
        <v>249</v>
      </c>
      <c r="M35" s="2">
        <f>SUMIFS('BA History'!G:G,'BA History'!B:B,A35)-L35</f>
        <v>211</v>
      </c>
      <c r="N35" s="93">
        <f t="shared" ref="N35:N55" si="11">L35/(L35+M35)</f>
        <v>0.54130434782608694</v>
      </c>
      <c r="O35" s="2">
        <f>COUNTIFS('BA History'!$B:$B,$A$35,'BA History'!K:K, 1)</f>
        <v>4</v>
      </c>
      <c r="P35" s="2">
        <f>COUNTIFS('BA History'!$B:$B,$A$35,'BA History'!L:L, 1)</f>
        <v>1</v>
      </c>
      <c r="Q35" s="2">
        <f>COUNTIFS('BA History'!$B:$B,$A$35,'BA History'!M:M, 1)</f>
        <v>5</v>
      </c>
      <c r="R35" s="2">
        <f>COUNTIFS('BA History'!$B:$B,$A$35,'BA History'!N:N, 1)</f>
        <v>7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1</v>
      </c>
      <c r="V35" s="2">
        <f>COUNTIFS('BA History'!$B:$B,$A$35,'BA History'!R:R, 1)</f>
        <v>1</v>
      </c>
      <c r="W35" s="2">
        <f>COUNTIFS('BA History'!$B:$B,$A$35,'BA History'!S:S, 1)</f>
        <v>1</v>
      </c>
      <c r="X35" s="2">
        <f>COUNTIFS('BA History'!$B:$B,$A$35,'BA History'!T:T, 1)</f>
        <v>0</v>
      </c>
      <c r="Y35" s="2">
        <f>COUNTIFS('BA History'!$B:$B,$A$35,'BA History'!U:U, 1)</f>
        <v>2</v>
      </c>
      <c r="Z35" s="2">
        <f>COUNTIFS('BA History'!$B:$B,$A$35,'BA History'!V:V, 1)</f>
        <v>3</v>
      </c>
      <c r="AA35" s="2">
        <f>COUNTIFS('BA History'!$B:$B,$A$35,'BA History'!W:W, 1)</f>
        <v>1</v>
      </c>
      <c r="AB35" s="2">
        <f>COUNTIFS('BA History'!$B:$B,$A$35,'BA History'!X:X, 1)</f>
        <v>1</v>
      </c>
      <c r="AC35" s="2">
        <f>COUNTIFS('BA History'!$B:$B,$A$35,'BA History'!Y:Y, 1)</f>
        <v>6</v>
      </c>
      <c r="AD35" s="2">
        <f>COUNTIFS('BA History'!$B:$B,$A$35,'BA History'!Z:Z, 1)</f>
        <v>8</v>
      </c>
      <c r="AE35" s="2">
        <f>COUNTIFS('BA History'!$B:$B,$A$35,'BA History'!AA:AA, 1)</f>
        <v>0</v>
      </c>
      <c r="AF35" s="2">
        <f>COUNTIFS('BA History'!$B:$B,$A$35,'BA History'!AB:AB, 1)</f>
        <v>10</v>
      </c>
      <c r="AG35" s="2">
        <f>COUNTIFS('BA History'!$B:$B,$A$35,'BA History'!AC:AC, 1)</f>
        <v>3</v>
      </c>
      <c r="AH35" s="2">
        <f>COUNTIFS('BA History'!$B:$B,$A$35,'BA History'!AD:AD, 1)</f>
        <v>4</v>
      </c>
      <c r="AI35" s="2">
        <f>COUNTIFS('BA History'!$B:$B,$A$35,'BA History'!AE:AE, 1)</f>
        <v>0</v>
      </c>
      <c r="AJ35" s="2">
        <f>COUNTIFS('BA History'!$B:$B,$A$35,'BA History'!AF:AF, 1)</f>
        <v>3</v>
      </c>
    </row>
    <row r="36" spans="1:36" x14ac:dyDescent="0.25">
      <c r="A36" s="2" t="s">
        <v>54</v>
      </c>
      <c r="B36" s="2" t="s">
        <v>79</v>
      </c>
      <c r="C36" s="34">
        <f>SUMIFS('BA History'!C:C,'BA History'!B:B,A36)</f>
        <v>1104</v>
      </c>
      <c r="D36" s="66">
        <f>AVERAGEIFS('BA History'!C:C,'BA History'!B:B,A36)</f>
        <v>24</v>
      </c>
      <c r="E36" s="35">
        <f t="array" ref="E36">MAX(IF('BA History'!B:B=A36, 'BA History'!C:C))</f>
        <v>37</v>
      </c>
      <c r="F36" s="34">
        <f>COUNTIFS('BA History'!B:B,A36,'BA History'!D:D, 1)</f>
        <v>25</v>
      </c>
      <c r="G36" s="2">
        <f>COUNTIFS('BA History'!B:B,A36,'BA History'!D:D, 0)</f>
        <v>21</v>
      </c>
      <c r="H36" s="75">
        <f t="shared" si="9"/>
        <v>0.54347826086956519</v>
      </c>
      <c r="I36" s="34">
        <f>SUMIFS('BA History'!F:F,'BA History'!B:B,A36)</f>
        <v>99</v>
      </c>
      <c r="J36" s="2">
        <f>SUMIFS('BA History'!E:E,'BA History'!B:B,A36)-I36</f>
        <v>89</v>
      </c>
      <c r="K36" s="75">
        <f t="shared" si="10"/>
        <v>0.52659574468085102</v>
      </c>
      <c r="L36" s="34">
        <f>SUMIFS('BA History'!H:H,'BA History'!B:B,A36)</f>
        <v>397</v>
      </c>
      <c r="M36" s="2">
        <f>SUMIFS('BA History'!G:G,'BA History'!B:B,A36)-L36</f>
        <v>383</v>
      </c>
      <c r="N36" s="93">
        <f t="shared" si="11"/>
        <v>0.50897435897435894</v>
      </c>
      <c r="O36" s="2">
        <f>COUNTIFS('BA History'!$B:$B,$A$36,'BA History'!K:K, 1)</f>
        <v>5</v>
      </c>
      <c r="P36" s="2">
        <f>COUNTIFS('BA History'!$B:$B,$A$36,'BA History'!L:L, 1)</f>
        <v>7</v>
      </c>
      <c r="Q36" s="2">
        <f>COUNTIFS('BA History'!$B:$B,$A$36,'BA History'!M:M, 1)</f>
        <v>7</v>
      </c>
      <c r="R36" s="2">
        <f>COUNTIFS('BA History'!$B:$B,$A$36,'BA History'!N:N, 1)</f>
        <v>7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3</v>
      </c>
      <c r="V36" s="2">
        <f>COUNTIFS('BA History'!$B:$B,$A$36,'BA History'!R:R, 1)</f>
        <v>2</v>
      </c>
      <c r="W36" s="2">
        <f>COUNTIFS('BA History'!$B:$B,$A$36,'BA History'!S:S, 1)</f>
        <v>0</v>
      </c>
      <c r="X36" s="2">
        <f>COUNTIFS('BA History'!$B:$B,$A$36,'BA History'!T:T, 1)</f>
        <v>1</v>
      </c>
      <c r="Y36" s="2">
        <f>COUNTIFS('BA History'!$B:$B,$A$36,'BA History'!U:U, 1)</f>
        <v>3</v>
      </c>
      <c r="Z36" s="2">
        <f>COUNTIFS('BA History'!$B:$B,$A$36,'BA History'!V:V, 1)</f>
        <v>6</v>
      </c>
      <c r="AA36" s="2">
        <f>COUNTIFS('BA History'!$B:$B,$A$36,'BA History'!W:W, 1)</f>
        <v>1</v>
      </c>
      <c r="AB36" s="2">
        <f>COUNTIFS('BA History'!$B:$B,$A$36,'BA History'!X:X, 1)</f>
        <v>0</v>
      </c>
      <c r="AC36" s="2">
        <f>COUNTIFS('BA History'!$B:$B,$A$36,'BA History'!Y:Y, 1)</f>
        <v>9</v>
      </c>
      <c r="AD36" s="2">
        <f>COUNTIFS('BA History'!$B:$B,$A$36,'BA History'!Z:Z, 1)</f>
        <v>8</v>
      </c>
      <c r="AE36" s="2">
        <f>COUNTIFS('BA History'!$B:$B,$A$36,'BA History'!AA:AA, 1)</f>
        <v>3</v>
      </c>
      <c r="AF36" s="2">
        <f>COUNTIFS('BA History'!$B:$B,$A$36,'BA History'!AB:AB, 1)</f>
        <v>13</v>
      </c>
      <c r="AG36" s="2">
        <f>COUNTIFS('BA History'!$B:$B,$A$36,'BA History'!AC:AC, 1)</f>
        <v>8</v>
      </c>
      <c r="AH36" s="2">
        <f>COUNTIFS('BA History'!$B:$B,$A$36,'BA History'!AD:AD, 1)</f>
        <v>8</v>
      </c>
      <c r="AI36" s="2">
        <f>COUNTIFS('BA History'!$B:$B,$A$36,'BA History'!AE:AE, 1)</f>
        <v>2</v>
      </c>
      <c r="AJ36" s="2">
        <f>COUNTIFS('BA History'!$B:$B,$A$36,'BA History'!AF:AF, 1)</f>
        <v>4</v>
      </c>
    </row>
    <row r="37" spans="1:36" ht="15.75" x14ac:dyDescent="0.25">
      <c r="A37" s="2" t="s">
        <v>5</v>
      </c>
      <c r="B37" s="80" t="s">
        <v>60</v>
      </c>
      <c r="C37" s="34">
        <f>SUMIFS('BA History'!C:C,'BA History'!B:B,A37)</f>
        <v>337</v>
      </c>
      <c r="D37" s="66">
        <f>AVERAGEIFS('BA History'!C:C,'BA History'!B:B,A37)</f>
        <v>21.0625</v>
      </c>
      <c r="E37" s="35">
        <f t="array" ref="E37">MAX(IF('BA History'!B:B=A37, 'BA History'!C:C))</f>
        <v>36</v>
      </c>
      <c r="F37" s="34">
        <f>COUNTIFS('BA History'!B:B,A37,'BA History'!D:D, 1)</f>
        <v>13</v>
      </c>
      <c r="G37" s="2">
        <f>COUNTIFS('BA History'!B:B,A37,'BA History'!D:D, 0)</f>
        <v>3</v>
      </c>
      <c r="H37" s="75">
        <f t="shared" si="9"/>
        <v>0.8125</v>
      </c>
      <c r="I37" s="34">
        <f>SUMIFS('BA History'!F:F,'BA History'!B:B,A37)</f>
        <v>40</v>
      </c>
      <c r="J37" s="2">
        <f>SUMIFS('BA History'!E:E,'BA History'!B:B,A37)-I37</f>
        <v>21</v>
      </c>
      <c r="K37" s="75">
        <f t="shared" si="10"/>
        <v>0.65573770491803274</v>
      </c>
      <c r="L37" s="34">
        <f>SUMIFS('BA History'!H:H,'BA History'!B:B,A37)</f>
        <v>149</v>
      </c>
      <c r="M37" s="2">
        <f>SUMIFS('BA History'!G:G,'BA History'!B:B,A37)-L37</f>
        <v>113</v>
      </c>
      <c r="N37" s="93">
        <f t="shared" si="11"/>
        <v>0.56870229007633588</v>
      </c>
      <c r="O37" s="2">
        <f>COUNTIFS('BA History'!$B:$B,$A$37,'BA History'!K:K, 1)</f>
        <v>1</v>
      </c>
      <c r="P37" s="2">
        <f>COUNTIFS('BA History'!$B:$B,$A$37,'BA History'!L:L, 1)</f>
        <v>3</v>
      </c>
      <c r="Q37" s="2">
        <f>COUNTIFS('BA History'!$B:$B,$A$37,'BA History'!M:M, 1)</f>
        <v>1</v>
      </c>
      <c r="R37" s="2">
        <f>COUNTIFS('BA History'!$B:$B,$A$37,'BA History'!N:N, 1)</f>
        <v>5</v>
      </c>
      <c r="S37" s="2">
        <f>COUNTIFS('BA History'!$B:$B,$A$37,'BA History'!O:O, 1)</f>
        <v>1</v>
      </c>
      <c r="T37" s="2">
        <f>COUNTIFS('BA History'!$B:$B,$A$37,'BA History'!P:P, 1)</f>
        <v>0</v>
      </c>
      <c r="U37" s="2">
        <f>COUNTIFS('BA History'!$B:$B,$A$37,'BA History'!Q:Q, 1)</f>
        <v>2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1</v>
      </c>
      <c r="Z37" s="2">
        <f>COUNTIFS('BA History'!$B:$B,$A$37,'BA History'!V:V, 1)</f>
        <v>3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3</v>
      </c>
      <c r="AD37" s="2">
        <f>COUNTIFS('BA History'!$B:$B,$A$37,'BA History'!Z:Z, 1)</f>
        <v>2</v>
      </c>
      <c r="AE37" s="2">
        <f>COUNTIFS('BA History'!$B:$B,$A$37,'BA History'!AA:AA, 1)</f>
        <v>3</v>
      </c>
      <c r="AF37" s="2">
        <f>COUNTIFS('BA History'!$B:$B,$A$37,'BA History'!AB:AB, 1)</f>
        <v>3</v>
      </c>
      <c r="AG37" s="2">
        <f>COUNTIFS('BA History'!$B:$B,$A$37,'BA History'!AC:AC, 1)</f>
        <v>5</v>
      </c>
      <c r="AH37" s="2">
        <f>COUNTIFS('BA History'!$B:$B,$A$37,'BA History'!AD:AD, 1)</f>
        <v>4</v>
      </c>
      <c r="AI37" s="2">
        <f>COUNTIFS('BA History'!$B:$B,$A$37,'BA History'!AE:AE, 1)</f>
        <v>0</v>
      </c>
      <c r="AJ37" s="2">
        <f>COUNTIFS('BA History'!$B:$B,$A$37,'BA History'!AF:AF, 1)</f>
        <v>1</v>
      </c>
    </row>
    <row r="38" spans="1:36" x14ac:dyDescent="0.25">
      <c r="A38" s="2" t="s">
        <v>38</v>
      </c>
      <c r="B38" s="2" t="s">
        <v>79</v>
      </c>
      <c r="C38" s="34">
        <f>SUMIFS('BA History'!C:C,'BA History'!B:B,A38)</f>
        <v>23</v>
      </c>
      <c r="D38" s="66">
        <f>AVERAGEIFS('BA History'!C:C,'BA History'!B:B,A38)</f>
        <v>4.5999999999999996</v>
      </c>
      <c r="E38" s="35">
        <f t="array" ref="E38">MAX(IF('BA History'!B:B=A38, 'BA History'!C:C))</f>
        <v>11</v>
      </c>
      <c r="F38" s="34">
        <f>COUNTIFS('BA History'!B:B,A38,'BA History'!D:D, 1)</f>
        <v>2</v>
      </c>
      <c r="G38" s="2">
        <f>COUNTIFS('BA History'!B:B,A38,'BA History'!D:D, 0)</f>
        <v>3</v>
      </c>
      <c r="H38" s="75">
        <f t="shared" si="9"/>
        <v>0.4</v>
      </c>
      <c r="I38" s="34">
        <f>SUMIFS('BA History'!F:F,'BA History'!B:B,A38)</f>
        <v>10</v>
      </c>
      <c r="J38" s="2">
        <f>SUMIFS('BA History'!E:E,'BA History'!B:B,A38)-I38</f>
        <v>12</v>
      </c>
      <c r="K38" s="75">
        <f t="shared" si="10"/>
        <v>0.45454545454545453</v>
      </c>
      <c r="L38" s="34">
        <f>SUMIFS('BA History'!H:H,'BA History'!B:B,A38)</f>
        <v>41</v>
      </c>
      <c r="M38" s="2">
        <f>SUMIFS('BA History'!G:G,'BA History'!B:B,A38)-L38</f>
        <v>49</v>
      </c>
      <c r="N38" s="93">
        <f t="shared" si="11"/>
        <v>0.45555555555555555</v>
      </c>
      <c r="O38" s="2">
        <f>COUNTIFS('BA History'!$B:$B,$A$38,'BA History'!K:K, 1)</f>
        <v>1</v>
      </c>
      <c r="P38" s="2">
        <f>COUNTIFS('BA History'!$B:$B,$A$38,'BA History'!L:L, 1)</f>
        <v>1</v>
      </c>
      <c r="Q38" s="2">
        <f>COUNTIFS('BA History'!$B:$B,$A$38,'BA History'!M:M, 1)</f>
        <v>1</v>
      </c>
      <c r="R38" s="2">
        <f>COUNTIFS('BA History'!$B:$B,$A$38,'BA History'!N:N, 1)</f>
        <v>0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2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1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1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142</v>
      </c>
      <c r="B39" s="2" t="s">
        <v>79</v>
      </c>
      <c r="C39" s="34">
        <f>SUMIFS('BA History'!C:C,'BA History'!B:B,A39)</f>
        <v>67</v>
      </c>
      <c r="D39" s="66">
        <f>AVERAGEIFS('BA History'!C:C,'BA History'!B:B,A39)</f>
        <v>13.4</v>
      </c>
      <c r="E39" s="35">
        <f t="array" ref="E39">MAX(IF('BA History'!B:B=A39, 'BA History'!C:C))</f>
        <v>22</v>
      </c>
      <c r="F39" s="34">
        <f>COUNTIFS('BA History'!B:B,A39,'BA History'!D:D, 1)</f>
        <v>3</v>
      </c>
      <c r="G39" s="2">
        <f>COUNTIFS('BA History'!B:B,A39,'BA History'!D:D, 0)</f>
        <v>2</v>
      </c>
      <c r="H39" s="75">
        <f t="shared" si="9"/>
        <v>0.6</v>
      </c>
      <c r="I39" s="34">
        <f>SUMIFS('BA History'!F:F,'BA History'!B:B,A39)</f>
        <v>10</v>
      </c>
      <c r="J39" s="2">
        <f>SUMIFS('BA History'!E:E,'BA History'!B:B,A39)-I39</f>
        <v>9</v>
      </c>
      <c r="K39" s="75">
        <f t="shared" si="10"/>
        <v>0.52631578947368418</v>
      </c>
      <c r="L39" s="34">
        <f>SUMIFS('BA History'!H:H,'BA History'!B:B,A39)</f>
        <v>40</v>
      </c>
      <c r="M39" s="2">
        <f>SUMIFS('BA History'!G:G,'BA History'!B:B,A39)-L39</f>
        <v>37</v>
      </c>
      <c r="N39" s="93">
        <f t="shared" si="11"/>
        <v>0.51948051948051943</v>
      </c>
      <c r="O39" s="2">
        <f>COUNTIFS('BA History'!$B:$B,$A$39,'BA History'!K:K, 1)</f>
        <v>2</v>
      </c>
      <c r="P39" s="2">
        <f>COUNTIFS('BA History'!$B:$B,$A$39,'BA History'!L:L, 1)</f>
        <v>1</v>
      </c>
      <c r="Q39" s="2">
        <f>COUNTIFS('BA History'!$B:$B,$A$39,'BA History'!M:M, 1)</f>
        <v>1</v>
      </c>
      <c r="R39" s="2">
        <f>COUNTIFS('BA History'!$B:$B,$A$39,'BA History'!N:N, 1)</f>
        <v>1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1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0</v>
      </c>
      <c r="Z39" s="2">
        <f>COUNTIFS('BA History'!$B:$B,$A$39,'BA History'!V:V, 1)</f>
        <v>1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0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2</v>
      </c>
      <c r="AG39" s="2">
        <f>COUNTIFS('BA History'!$B:$B,$A$39,'BA History'!AC:AC, 1)</f>
        <v>0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154</v>
      </c>
      <c r="B40" s="2" t="s">
        <v>79</v>
      </c>
      <c r="C40" s="34">
        <f>SUMIFS('BA History'!C:C,'BA History'!B:B,A40)</f>
        <v>43</v>
      </c>
      <c r="D40" s="66">
        <f>AVERAGEIFS('BA History'!C:C,'BA History'!B:B,A40)</f>
        <v>10.75</v>
      </c>
      <c r="E40" s="35">
        <f t="array" ref="E40">MAX(IF('BA History'!B:B=A40, 'BA History'!C:C))</f>
        <v>13</v>
      </c>
      <c r="F40" s="34">
        <f>COUNTIFS('BA History'!B:B,A40,'BA History'!D:D, 1)</f>
        <v>3</v>
      </c>
      <c r="G40" s="2">
        <f>COUNTIFS('BA History'!B:B,A40,'BA History'!D:D, 0)</f>
        <v>1</v>
      </c>
      <c r="H40" s="75">
        <f t="shared" ref="H40" si="12">F40/(F40+G40)</f>
        <v>0.75</v>
      </c>
      <c r="I40" s="34">
        <f>SUMIFS('BA History'!F:F,'BA History'!B:B,A40)</f>
        <v>9</v>
      </c>
      <c r="J40" s="2">
        <f>SUMIFS('BA History'!E:E,'BA History'!B:B,A40)-I40</f>
        <v>8</v>
      </c>
      <c r="K40" s="75">
        <f t="shared" ref="K40" si="13">I40/(I40+J40)</f>
        <v>0.52941176470588236</v>
      </c>
      <c r="L40" s="34">
        <f>SUMIFS('BA History'!H:H,'BA History'!B:B,A40)</f>
        <v>36</v>
      </c>
      <c r="M40" s="2">
        <f>SUMIFS('BA History'!G:G,'BA History'!B:B,A40)-L40</f>
        <v>36</v>
      </c>
      <c r="N40" s="93">
        <f t="shared" ref="N40" si="14">L40/(L40+M40)</f>
        <v>0.5</v>
      </c>
      <c r="O40" s="2">
        <f>COUNTIFS('BA History'!$B:$B,$A$40,'BA History'!K:K, 1)</f>
        <v>0</v>
      </c>
      <c r="P40" s="2">
        <f>COUNTIFS('BA History'!$B:$B,$A$40,'BA History'!L:L, 1)</f>
        <v>1</v>
      </c>
      <c r="Q40" s="2">
        <f>COUNTIFS('BA History'!$B:$B,$A$40,'BA History'!M:M, 1)</f>
        <v>0</v>
      </c>
      <c r="R40" s="2">
        <f>COUNTIFS('BA History'!$B:$B,$A$40,'BA History'!N:N, 1)</f>
        <v>1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0</v>
      </c>
      <c r="W40" s="2">
        <f>COUNTIFS('BA History'!$B:$B,$A$40,'BA History'!S:S, 1)</f>
        <v>1</v>
      </c>
      <c r="X40" s="2">
        <f>COUNTIFS('BA History'!$B:$B,$A$40,'BA History'!T:T, 1)</f>
        <v>0</v>
      </c>
      <c r="Y40" s="2">
        <f>COUNTIFS('BA History'!$B:$B,$A$40,'BA History'!U:U, 1)</f>
        <v>0</v>
      </c>
      <c r="Z40" s="2">
        <f>COUNTIFS('BA History'!$B:$B,$A$40,'BA History'!V:V, 1)</f>
        <v>1</v>
      </c>
      <c r="AA40" s="2">
        <f>COUNTIFS('BA History'!$B:$B,$A$40,'BA History'!W:W, 1)</f>
        <v>1</v>
      </c>
      <c r="AB40" s="2">
        <f>COUNTIFS('BA History'!$B:$B,$A$40,'BA History'!X:X, 1)</f>
        <v>0</v>
      </c>
      <c r="AC40" s="2">
        <f>COUNTIFS('BA History'!$B:$B,$A$40,'BA History'!Y:Y, 1)</f>
        <v>0</v>
      </c>
      <c r="AD40" s="2">
        <f>COUNTIFS('BA History'!$B:$B,$A$40,'BA History'!Z:Z, 1)</f>
        <v>2</v>
      </c>
      <c r="AE40" s="2">
        <f>COUNTIFS('BA History'!$B:$B,$A$40,'BA History'!AA:AA, 1)</f>
        <v>0</v>
      </c>
      <c r="AF40" s="2">
        <f>COUNTIFS('BA History'!$B:$B,$A$40,'BA History'!AB:AB, 1)</f>
        <v>2</v>
      </c>
      <c r="AG40" s="2">
        <f>COUNTIFS('BA History'!$B:$B,$A$40,'BA History'!AC:AC, 1)</f>
        <v>0</v>
      </c>
      <c r="AH40" s="2">
        <f>COUNTIFS('BA History'!$B:$B,$A$40,'BA History'!AD:AD, 1)</f>
        <v>0</v>
      </c>
      <c r="AI40" s="2">
        <f>COUNTIFS('BA History'!$B:$B,$A$40,'BA History'!AE:AE, 1)</f>
        <v>0</v>
      </c>
      <c r="AJ40" s="2">
        <f>COUNTIFS('BA History'!$B:$B,$A$40,'BA History'!AF:AF, 1)</f>
        <v>0</v>
      </c>
    </row>
    <row r="41" spans="1:36" x14ac:dyDescent="0.25">
      <c r="A41" s="2" t="s">
        <v>40</v>
      </c>
      <c r="B41" s="2" t="s">
        <v>79</v>
      </c>
      <c r="C41" s="34">
        <f>SUMIFS('BA History'!C:C,'BA History'!B:B,A41)</f>
        <v>796</v>
      </c>
      <c r="D41" s="66">
        <f>AVERAGEIFS('BA History'!C:C,'BA History'!B:B,A41)</f>
        <v>18.09090909090909</v>
      </c>
      <c r="E41" s="35">
        <f t="array" ref="E41">MAX(IF('BA History'!B:B=A41, 'BA History'!C:C))</f>
        <v>35</v>
      </c>
      <c r="F41" s="34">
        <f>COUNTIFS('BA History'!B:B,A41,'BA History'!D:D, 1)</f>
        <v>18</v>
      </c>
      <c r="G41" s="2">
        <f>COUNTIFS('BA History'!B:B,A41,'BA History'!D:D, 0)</f>
        <v>26</v>
      </c>
      <c r="H41" s="75">
        <f t="shared" si="9"/>
        <v>0.40909090909090912</v>
      </c>
      <c r="I41" s="34">
        <f>SUMIFS('BA History'!F:F,'BA History'!B:B,A41)</f>
        <v>86</v>
      </c>
      <c r="J41" s="2">
        <f>SUMIFS('BA History'!E:E,'BA History'!B:B,A41)-I41</f>
        <v>95</v>
      </c>
      <c r="K41" s="75">
        <f t="shared" si="10"/>
        <v>0.47513812154696133</v>
      </c>
      <c r="L41" s="34">
        <f>SUMIFS('BA History'!H:H,'BA History'!B:B,A41)</f>
        <v>357</v>
      </c>
      <c r="M41" s="2">
        <f>SUMIFS('BA History'!G:G,'BA History'!B:B,A41)-L41</f>
        <v>383</v>
      </c>
      <c r="N41" s="93">
        <f t="shared" si="11"/>
        <v>0.48243243243243245</v>
      </c>
      <c r="O41" s="2">
        <f>COUNTIFS('BA History'!$B:$B,$A$41,'BA History'!K:K, 1)</f>
        <v>4</v>
      </c>
      <c r="P41" s="2">
        <f>COUNTIFS('BA History'!$B:$B,$A$41,'BA History'!L:L, 1)</f>
        <v>6</v>
      </c>
      <c r="Q41" s="2">
        <f>COUNTIFS('BA History'!$B:$B,$A$41,'BA History'!M:M, 1)</f>
        <v>10</v>
      </c>
      <c r="R41" s="2">
        <f>COUNTIFS('BA History'!$B:$B,$A$41,'BA History'!N:N, 1)</f>
        <v>10</v>
      </c>
      <c r="S41" s="2">
        <f>COUNTIFS('BA History'!$B:$B,$A$41,'BA History'!O:O, 1)</f>
        <v>3</v>
      </c>
      <c r="T41" s="2">
        <f>COUNTIFS('BA History'!$B:$B,$A$41,'BA History'!P:P, 1)</f>
        <v>1</v>
      </c>
      <c r="U41" s="2">
        <f>COUNTIFS('BA History'!$B:$B,$A$41,'BA History'!Q:Q, 1)</f>
        <v>3</v>
      </c>
      <c r="V41" s="2">
        <f>COUNTIFS('BA History'!$B:$B,$A$41,'BA History'!R:R, 1)</f>
        <v>3</v>
      </c>
      <c r="W41" s="2">
        <f>COUNTIFS('BA History'!$B:$B,$A$41,'BA History'!S:S, 1)</f>
        <v>1</v>
      </c>
      <c r="X41" s="2">
        <f>COUNTIFS('BA History'!$B:$B,$A$41,'BA History'!T:T, 1)</f>
        <v>0</v>
      </c>
      <c r="Y41" s="2">
        <f>COUNTIFS('BA History'!$B:$B,$A$41,'BA History'!U:U, 1)</f>
        <v>3</v>
      </c>
      <c r="Z41" s="2">
        <f>COUNTIFS('BA History'!$B:$B,$A$41,'BA History'!V:V, 1)</f>
        <v>4</v>
      </c>
      <c r="AA41" s="2">
        <f>COUNTIFS('BA History'!$B:$B,$A$41,'BA History'!W:W, 1)</f>
        <v>2</v>
      </c>
      <c r="AB41" s="2">
        <f>COUNTIFS('BA History'!$B:$B,$A$41,'BA History'!X:X, 1)</f>
        <v>1</v>
      </c>
      <c r="AC41" s="2">
        <f>COUNTIFS('BA History'!$B:$B,$A$41,'BA History'!Y:Y, 1)</f>
        <v>5</v>
      </c>
      <c r="AD41" s="2">
        <f>COUNTIFS('BA History'!$B:$B,$A$41,'BA History'!Z:Z, 1)</f>
        <v>5</v>
      </c>
      <c r="AE41" s="2">
        <f>COUNTIFS('BA History'!$B:$B,$A$41,'BA History'!AA:AA, 1)</f>
        <v>1</v>
      </c>
      <c r="AF41" s="2">
        <f>COUNTIFS('BA History'!$B:$B,$A$41,'BA History'!AB:AB, 1)</f>
        <v>3</v>
      </c>
      <c r="AG41" s="2">
        <f>COUNTIFS('BA History'!$B:$B,$A$41,'BA History'!AC:AC, 1)</f>
        <v>4</v>
      </c>
      <c r="AH41" s="2">
        <f>COUNTIFS('BA History'!$B:$B,$A$41,'BA History'!AD:AD, 1)</f>
        <v>12</v>
      </c>
      <c r="AI41" s="2">
        <f>COUNTIFS('BA History'!$B:$B,$A$41,'BA History'!AE:AE, 1)</f>
        <v>0</v>
      </c>
      <c r="AJ41" s="2">
        <f>COUNTIFS('BA History'!$B:$B,$A$41,'BA History'!AF:AF, 1)</f>
        <v>5</v>
      </c>
    </row>
    <row r="42" spans="1:36" x14ac:dyDescent="0.25">
      <c r="A42" s="2" t="s">
        <v>148</v>
      </c>
      <c r="B42" s="2" t="s">
        <v>79</v>
      </c>
      <c r="C42" s="34">
        <f>SUMIFS('BA History'!C:C,'BA History'!B:B,A42)</f>
        <v>161</v>
      </c>
      <c r="D42" s="66">
        <f>AVERAGEIFS('BA History'!C:C,'BA History'!B:B,A42)</f>
        <v>10.0625</v>
      </c>
      <c r="E42" s="35">
        <f t="array" ref="E42">MAX(IF('BA History'!B:B=A42, 'BA History'!C:C))</f>
        <v>21</v>
      </c>
      <c r="F42" s="34">
        <f>COUNTIFS('BA History'!B:B,A42,'BA History'!D:D, 1)</f>
        <v>9</v>
      </c>
      <c r="G42" s="2">
        <f>COUNTIFS('BA History'!B:B,A42,'BA History'!D:D, 0)</f>
        <v>7</v>
      </c>
      <c r="H42" s="75">
        <f t="shared" si="9"/>
        <v>0.5625</v>
      </c>
      <c r="I42" s="34">
        <f>SUMIFS('BA History'!F:F,'BA History'!B:B,A42)</f>
        <v>34</v>
      </c>
      <c r="J42" s="2">
        <f>SUMIFS('BA History'!E:E,'BA History'!B:B,A42)-I42</f>
        <v>28</v>
      </c>
      <c r="K42" s="75">
        <f t="shared" si="10"/>
        <v>0.54838709677419351</v>
      </c>
      <c r="L42" s="34">
        <f>SUMIFS('BA History'!H:H,'BA History'!B:B,A42)</f>
        <v>128</v>
      </c>
      <c r="M42" s="2">
        <f>SUMIFS('BA History'!G:G,'BA History'!B:B,A42)-L42</f>
        <v>121</v>
      </c>
      <c r="N42" s="93">
        <f t="shared" si="11"/>
        <v>0.51405622489959835</v>
      </c>
      <c r="O42" s="2">
        <f>COUNTIFS('BA History'!$B:$B,$A$42,'BA History'!K:K, 1)</f>
        <v>3</v>
      </c>
      <c r="P42" s="2">
        <f>COUNTIFS('BA History'!$B:$B,$A$42,'BA History'!L:L, 1)</f>
        <v>2</v>
      </c>
      <c r="Q42" s="2">
        <f>COUNTIFS('BA History'!$B:$B,$A$42,'BA History'!M:M, 1)</f>
        <v>3</v>
      </c>
      <c r="R42" s="2">
        <f>COUNTIFS('BA History'!$B:$B,$A$42,'BA History'!N:N, 1)</f>
        <v>3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1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1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5</v>
      </c>
      <c r="AD42" s="2">
        <f>COUNTIFS('BA History'!$B:$B,$A$42,'BA History'!Z:Z, 1)</f>
        <v>5</v>
      </c>
      <c r="AE42" s="2">
        <f>COUNTIFS('BA History'!$B:$B,$A$42,'BA History'!AA:AA, 1)</f>
        <v>0</v>
      </c>
      <c r="AF42" s="2">
        <f>COUNTIFS('BA History'!$B:$B,$A$42,'BA History'!AB:AB, 1)</f>
        <v>6</v>
      </c>
      <c r="AG42" s="2">
        <f>COUNTIFS('BA History'!$B:$B,$A$42,'BA History'!AC:AC, 1)</f>
        <v>0</v>
      </c>
      <c r="AH42" s="2">
        <f>COUNTIFS('BA History'!$B:$B,$A$42,'BA History'!AD:AD, 1)</f>
        <v>2</v>
      </c>
      <c r="AI42" s="2">
        <f>COUNTIFS('BA History'!$B:$B,$A$42,'BA History'!AE:AE, 1)</f>
        <v>0</v>
      </c>
      <c r="AJ42" s="2">
        <f>COUNTIFS('BA History'!$B:$B,$A$42,'BA History'!AF:AF, 1)</f>
        <v>3</v>
      </c>
    </row>
    <row r="43" spans="1:36" x14ac:dyDescent="0.25">
      <c r="A43" s="2" t="s">
        <v>17</v>
      </c>
      <c r="B43" s="2" t="s">
        <v>79</v>
      </c>
      <c r="C43" s="34">
        <f>SUMIFS('BA History'!C:C,'BA History'!B:B,A43)</f>
        <v>507</v>
      </c>
      <c r="D43" s="66">
        <f>AVERAGEIFS('BA History'!C:C,'BA History'!B:B,A43)</f>
        <v>20.28</v>
      </c>
      <c r="E43" s="35">
        <f t="array" ref="E43">MAX(IF('BA History'!B:B=A43, 'BA History'!C:C))</f>
        <v>32</v>
      </c>
      <c r="F43" s="34">
        <f>COUNTIFS('BA History'!B:B,A43,'BA History'!D:D, 1)</f>
        <v>11</v>
      </c>
      <c r="G43" s="2">
        <f>COUNTIFS('BA History'!B:B,A43,'BA History'!D:D, 0)</f>
        <v>14</v>
      </c>
      <c r="H43" s="75">
        <f t="shared" si="9"/>
        <v>0.44</v>
      </c>
      <c r="I43" s="34">
        <f>SUMIFS('BA History'!F:F,'BA History'!B:B,A43)</f>
        <v>48</v>
      </c>
      <c r="J43" s="2">
        <f>SUMIFS('BA History'!E:E,'BA History'!B:B,A43)-I43</f>
        <v>52</v>
      </c>
      <c r="K43" s="75">
        <f t="shared" si="10"/>
        <v>0.48</v>
      </c>
      <c r="L43" s="34">
        <f>SUMIFS('BA History'!H:H,'BA History'!B:B,A43)</f>
        <v>200</v>
      </c>
      <c r="M43" s="2">
        <f>SUMIFS('BA History'!G:G,'BA History'!B:B,A43)-L43</f>
        <v>213</v>
      </c>
      <c r="N43" s="93">
        <f t="shared" si="11"/>
        <v>0.48426150121065376</v>
      </c>
      <c r="O43" s="2">
        <f>COUNTIFS('BA History'!$B:$B,$A$43,'BA History'!K:K, 1)</f>
        <v>4</v>
      </c>
      <c r="P43" s="2">
        <f>COUNTIFS('BA History'!$B:$B,$A$43,'BA History'!L:L, 1)</f>
        <v>1</v>
      </c>
      <c r="Q43" s="2">
        <f>COUNTIFS('BA History'!$B:$B,$A$43,'BA History'!M:M, 1)</f>
        <v>3</v>
      </c>
      <c r="R43" s="2">
        <f>COUNTIFS('BA History'!$B:$B,$A$43,'BA History'!N:N, 1)</f>
        <v>6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1</v>
      </c>
      <c r="V43" s="2">
        <f>COUNTIFS('BA History'!$B:$B,$A$43,'BA History'!R:R, 1)</f>
        <v>1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2</v>
      </c>
      <c r="Z43" s="2">
        <f>COUNTIFS('BA History'!$B:$B,$A$43,'BA History'!V:V, 1)</f>
        <v>2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2</v>
      </c>
      <c r="AD43" s="2">
        <f>COUNTIFS('BA History'!$B:$B,$A$43,'BA History'!Z:Z, 1)</f>
        <v>5</v>
      </c>
      <c r="AE43" s="2">
        <f>COUNTIFS('BA History'!$B:$B,$A$43,'BA History'!AA:AA, 1)</f>
        <v>1</v>
      </c>
      <c r="AF43" s="2">
        <f>COUNTIFS('BA History'!$B:$B,$A$43,'BA History'!AB:AB, 1)</f>
        <v>6</v>
      </c>
      <c r="AG43" s="2">
        <f>COUNTIFS('BA History'!$B:$B,$A$43,'BA History'!AC:AC, 1)</f>
        <v>5</v>
      </c>
      <c r="AH43" s="2">
        <f>COUNTIFS('BA History'!$B:$B,$A$43,'BA History'!AD:AD, 1)</f>
        <v>6</v>
      </c>
      <c r="AI43" s="2">
        <f>COUNTIFS('BA History'!$B:$B,$A$43,'BA History'!AE:AE, 1)</f>
        <v>1</v>
      </c>
      <c r="AJ43" s="2">
        <f>COUNTIFS('BA History'!$B:$B,$A$43,'BA History'!AF:AF, 1)</f>
        <v>2</v>
      </c>
    </row>
    <row r="44" spans="1:36" ht="14.25" customHeight="1" x14ac:dyDescent="0.25">
      <c r="A44" s="1" t="s">
        <v>105</v>
      </c>
      <c r="B44" s="2" t="s">
        <v>79</v>
      </c>
      <c r="C44" s="34">
        <f>SUMIFS('BA History'!C:C,'BA History'!B:B,A44)</f>
        <v>12</v>
      </c>
      <c r="D44" s="66">
        <f>AVERAGEIFS('BA History'!C:C,'BA History'!B:B,A44)</f>
        <v>12</v>
      </c>
      <c r="E44" s="35">
        <f t="array" ref="E44">MAX(IF('BA History'!B:B=A44, 'BA History'!C:C))</f>
        <v>12</v>
      </c>
      <c r="F44" s="34">
        <f>COUNTIFS('BA History'!B:B,A44,'BA History'!D:D, 1)</f>
        <v>1</v>
      </c>
      <c r="G44" s="2">
        <f>COUNTIFS('BA History'!B:B,A44,'BA History'!D:D, 0)</f>
        <v>0</v>
      </c>
      <c r="H44" s="75">
        <f t="shared" si="9"/>
        <v>1</v>
      </c>
      <c r="I44" s="34">
        <f>SUMIFS('BA History'!F:F,'BA History'!B:B,A44)</f>
        <v>3</v>
      </c>
      <c r="J44" s="2">
        <f>SUMIFS('BA History'!E:E,'BA History'!B:B,A44)-I44</f>
        <v>2</v>
      </c>
      <c r="K44" s="75">
        <f t="shared" si="10"/>
        <v>0.6</v>
      </c>
      <c r="L44" s="34">
        <f>SUMIFS('BA History'!H:H,'BA History'!B:B,A44)</f>
        <v>9</v>
      </c>
      <c r="M44" s="2">
        <f>SUMIFS('BA History'!G:G,'BA History'!B:B,A44)-L44</f>
        <v>10</v>
      </c>
      <c r="N44" s="93">
        <f t="shared" si="11"/>
        <v>0.47368421052631576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1</v>
      </c>
      <c r="Z44" s="2">
        <f>COUNTIFS('BA History'!$B:$B,$A$44,'BA History'!V:V, 1)</f>
        <v>0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1</v>
      </c>
      <c r="AG44" s="2">
        <f>COUNTIFS('BA History'!$B:$B,$A$44,'BA History'!AC:AC, 1)</f>
        <v>1</v>
      </c>
      <c r="AH44" s="2">
        <f>COUNTIFS('BA History'!$B:$B,$A$44,'BA History'!AD:AD, 1)</f>
        <v>0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ht="14.25" customHeight="1" x14ac:dyDescent="0.25">
      <c r="A45" s="1" t="s">
        <v>144</v>
      </c>
      <c r="B45" s="2" t="s">
        <v>79</v>
      </c>
      <c r="C45" s="34">
        <f>SUMIFS('BA History'!C:C,'BA History'!B:B,A45)</f>
        <v>4</v>
      </c>
      <c r="D45" s="66">
        <f>AVERAGEIFS('BA History'!C:C,'BA History'!B:B,A45)</f>
        <v>4</v>
      </c>
      <c r="E45" s="35">
        <f t="array" ref="E45">MAX(IF('BA History'!B:B=A45, 'BA History'!C:C))</f>
        <v>4</v>
      </c>
      <c r="F45" s="34">
        <f>COUNTIFS('BA History'!B:B,A45,'BA History'!D:D, 1)</f>
        <v>0</v>
      </c>
      <c r="G45" s="2">
        <f>COUNTIFS('BA History'!B:B,A45,'BA History'!D:D, 0)</f>
        <v>1</v>
      </c>
      <c r="H45" s="75">
        <f t="shared" si="9"/>
        <v>0</v>
      </c>
      <c r="I45" s="34">
        <f>SUMIFS('BA History'!F:F,'BA History'!B:B,A45)</f>
        <v>1</v>
      </c>
      <c r="J45" s="2">
        <f>SUMIFS('BA History'!E:E,'BA History'!B:B,A45)-I45</f>
        <v>3</v>
      </c>
      <c r="K45" s="75">
        <f t="shared" si="10"/>
        <v>0.25</v>
      </c>
      <c r="L45" s="34">
        <f>SUMIFS('BA History'!H:H,'BA History'!B:B,A45)</f>
        <v>7</v>
      </c>
      <c r="M45" s="2">
        <f>SUMIFS('BA History'!G:G,'BA History'!B:B,A45)-L45</f>
        <v>9</v>
      </c>
      <c r="N45" s="93">
        <f t="shared" si="11"/>
        <v>0.4375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0</v>
      </c>
      <c r="Z45" s="2">
        <f>COUNTIFS('BA History'!$B:$B,$A$45,'BA History'!V:V, 1)</f>
        <v>0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1</v>
      </c>
      <c r="AD45" s="2">
        <f>COUNTIFS('BA History'!$B:$B,$A$45,'BA History'!Z:Z, 1)</f>
        <v>0</v>
      </c>
      <c r="AE45" s="2">
        <f>COUNTIFS('BA History'!$B:$B,$A$45,'BA History'!AA:AA, 1)</f>
        <v>0</v>
      </c>
      <c r="AF45" s="2">
        <f>COUNTIFS('BA History'!$B:$B,$A$45,'BA History'!AB:AB, 1)</f>
        <v>0</v>
      </c>
      <c r="AG45" s="2">
        <f>COUNTIFS('BA History'!$B:$B,$A$45,'BA History'!AC:AC, 1)</f>
        <v>0</v>
      </c>
      <c r="AH45" s="2">
        <f>COUNTIFS('BA History'!$B:$B,$A$45,'BA History'!AD:AD, 1)</f>
        <v>0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x14ac:dyDescent="0.25">
      <c r="A46" s="1" t="s">
        <v>118</v>
      </c>
      <c r="B46" s="2" t="s">
        <v>79</v>
      </c>
      <c r="C46" s="34">
        <f>SUMIFS('BA History'!C:C,'BA History'!B:B,A46)</f>
        <v>30</v>
      </c>
      <c r="D46" s="66">
        <f>AVERAGEIFS('BA History'!C:C,'BA History'!B:B,A46)</f>
        <v>15</v>
      </c>
      <c r="E46" s="35">
        <f t="array" ref="E46">MAX(IF('BA History'!B:B=A46, 'BA History'!C:C))</f>
        <v>20</v>
      </c>
      <c r="F46" s="34">
        <f>COUNTIFS('BA History'!B:B,A46,'BA History'!D:D, 1)</f>
        <v>1</v>
      </c>
      <c r="G46" s="2">
        <f>COUNTIFS('BA History'!B:B,A46,'BA History'!D:D, 0)</f>
        <v>1</v>
      </c>
      <c r="H46" s="75">
        <f t="shared" si="9"/>
        <v>0.5</v>
      </c>
      <c r="I46" s="34">
        <f>SUMIFS('BA History'!F:F,'BA History'!B:B,A46)</f>
        <v>4</v>
      </c>
      <c r="J46" s="2">
        <f>SUMIFS('BA History'!E:E,'BA History'!B:B,A46)-I46</f>
        <v>4</v>
      </c>
      <c r="K46" s="75">
        <f t="shared" si="10"/>
        <v>0.5</v>
      </c>
      <c r="L46" s="34">
        <f>SUMIFS('BA History'!H:H,'BA History'!B:B,A46)</f>
        <v>15</v>
      </c>
      <c r="M46" s="2">
        <f>SUMIFS('BA History'!G:G,'BA History'!B:B,A46)-L46</f>
        <v>15</v>
      </c>
      <c r="N46" s="93">
        <f t="shared" si="11"/>
        <v>0.5</v>
      </c>
      <c r="O46" s="2">
        <f>COUNTIFS('BA History'!$B:$B,$A$46,'BA History'!K:K, 1)</f>
        <v>0</v>
      </c>
      <c r="P46" s="2">
        <f>COUNTIFS('BA History'!$B:$B,$A$46,'BA History'!L:L, 1)</f>
        <v>0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1</v>
      </c>
      <c r="AA46" s="2">
        <f>COUNTIFS('BA History'!$B:$B,$A$46,'BA History'!W:W, 1)</f>
        <v>0</v>
      </c>
      <c r="AB46" s="2">
        <f>COUNTIFS('BA History'!$B:$B,$A$46,'BA History'!X:X, 1)</f>
        <v>0</v>
      </c>
      <c r="AC46" s="2">
        <f>COUNTIFS('BA History'!$B:$B,$A$46,'BA History'!Y:Y, 1)</f>
        <v>0</v>
      </c>
      <c r="AD46" s="2">
        <f>COUNTIFS('BA History'!$B:$B,$A$46,'BA History'!Z:Z, 1)</f>
        <v>1</v>
      </c>
      <c r="AE46" s="2">
        <f>COUNTIFS('BA History'!$B:$B,$A$46,'BA History'!AA:AA, 1)</f>
        <v>0</v>
      </c>
      <c r="AF46" s="2">
        <f>COUNTIFS('BA History'!$B:$B,$A$46,'BA History'!AB:AB, 1)</f>
        <v>0</v>
      </c>
      <c r="AG46" s="2">
        <f>COUNTIFS('BA History'!$B:$B,$A$46,'BA History'!AC:AC, 1)</f>
        <v>1</v>
      </c>
      <c r="AH46" s="2">
        <f>COUNTIFS('BA History'!$B:$B,$A$46,'BA History'!AD:AD, 1)</f>
        <v>1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ht="15.75" x14ac:dyDescent="0.25">
      <c r="A47" s="2" t="s">
        <v>6</v>
      </c>
      <c r="B47" s="80" t="s">
        <v>60</v>
      </c>
      <c r="C47" s="34">
        <f>SUMIFS('BA History'!C:C,'BA History'!B:B,A47)</f>
        <v>995</v>
      </c>
      <c r="D47" s="66">
        <f>AVERAGEIFS('BA History'!C:C,'BA History'!B:B,A47)</f>
        <v>22.111111111111111</v>
      </c>
      <c r="E47" s="35">
        <f t="array" ref="E47">MAX(IF('BA History'!B:B=A47, 'BA History'!C:C))</f>
        <v>37</v>
      </c>
      <c r="F47" s="34">
        <f>COUNTIFS('BA History'!B:B,A47,'BA History'!D:D, 1)</f>
        <v>29</v>
      </c>
      <c r="G47" s="2">
        <f>COUNTIFS('BA History'!B:B,A47,'BA History'!D:D, 0)</f>
        <v>16</v>
      </c>
      <c r="H47" s="75">
        <f t="shared" si="9"/>
        <v>0.64444444444444449</v>
      </c>
      <c r="I47" s="34">
        <f>SUMIFS('BA History'!F:F,'BA History'!B:B,A47)</f>
        <v>101</v>
      </c>
      <c r="J47" s="2">
        <f>SUMIFS('BA History'!E:E,'BA History'!B:B,A47)-I47</f>
        <v>80</v>
      </c>
      <c r="K47" s="75">
        <f t="shared" si="10"/>
        <v>0.55801104972375692</v>
      </c>
      <c r="L47" s="34">
        <f>SUMIFS('BA History'!H:H,'BA History'!B:B,A47)</f>
        <v>401</v>
      </c>
      <c r="M47" s="2">
        <f>SUMIFS('BA History'!G:G,'BA History'!B:B,A47)-L47</f>
        <v>350</v>
      </c>
      <c r="N47" s="93">
        <f t="shared" si="11"/>
        <v>0.53395472703062585</v>
      </c>
      <c r="O47" s="2">
        <f>COUNTIFS('BA History'!$B:$B,$A$47,'BA History'!K:K, 1)</f>
        <v>5</v>
      </c>
      <c r="P47" s="2">
        <f>COUNTIFS('BA History'!$B:$B,$A$47,'BA History'!L:L, 1)</f>
        <v>4</v>
      </c>
      <c r="Q47" s="2">
        <f>COUNTIFS('BA History'!$B:$B,$A$47,'BA History'!M:M, 1)</f>
        <v>8</v>
      </c>
      <c r="R47" s="2">
        <f>COUNTIFS('BA History'!$B:$B,$A$47,'BA History'!N:N, 1)</f>
        <v>8</v>
      </c>
      <c r="S47" s="2">
        <f>COUNTIFS('BA History'!$B:$B,$A$47,'BA History'!O:O, 1)</f>
        <v>2</v>
      </c>
      <c r="T47" s="2">
        <f>COUNTIFS('BA History'!$B:$B,$A$47,'BA History'!P:P, 1)</f>
        <v>0</v>
      </c>
      <c r="U47" s="2">
        <f>COUNTIFS('BA History'!$B:$B,$A$47,'BA History'!Q:Q, 1)</f>
        <v>4</v>
      </c>
      <c r="V47" s="2">
        <f>COUNTIFS('BA History'!$B:$B,$A$47,'BA History'!R:R, 1)</f>
        <v>3</v>
      </c>
      <c r="W47" s="2">
        <f>COUNTIFS('BA History'!$B:$B,$A$47,'BA History'!S:S, 1)</f>
        <v>1</v>
      </c>
      <c r="X47" s="2">
        <f>COUNTIFS('BA History'!$B:$B,$A$47,'BA History'!T:T, 1)</f>
        <v>0</v>
      </c>
      <c r="Y47" s="2">
        <f>COUNTIFS('BA History'!$B:$B,$A$47,'BA History'!U:U, 1)</f>
        <v>2</v>
      </c>
      <c r="Z47" s="2">
        <f>COUNTIFS('BA History'!$B:$B,$A$47,'BA History'!V:V, 1)</f>
        <v>9</v>
      </c>
      <c r="AA47" s="2">
        <f>COUNTIFS('BA History'!$B:$B,$A$47,'BA History'!W:W, 1)</f>
        <v>4</v>
      </c>
      <c r="AB47" s="2">
        <f>COUNTIFS('BA History'!$B:$B,$A$47,'BA History'!X:X, 1)</f>
        <v>2</v>
      </c>
      <c r="AC47" s="2">
        <f>COUNTIFS('BA History'!$B:$B,$A$47,'BA History'!Y:Y, 1)</f>
        <v>5</v>
      </c>
      <c r="AD47" s="2">
        <f>COUNTIFS('BA History'!$B:$B,$A$47,'BA History'!Z:Z, 1)</f>
        <v>14</v>
      </c>
      <c r="AE47" s="2">
        <f>COUNTIFS('BA History'!$B:$B,$A$47,'BA History'!AA:AA, 1)</f>
        <v>1</v>
      </c>
      <c r="AF47" s="2">
        <f>COUNTIFS('BA History'!$B:$B,$A$47,'BA History'!AB:AB, 1)</f>
        <v>10</v>
      </c>
      <c r="AG47" s="2">
        <f>COUNTIFS('BA History'!$B:$B,$A$47,'BA History'!AC:AC, 1)</f>
        <v>4</v>
      </c>
      <c r="AH47" s="2">
        <f>COUNTIFS('BA History'!$B:$B,$A$47,'BA History'!AD:AD, 1)</f>
        <v>8</v>
      </c>
      <c r="AI47" s="2">
        <f>COUNTIFS('BA History'!$B:$B,$A$47,'BA History'!AE:AE, 1)</f>
        <v>1</v>
      </c>
      <c r="AJ47" s="2">
        <f>COUNTIFS('BA History'!$B:$B,$A$47,'BA History'!AF:AF, 1)</f>
        <v>6</v>
      </c>
    </row>
    <row r="48" spans="1:36" x14ac:dyDescent="0.25">
      <c r="A48" s="2" t="s">
        <v>18</v>
      </c>
      <c r="B48" s="2" t="s">
        <v>79</v>
      </c>
      <c r="C48" s="34">
        <f>SUMIFS('BA History'!C:C,'BA History'!B:B,A48)</f>
        <v>129</v>
      </c>
      <c r="D48" s="66">
        <f>AVERAGEIFS('BA History'!C:C,'BA History'!B:B,A48)</f>
        <v>18.428571428571427</v>
      </c>
      <c r="E48" s="35">
        <f t="array" ref="E48">MAX(IF('BA History'!B:B=A48, 'BA History'!C:C))</f>
        <v>26</v>
      </c>
      <c r="F48" s="34">
        <f>COUNTIFS('BA History'!B:B,A48,'BA History'!D:D, 1)</f>
        <v>6</v>
      </c>
      <c r="G48" s="2">
        <f>COUNTIFS('BA History'!B:B,A48,'BA History'!D:D, 0)</f>
        <v>1</v>
      </c>
      <c r="H48" s="75">
        <f t="shared" si="9"/>
        <v>0.8571428571428571</v>
      </c>
      <c r="I48" s="34">
        <f>SUMIFS('BA History'!F:F,'BA History'!B:B,A48)</f>
        <v>19</v>
      </c>
      <c r="J48" s="2">
        <f>SUMIFS('BA History'!E:E,'BA History'!B:B,A48)-I48</f>
        <v>7</v>
      </c>
      <c r="K48" s="75">
        <f t="shared" si="10"/>
        <v>0.73076923076923073</v>
      </c>
      <c r="L48" s="34">
        <f>SUMIFS('BA History'!H:H,'BA History'!B:B,A48)</f>
        <v>66</v>
      </c>
      <c r="M48" s="2">
        <f>SUMIFS('BA History'!G:G,'BA History'!B:B,A48)-L48</f>
        <v>44</v>
      </c>
      <c r="N48" s="93">
        <f t="shared" si="11"/>
        <v>0.6</v>
      </c>
      <c r="O48" s="2">
        <f>COUNTIFS('BA History'!$B:$B,$A$48,'BA History'!K:K, 1)</f>
        <v>0</v>
      </c>
      <c r="P48" s="2">
        <f>COUNTIFS('BA History'!$B:$B,$A$48,'BA History'!L:L, 1)</f>
        <v>3</v>
      </c>
      <c r="Q48" s="2">
        <f>COUNTIFS('BA History'!$B:$B,$A$48,'BA History'!M:M, 1)</f>
        <v>1</v>
      </c>
      <c r="R48" s="2">
        <f>COUNTIFS('BA History'!$B:$B,$A$48,'BA History'!N:N, 1)</f>
        <v>3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1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0</v>
      </c>
      <c r="Z48" s="2">
        <f>COUNTIFS('BA History'!$B:$B,$A$48,'BA History'!V:V, 1)</f>
        <v>1</v>
      </c>
      <c r="AA48" s="2">
        <f>COUNTIFS('BA History'!$B:$B,$A$48,'BA History'!W:W, 1)</f>
        <v>1</v>
      </c>
      <c r="AB48" s="2">
        <f>COUNTIFS('BA History'!$B:$B,$A$48,'BA History'!X:X, 1)</f>
        <v>1</v>
      </c>
      <c r="AC48" s="2">
        <f>COUNTIFS('BA History'!$B:$B,$A$48,'BA History'!Y:Y, 1)</f>
        <v>1</v>
      </c>
      <c r="AD48" s="2">
        <f>COUNTIFS('BA History'!$B:$B,$A$48,'BA History'!Z:Z, 1)</f>
        <v>2</v>
      </c>
      <c r="AE48" s="2">
        <f>COUNTIFS('BA History'!$B:$B,$A$48,'BA History'!AA:AA, 1)</f>
        <v>1</v>
      </c>
      <c r="AF48" s="2">
        <f>COUNTIFS('BA History'!$B:$B,$A$48,'BA History'!AB:AB, 1)</f>
        <v>1</v>
      </c>
      <c r="AG48" s="2">
        <f>COUNTIFS('BA History'!$B:$B,$A$48,'BA History'!AC:AC, 1)</f>
        <v>0</v>
      </c>
      <c r="AH48" s="2">
        <f>COUNTIFS('BA History'!$B:$B,$A$48,'BA History'!AD:AD, 1)</f>
        <v>2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113</v>
      </c>
      <c r="B49" s="2" t="s">
        <v>79</v>
      </c>
      <c r="C49" s="34">
        <f>SUMIFS('BA History'!C:C,'BA History'!B:B,A49)</f>
        <v>338</v>
      </c>
      <c r="D49" s="66">
        <f>AVERAGEIFS('BA History'!C:C,'BA History'!B:B,A49)</f>
        <v>16.095238095238095</v>
      </c>
      <c r="E49" s="35">
        <f t="array" ref="E49">MAX(IF('BA History'!B:B=A49, 'BA History'!C:C))</f>
        <v>28</v>
      </c>
      <c r="F49" s="34">
        <f>COUNTIFS('BA History'!B:B,A49,'BA History'!D:D, 1)</f>
        <v>10</v>
      </c>
      <c r="G49" s="2">
        <f>COUNTIFS('BA History'!B:B,A49,'BA History'!D:D, 0)</f>
        <v>11</v>
      </c>
      <c r="H49" s="75">
        <f t="shared" si="9"/>
        <v>0.47619047619047616</v>
      </c>
      <c r="I49" s="34">
        <f>SUMIFS('BA History'!F:F,'BA History'!B:B,A49)</f>
        <v>42</v>
      </c>
      <c r="J49" s="2">
        <f>SUMIFS('BA History'!E:E,'BA History'!B:B,A49)-I49</f>
        <v>40</v>
      </c>
      <c r="K49" s="75">
        <f t="shared" si="10"/>
        <v>0.51219512195121952</v>
      </c>
      <c r="L49" s="34">
        <f>SUMIFS('BA History'!H:H,'BA History'!B:B,A49)</f>
        <v>163</v>
      </c>
      <c r="M49" s="2">
        <f>SUMIFS('BA History'!G:G,'BA History'!B:B,A49)-L49</f>
        <v>162</v>
      </c>
      <c r="N49" s="93">
        <f t="shared" si="11"/>
        <v>0.50153846153846149</v>
      </c>
      <c r="O49" s="2">
        <f>COUNTIFS('BA History'!$B:$B,$A$49,'BA History'!K:K, 1)</f>
        <v>2</v>
      </c>
      <c r="P49" s="2">
        <f>COUNTIFS('BA History'!$B:$B,$A$49,'BA History'!L:L, 1)</f>
        <v>1</v>
      </c>
      <c r="Q49" s="2">
        <f>COUNTIFS('BA History'!$B:$B,$A$49,'BA History'!M:M, 1)</f>
        <v>9</v>
      </c>
      <c r="R49" s="2">
        <f>COUNTIFS('BA History'!$B:$B,$A$49,'BA History'!N:N, 1)</f>
        <v>4</v>
      </c>
      <c r="S49" s="2">
        <f>COUNTIFS('BA History'!$B:$B,$A$49,'BA History'!O:O, 1)</f>
        <v>1</v>
      </c>
      <c r="T49" s="2">
        <f>COUNTIFS('BA History'!$B:$B,$A$49,'BA History'!P:P, 1)</f>
        <v>0</v>
      </c>
      <c r="U49" s="2">
        <f>COUNTIFS('BA History'!$B:$B,$A$49,'BA History'!Q:Q, 1)</f>
        <v>2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1</v>
      </c>
      <c r="Z49" s="2">
        <f>COUNTIFS('BA History'!$B:$B,$A$49,'BA History'!V:V, 1)</f>
        <v>2</v>
      </c>
      <c r="AA49" s="2">
        <f>COUNTIFS('BA History'!$B:$B,$A$49,'BA History'!W:W, 1)</f>
        <v>0</v>
      </c>
      <c r="AB49" s="2">
        <f>COUNTIFS('BA History'!$B:$B,$A$49,'BA History'!X:X, 1)</f>
        <v>0</v>
      </c>
      <c r="AC49" s="2">
        <f>COUNTIFS('BA History'!$B:$B,$A$49,'BA History'!Y:Y, 1)</f>
        <v>6</v>
      </c>
      <c r="AD49" s="2">
        <f>COUNTIFS('BA History'!$B:$B,$A$49,'BA History'!Z:Z, 1)</f>
        <v>2</v>
      </c>
      <c r="AE49" s="2">
        <f>COUNTIFS('BA History'!$B:$B,$A$49,'BA History'!AA:AA, 1)</f>
        <v>0</v>
      </c>
      <c r="AF49" s="2">
        <f>COUNTIFS('BA History'!$B:$B,$A$49,'BA History'!AB:AB, 1)</f>
        <v>5</v>
      </c>
      <c r="AG49" s="2">
        <f>COUNTIFS('BA History'!$B:$B,$A$49,'BA History'!AC:AC, 1)</f>
        <v>4</v>
      </c>
      <c r="AH49" s="2">
        <f>COUNTIFS('BA History'!$B:$B,$A$49,'BA History'!AD:AD, 1)</f>
        <v>2</v>
      </c>
      <c r="AI49" s="2">
        <f>COUNTIFS('BA History'!$B:$B,$A$49,'BA History'!AE:AE, 1)</f>
        <v>0</v>
      </c>
      <c r="AJ49" s="2">
        <f>COUNTIFS('BA History'!$B:$B,$A$49,'BA History'!AF:AF, 1)</f>
        <v>0</v>
      </c>
    </row>
    <row r="50" spans="1:36" x14ac:dyDescent="0.25">
      <c r="A50" s="2" t="s">
        <v>14</v>
      </c>
      <c r="B50" s="2" t="s">
        <v>79</v>
      </c>
      <c r="C50" s="34">
        <f>SUMIFS('BA History'!C:C,'BA History'!B:B,A50)</f>
        <v>256</v>
      </c>
      <c r="D50" s="66">
        <f>AVERAGEIFS('BA History'!C:C,'BA History'!B:B,A50)</f>
        <v>17.066666666666666</v>
      </c>
      <c r="E50" s="35">
        <f t="array" ref="E50">MAX(IF('BA History'!B:B=A50, 'BA History'!C:C))</f>
        <v>27</v>
      </c>
      <c r="F50" s="34">
        <f>COUNTIFS('BA History'!B:B,A50,'BA History'!D:D, 1)</f>
        <v>8</v>
      </c>
      <c r="G50" s="2">
        <f>COUNTIFS('BA History'!B:B,A50,'BA History'!D:D, 0)</f>
        <v>7</v>
      </c>
      <c r="H50" s="75">
        <f t="shared" si="9"/>
        <v>0.53333333333333333</v>
      </c>
      <c r="I50" s="34">
        <f>SUMIFS('BA History'!F:F,'BA History'!B:B,A50)</f>
        <v>32</v>
      </c>
      <c r="J50" s="2">
        <f>SUMIFS('BA History'!E:E,'BA History'!B:B,A50)-I50</f>
        <v>31</v>
      </c>
      <c r="K50" s="75">
        <f t="shared" si="10"/>
        <v>0.50793650793650791</v>
      </c>
      <c r="L50" s="34">
        <f>SUMIFS('BA History'!H:H,'BA History'!B:B,A50)</f>
        <v>134</v>
      </c>
      <c r="M50" s="2">
        <f>SUMIFS('BA History'!G:G,'BA History'!B:B,A50)-L50</f>
        <v>124</v>
      </c>
      <c r="N50" s="93">
        <f t="shared" si="11"/>
        <v>0.51937984496124034</v>
      </c>
      <c r="O50" s="2">
        <f>COUNTIFS('BA History'!$B:$B,$A$50,'BA History'!K:K, 1)</f>
        <v>1</v>
      </c>
      <c r="P50" s="2">
        <f>COUNTIFS('BA History'!$B:$B,$A$50,'BA History'!L:L, 1)</f>
        <v>2</v>
      </c>
      <c r="Q50" s="2">
        <f>COUNTIFS('BA History'!$B:$B,$A$50,'BA History'!M:M, 1)</f>
        <v>0</v>
      </c>
      <c r="R50" s="2">
        <f>COUNTIFS('BA History'!$B:$B,$A$50,'BA History'!N:N, 1)</f>
        <v>1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3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1</v>
      </c>
      <c r="Y50" s="2">
        <f>COUNTIFS('BA History'!$B:$B,$A$50,'BA History'!U:U, 1)</f>
        <v>1</v>
      </c>
      <c r="Z50" s="2">
        <f>COUNTIFS('BA History'!$B:$B,$A$50,'BA History'!V:V, 1)</f>
        <v>1</v>
      </c>
      <c r="AA50" s="2">
        <f>COUNTIFS('BA History'!$B:$B,$A$50,'BA History'!W:W, 1)</f>
        <v>2</v>
      </c>
      <c r="AB50" s="2">
        <f>COUNTIFS('BA History'!$B:$B,$A$50,'BA History'!X:X, 1)</f>
        <v>1</v>
      </c>
      <c r="AC50" s="2">
        <f>COUNTIFS('BA History'!$B:$B,$A$50,'BA History'!Y:Y, 1)</f>
        <v>4</v>
      </c>
      <c r="AD50" s="2">
        <f>COUNTIFS('BA History'!$B:$B,$A$50,'BA History'!Z:Z, 1)</f>
        <v>6</v>
      </c>
      <c r="AE50" s="2">
        <f>COUNTIFS('BA History'!$B:$B,$A$50,'BA History'!AA:AA, 1)</f>
        <v>1</v>
      </c>
      <c r="AF50" s="2">
        <f>COUNTIFS('BA History'!$B:$B,$A$50,'BA History'!AB:AB, 1)</f>
        <v>4</v>
      </c>
      <c r="AG50" s="2">
        <f>COUNTIFS('BA History'!$B:$B,$A$50,'BA History'!AC:AC, 1)</f>
        <v>3</v>
      </c>
      <c r="AH50" s="2">
        <f>COUNTIFS('BA History'!$B:$B,$A$50,'BA History'!AD:AD, 1)</f>
        <v>0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2" t="s">
        <v>70</v>
      </c>
      <c r="B51" s="2" t="s">
        <v>79</v>
      </c>
      <c r="C51" s="34">
        <f>SUMIFS('BA History'!C:C,'BA History'!B:B,A51)</f>
        <v>73</v>
      </c>
      <c r="D51" s="66">
        <f>AVERAGEIFS('BA History'!C:C,'BA History'!B:B,A51)</f>
        <v>12.166666666666666</v>
      </c>
      <c r="E51" s="35">
        <f t="array" ref="E51">MAX(IF('BA History'!B:B=A51, 'BA History'!C:C))</f>
        <v>19</v>
      </c>
      <c r="F51" s="34">
        <f>COUNTIFS('BA History'!B:B,A51,'BA History'!D:D, 1)</f>
        <v>5</v>
      </c>
      <c r="G51" s="2">
        <f>COUNTIFS('BA History'!B:B,A51,'BA History'!D:D, 0)</f>
        <v>1</v>
      </c>
      <c r="H51" s="75">
        <f t="shared" si="9"/>
        <v>0.83333333333333337</v>
      </c>
      <c r="I51" s="34">
        <f>SUMIFS('BA History'!F:F,'BA History'!B:B,A51)</f>
        <v>15</v>
      </c>
      <c r="J51" s="2">
        <f>SUMIFS('BA History'!E:E,'BA History'!B:B,A51)-I51</f>
        <v>10</v>
      </c>
      <c r="K51" s="75">
        <f t="shared" si="10"/>
        <v>0.6</v>
      </c>
      <c r="L51" s="34">
        <f>SUMIFS('BA History'!H:H,'BA History'!B:B,A51)</f>
        <v>56</v>
      </c>
      <c r="M51" s="2">
        <f>SUMIFS('BA History'!G:G,'BA History'!B:B,A51)-L51</f>
        <v>49</v>
      </c>
      <c r="N51" s="93">
        <f t="shared" si="11"/>
        <v>0.53333333333333333</v>
      </c>
      <c r="O51" s="2">
        <f>COUNTIFS('BA History'!$B:$B,$A$51,'BA History'!K:K, 1)</f>
        <v>1</v>
      </c>
      <c r="P51" s="2">
        <f>COUNTIFS('BA History'!$B:$B,$A$51,'BA History'!L:L, 1)</f>
        <v>1</v>
      </c>
      <c r="Q51" s="2">
        <f>COUNTIFS('BA History'!$B:$B,$A$51,'BA History'!M:M, 1)</f>
        <v>2</v>
      </c>
      <c r="R51" s="2">
        <f>COUNTIFS('BA History'!$B:$B,$A$51,'BA History'!N:N, 1)</f>
        <v>2</v>
      </c>
      <c r="S51" s="2">
        <f>COUNTIFS('BA History'!$B:$B,$A$51,'BA History'!O:O, 1)</f>
        <v>0</v>
      </c>
      <c r="T51" s="2">
        <f>COUNTIFS('BA History'!$B:$B,$A$51,'BA History'!P:P, 1)</f>
        <v>0</v>
      </c>
      <c r="U51" s="2">
        <f>COUNTIFS('BA History'!$B:$B,$A$51,'BA History'!Q:Q, 1)</f>
        <v>0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1</v>
      </c>
      <c r="AA51" s="2">
        <f>COUNTIFS('BA History'!$B:$B,$A$51,'BA History'!W:W, 1)</f>
        <v>1</v>
      </c>
      <c r="AB51" s="2">
        <f>COUNTIFS('BA History'!$B:$B,$A$51,'BA History'!X:X, 1)</f>
        <v>0</v>
      </c>
      <c r="AC51" s="2">
        <f>COUNTIFS('BA History'!$B:$B,$A$51,'BA History'!Y:Y, 1)</f>
        <v>1</v>
      </c>
      <c r="AD51" s="2">
        <f>COUNTIFS('BA History'!$B:$B,$A$51,'BA History'!Z:Z, 1)</f>
        <v>0</v>
      </c>
      <c r="AE51" s="2">
        <f>COUNTIFS('BA History'!$B:$B,$A$51,'BA History'!AA:AA, 1)</f>
        <v>0</v>
      </c>
      <c r="AF51" s="2">
        <f>COUNTIFS('BA History'!$B:$B,$A$51,'BA History'!AB:AB, 1)</f>
        <v>0</v>
      </c>
      <c r="AG51" s="2">
        <f>COUNTIFS('BA History'!$B:$B,$A$51,'BA History'!AC:AC, 1)</f>
        <v>0</v>
      </c>
      <c r="AH51" s="2">
        <f>COUNTIFS('BA History'!$B:$B,$A$51,'BA History'!AD:AD, 1)</f>
        <v>3</v>
      </c>
      <c r="AI51" s="2">
        <f>COUNTIFS('BA History'!$B:$B,$A$51,'BA History'!AE:AE, 1)</f>
        <v>0</v>
      </c>
      <c r="AJ51" s="2">
        <f>COUNTIFS('BA History'!$B:$B,$A$51,'BA History'!AF:AF, 1)</f>
        <v>2</v>
      </c>
    </row>
    <row r="52" spans="1:36" ht="15.75" x14ac:dyDescent="0.25">
      <c r="A52" s="2" t="s">
        <v>4</v>
      </c>
      <c r="B52" s="80" t="s">
        <v>60</v>
      </c>
      <c r="C52" s="34">
        <f>SUMIFS('BA History'!C:C,'BA History'!B:B,A52)</f>
        <v>516</v>
      </c>
      <c r="D52" s="66">
        <f>AVERAGEIFS('BA History'!C:C,'BA History'!B:B,A52)</f>
        <v>23.454545454545453</v>
      </c>
      <c r="E52" s="35">
        <f t="array" ref="E52">MAX(IF('BA History'!B:B=A52, 'BA History'!C:C))</f>
        <v>41</v>
      </c>
      <c r="F52" s="34">
        <f>COUNTIFS('BA History'!B:B,A52,'BA History'!D:D, 1)</f>
        <v>5</v>
      </c>
      <c r="G52" s="2">
        <f>COUNTIFS('BA History'!B:B,A52,'BA History'!D:D, 0)</f>
        <v>17</v>
      </c>
      <c r="H52" s="75">
        <f t="shared" si="9"/>
        <v>0.22727272727272727</v>
      </c>
      <c r="I52" s="34">
        <f>SUMIFS('BA History'!F:F,'BA History'!B:B,A52)</f>
        <v>35</v>
      </c>
      <c r="J52" s="2">
        <f>SUMIFS('BA History'!E:E,'BA History'!B:B,A52)-I52</f>
        <v>55</v>
      </c>
      <c r="K52" s="75">
        <f t="shared" si="10"/>
        <v>0.3888888888888889</v>
      </c>
      <c r="L52" s="34">
        <f>SUMIFS('BA History'!H:H,'BA History'!B:B,A52)</f>
        <v>160</v>
      </c>
      <c r="M52" s="2">
        <f>SUMIFS('BA History'!G:G,'BA History'!B:B,A52)-L52</f>
        <v>204</v>
      </c>
      <c r="N52" s="93">
        <f t="shared" si="11"/>
        <v>0.43956043956043955</v>
      </c>
      <c r="O52" s="2">
        <f>COUNTIFS('BA History'!$B:$B,$A$52,'BA History'!K:K, 1)</f>
        <v>1</v>
      </c>
      <c r="P52" s="2">
        <f>COUNTIFS('BA History'!$B:$B,$A$52,'BA History'!L:L, 1)</f>
        <v>4</v>
      </c>
      <c r="Q52" s="2">
        <f>COUNTIFS('BA History'!$B:$B,$A$52,'BA History'!M:M, 1)</f>
        <v>3</v>
      </c>
      <c r="R52" s="2">
        <f>COUNTIFS('BA History'!$B:$B,$A$52,'BA History'!N:N, 1)</f>
        <v>5</v>
      </c>
      <c r="S52" s="2">
        <f>COUNTIFS('BA History'!$B:$B,$A$52,'BA History'!O:O, 1)</f>
        <v>1</v>
      </c>
      <c r="T52" s="2">
        <f>COUNTIFS('BA History'!$B:$B,$A$52,'BA History'!P:P, 1)</f>
        <v>0</v>
      </c>
      <c r="U52" s="2">
        <f>COUNTIFS('BA History'!$B:$B,$A$52,'BA History'!Q:Q, 1)</f>
        <v>1</v>
      </c>
      <c r="V52" s="2">
        <f>COUNTIFS('BA History'!$B:$B,$A$52,'BA History'!R:R, 1)</f>
        <v>0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2</v>
      </c>
      <c r="Z52" s="2">
        <f>COUNTIFS('BA History'!$B:$B,$A$52,'BA History'!V:V, 1)</f>
        <v>1</v>
      </c>
      <c r="AA52" s="2">
        <f>COUNTIFS('BA History'!$B:$B,$A$52,'BA History'!W:W, 1)</f>
        <v>0</v>
      </c>
      <c r="AB52" s="2">
        <f>COUNTIFS('BA History'!$B:$B,$A$52,'BA History'!X:X, 1)</f>
        <v>0</v>
      </c>
      <c r="AC52" s="2">
        <f>COUNTIFS('BA History'!$B:$B,$A$52,'BA History'!Y:Y, 1)</f>
        <v>7</v>
      </c>
      <c r="AD52" s="2">
        <f>COUNTIFS('BA History'!$B:$B,$A$52,'BA History'!Z:Z, 1)</f>
        <v>2</v>
      </c>
      <c r="AE52" s="2">
        <f>COUNTIFS('BA History'!$B:$B,$A$52,'BA History'!AA:AA, 1)</f>
        <v>0</v>
      </c>
      <c r="AF52" s="2">
        <f>COUNTIFS('BA History'!$B:$B,$A$52,'BA History'!AB:AB, 1)</f>
        <v>2</v>
      </c>
      <c r="AG52" s="2">
        <f>COUNTIFS('BA History'!$B:$B,$A$52,'BA History'!AC:AC, 1)</f>
        <v>3</v>
      </c>
      <c r="AH52" s="2">
        <f>COUNTIFS('BA History'!$B:$B,$A$52,'BA History'!AD:AD, 1)</f>
        <v>3</v>
      </c>
      <c r="AI52" s="2">
        <f>COUNTIFS('BA History'!$B:$B,$A$52,'BA History'!AE:AE, 1)</f>
        <v>0</v>
      </c>
      <c r="AJ52" s="2">
        <f>COUNTIFS('BA History'!$B:$B,$A$52,'BA History'!AF:AF, 1)</f>
        <v>0</v>
      </c>
    </row>
    <row r="53" spans="1:36" x14ac:dyDescent="0.25">
      <c r="A53" s="1" t="s">
        <v>107</v>
      </c>
      <c r="B53" s="2" t="s">
        <v>79</v>
      </c>
      <c r="C53" s="34">
        <f>SUMIFS('BA History'!C:C,'BA History'!B:B,A53)</f>
        <v>424</v>
      </c>
      <c r="D53" s="66">
        <f>AVERAGEIFS('BA History'!C:C,'BA History'!B:B,A53)</f>
        <v>16.307692307692307</v>
      </c>
      <c r="E53" s="35">
        <f t="array" ref="E53">MAX(IF('BA History'!B:B=A53, 'BA History'!C:C))</f>
        <v>29</v>
      </c>
      <c r="F53" s="34">
        <f>COUNTIFS('BA History'!B:B,A53,'BA History'!D:D, 1)</f>
        <v>16</v>
      </c>
      <c r="G53" s="2">
        <f>COUNTIFS('BA History'!B:B,A53,'BA History'!D:D, 0)</f>
        <v>10</v>
      </c>
      <c r="H53" s="75">
        <f t="shared" si="9"/>
        <v>0.61538461538461542</v>
      </c>
      <c r="I53" s="34">
        <f>SUMIFS('BA History'!F:F,'BA History'!B:B,A53)</f>
        <v>60</v>
      </c>
      <c r="J53" s="2">
        <f>SUMIFS('BA History'!E:E,'BA History'!B:B,A53)-I53</f>
        <v>47</v>
      </c>
      <c r="K53" s="75">
        <f t="shared" si="10"/>
        <v>0.56074766355140182</v>
      </c>
      <c r="L53" s="34">
        <f>SUMIFS('BA History'!H:H,'BA History'!B:B,A53)</f>
        <v>240</v>
      </c>
      <c r="M53" s="2">
        <f>SUMIFS('BA History'!G:G,'BA History'!B:B,A53)-L53</f>
        <v>203</v>
      </c>
      <c r="N53" s="93">
        <f t="shared" si="11"/>
        <v>0.54176072234762984</v>
      </c>
      <c r="O53" s="2">
        <f>COUNTIFS('BA History'!$B:$B,$A$53,'BA History'!K:K, 1)</f>
        <v>2</v>
      </c>
      <c r="P53" s="2">
        <f>COUNTIFS('BA History'!$B:$B,$A$53,'BA History'!L:L, 1)</f>
        <v>2</v>
      </c>
      <c r="Q53" s="2">
        <f>COUNTIFS('BA History'!$B:$B,$A$53,'BA History'!M:M, 1)</f>
        <v>7</v>
      </c>
      <c r="R53" s="2">
        <f>COUNTIFS('BA History'!$B:$B,$A$53,'BA History'!N:N, 1)</f>
        <v>10</v>
      </c>
      <c r="S53" s="2">
        <f>COUNTIFS('BA History'!$B:$B,$A$53,'BA History'!O:O, 1)</f>
        <v>2</v>
      </c>
      <c r="T53" s="2">
        <f>COUNTIFS('BA History'!$B:$B,$A$53,'BA History'!P:P, 1)</f>
        <v>1</v>
      </c>
      <c r="U53" s="2">
        <f>COUNTIFS('BA History'!$B:$B,$A$53,'BA History'!Q:Q, 1)</f>
        <v>2</v>
      </c>
      <c r="V53" s="2">
        <f>COUNTIFS('BA History'!$B:$B,$A$53,'BA History'!R:R, 1)</f>
        <v>1</v>
      </c>
      <c r="W53" s="2">
        <f>COUNTIFS('BA History'!$B:$B,$A$53,'BA History'!S:S, 1)</f>
        <v>1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2</v>
      </c>
      <c r="AA53" s="2">
        <f>COUNTIFS('BA History'!$B:$B,$A$53,'BA History'!W:W, 1)</f>
        <v>2</v>
      </c>
      <c r="AB53" s="2">
        <f>COUNTIFS('BA History'!$B:$B,$A$53,'BA History'!X:X, 1)</f>
        <v>0</v>
      </c>
      <c r="AC53" s="2">
        <f>COUNTIFS('BA History'!$B:$B,$A$53,'BA History'!Y:Y, 1)</f>
        <v>5</v>
      </c>
      <c r="AD53" s="2">
        <f>COUNTIFS('BA History'!$B:$B,$A$53,'BA History'!Z:Z, 1)</f>
        <v>7</v>
      </c>
      <c r="AE53" s="2">
        <f>COUNTIFS('BA History'!$B:$B,$A$53,'BA History'!AA:AA, 1)</f>
        <v>1</v>
      </c>
      <c r="AF53" s="2">
        <f>COUNTIFS('BA History'!$B:$B,$A$53,'BA History'!AB:AB, 1)</f>
        <v>3</v>
      </c>
      <c r="AG53" s="2">
        <f>COUNTIFS('BA History'!$B:$B,$A$53,'BA History'!AC:AC, 1)</f>
        <v>3</v>
      </c>
      <c r="AH53" s="2">
        <f>COUNTIFS('BA History'!$B:$B,$A$53,'BA History'!AD:AD, 1)</f>
        <v>5</v>
      </c>
      <c r="AI53" s="2">
        <f>COUNTIFS('BA History'!$B:$B,$A$53,'BA History'!AE:AE, 1)</f>
        <v>0</v>
      </c>
      <c r="AJ53" s="2">
        <f>COUNTIFS('BA History'!$B:$B,$A$53,'BA History'!AF:AF, 1)</f>
        <v>4</v>
      </c>
    </row>
    <row r="54" spans="1:36" x14ac:dyDescent="0.25">
      <c r="A54" s="2" t="s">
        <v>94</v>
      </c>
      <c r="B54" s="2" t="s">
        <v>79</v>
      </c>
      <c r="C54" s="34">
        <f>SUMIFS('BA History'!C:C,'BA History'!B:B,A54)</f>
        <v>18</v>
      </c>
      <c r="D54" s="66">
        <f>AVERAGEIFS('BA History'!C:C,'BA History'!B:B,A54)</f>
        <v>18</v>
      </c>
      <c r="E54" s="35">
        <f t="array" ref="E54">MAX(IF('BA History'!B:B=A54, 'BA History'!C:C))</f>
        <v>18</v>
      </c>
      <c r="F54" s="34">
        <f>COUNTIFS('BA History'!B:B,A54,'BA History'!D:D, 1)</f>
        <v>1</v>
      </c>
      <c r="G54" s="2">
        <f>COUNTIFS('BA History'!B:B,A54,'BA History'!D:D, 0)</f>
        <v>0</v>
      </c>
      <c r="H54" s="75">
        <f t="shared" si="9"/>
        <v>1</v>
      </c>
      <c r="I54" s="34">
        <f>SUMIFS('BA History'!F:F,'BA History'!B:B,A54)</f>
        <v>3</v>
      </c>
      <c r="J54" s="2">
        <f>SUMIFS('BA History'!E:E,'BA History'!B:B,A54)-I54</f>
        <v>2</v>
      </c>
      <c r="K54" s="75">
        <f t="shared" si="10"/>
        <v>0.6</v>
      </c>
      <c r="L54" s="34">
        <f>SUMIFS('BA History'!H:H,'BA History'!B:B,A54)</f>
        <v>11</v>
      </c>
      <c r="M54" s="2">
        <f>SUMIFS('BA History'!G:G,'BA History'!B:B,A54)-L54</f>
        <v>10</v>
      </c>
      <c r="N54" s="93">
        <f t="shared" si="11"/>
        <v>0.52380952380952384</v>
      </c>
      <c r="O54" s="2">
        <f>COUNTIFS('BA History'!$B:$B,$A$54,'BA History'!K:K, 1)</f>
        <v>0</v>
      </c>
      <c r="P54" s="2">
        <f>COUNTIFS('BA History'!$B:$B,$A$54,'BA History'!L:L, 1)</f>
        <v>0</v>
      </c>
      <c r="Q54" s="2">
        <f>COUNTIFS('BA History'!$B:$B,$A$54,'BA History'!M:M, 1)</f>
        <v>0</v>
      </c>
      <c r="R54" s="2">
        <f>COUNTIFS('BA History'!$B:$B,$A$54,'BA History'!N:N, 1)</f>
        <v>0</v>
      </c>
      <c r="S54" s="2">
        <f>COUNTIFS('BA History'!$B:$B,$A$54,'BA History'!O:O, 1)</f>
        <v>0</v>
      </c>
      <c r="T54" s="2">
        <f>COUNTIFS('BA History'!$B:$B,$A$54,'BA History'!P:P, 1)</f>
        <v>0</v>
      </c>
      <c r="U54" s="2">
        <f>COUNTIFS('BA History'!$B:$B,$A$54,'BA History'!Q:Q, 1)</f>
        <v>0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0</v>
      </c>
      <c r="AA54" s="2">
        <f>COUNTIFS('BA History'!$B:$B,$A$54,'BA History'!W:W, 1)</f>
        <v>1</v>
      </c>
      <c r="AB54" s="2">
        <f>COUNTIFS('BA History'!$B:$B,$A$54,'BA History'!X:X, 1)</f>
        <v>1</v>
      </c>
      <c r="AC54" s="2">
        <f>COUNTIFS('BA History'!$B:$B,$A$54,'BA History'!Y:Y, 1)</f>
        <v>0</v>
      </c>
      <c r="AD54" s="2">
        <f>COUNTIFS('BA History'!$B:$B,$A$54,'BA History'!Z:Z, 1)</f>
        <v>1</v>
      </c>
      <c r="AE54" s="2">
        <f>COUNTIFS('BA History'!$B:$B,$A$54,'BA History'!AA:AA, 1)</f>
        <v>0</v>
      </c>
      <c r="AF54" s="2">
        <f>COUNTIFS('BA History'!$B:$B,$A$54,'BA History'!AB:AB, 1)</f>
        <v>0</v>
      </c>
      <c r="AG54" s="2">
        <f>COUNTIFS('BA History'!$B:$B,$A$54,'BA History'!AC:AC, 1)</f>
        <v>0</v>
      </c>
      <c r="AH54" s="2">
        <f>COUNTIFS('BA History'!$B:$B,$A$54,'BA History'!AD:AD, 1)</f>
        <v>0</v>
      </c>
      <c r="AI54" s="2">
        <f>COUNTIFS('BA History'!$B:$B,$A$54,'BA History'!AE:AE, 1)</f>
        <v>0</v>
      </c>
      <c r="AJ54" s="2">
        <f>COUNTIFS('BA History'!$B:$B,$A$54,'BA History'!AF:AF, 1)</f>
        <v>0</v>
      </c>
    </row>
    <row r="55" spans="1:36" ht="15.75" thickBot="1" x14ac:dyDescent="0.3">
      <c r="A55" s="2" t="s">
        <v>55</v>
      </c>
      <c r="B55" s="2" t="s">
        <v>79</v>
      </c>
      <c r="C55" s="34">
        <f>SUMIFS('BA History'!C:C,'BA History'!B:B,A55)</f>
        <v>2</v>
      </c>
      <c r="D55" s="66">
        <f>AVERAGEIFS('BA History'!C:C,'BA History'!B:B,A55)</f>
        <v>2</v>
      </c>
      <c r="E55" s="35">
        <f t="array" ref="E55">MAX(IF('BA History'!B:B=A55, 'BA History'!C:C))</f>
        <v>2</v>
      </c>
      <c r="F55" s="34">
        <f>COUNTIFS('BA History'!B:B,A55,'BA History'!D:D, 1)</f>
        <v>0</v>
      </c>
      <c r="G55" s="2">
        <f>COUNTIFS('BA History'!B:B,A55,'BA History'!D:D, 0)</f>
        <v>1</v>
      </c>
      <c r="H55" s="76">
        <f t="shared" si="9"/>
        <v>0</v>
      </c>
      <c r="I55" s="34">
        <f>SUMIFS('BA History'!F:F,'BA History'!B:B,A55)</f>
        <v>0</v>
      </c>
      <c r="J55" s="2">
        <f>SUMIFS('BA History'!E:E,'BA History'!B:B,A55)-I55</f>
        <v>3</v>
      </c>
      <c r="K55" s="76">
        <f t="shared" si="10"/>
        <v>0</v>
      </c>
      <c r="L55" s="34">
        <f>SUMIFS('BA History'!H:H,'BA History'!B:B,A55)</f>
        <v>4</v>
      </c>
      <c r="M55" s="48">
        <v>9</v>
      </c>
      <c r="N55" s="94">
        <f t="shared" si="11"/>
        <v>0.30769230769230771</v>
      </c>
      <c r="O55" s="2">
        <f>COUNTIFS('BA History'!$B:$B,$A$55,'BA History'!K:K, 1)</f>
        <v>0</v>
      </c>
      <c r="P55" s="2">
        <f>COUNTIFS('BA History'!$B:$B,$A$55,'BA History'!L:L, 1)</f>
        <v>0</v>
      </c>
      <c r="Q55" s="2">
        <f>COUNTIFS('BA History'!$B:$B,$A$55,'BA History'!M:M, 1)</f>
        <v>0</v>
      </c>
      <c r="R55" s="2">
        <f>COUNTIFS('BA History'!$B:$B,$A$55,'BA History'!N:N, 1)</f>
        <v>0</v>
      </c>
      <c r="S55" s="2">
        <f>COUNTIFS('BA History'!$B:$B,$A$55,'BA History'!O:O, 1)</f>
        <v>0</v>
      </c>
      <c r="T55" s="2">
        <f>COUNTIFS('BA History'!$B:$B,$A$55,'BA History'!P:P, 1)</f>
        <v>0</v>
      </c>
      <c r="U55" s="2">
        <f>COUNTIFS('BA History'!$B:$B,$A$55,'BA History'!Q:Q, 1)</f>
        <v>0</v>
      </c>
      <c r="V55" s="2">
        <f>COUNTIFS('BA History'!$B:$B,$A$55,'BA History'!R:R, 1)</f>
        <v>0</v>
      </c>
      <c r="W55" s="2">
        <f>COUNTIFS('BA History'!$B:$B,$A$55,'BA History'!S:S, 1)</f>
        <v>0</v>
      </c>
      <c r="X55" s="2">
        <f>COUNTIFS('BA History'!$B:$B,$A$55,'BA History'!T:T, 1)</f>
        <v>0</v>
      </c>
      <c r="Y55" s="2">
        <f>COUNTIFS('BA History'!$B:$B,$A$55,'BA History'!U:U, 1)</f>
        <v>0</v>
      </c>
      <c r="Z55" s="2">
        <f>COUNTIFS('BA History'!$B:$B,$A$55,'BA History'!V:V, 1)</f>
        <v>0</v>
      </c>
      <c r="AA55" s="2">
        <f>COUNTIFS('BA History'!$B:$B,$A$55,'BA History'!W:W, 1)</f>
        <v>0</v>
      </c>
      <c r="AB55" s="2">
        <f>COUNTIFS('BA History'!$B:$B,$A$55,'BA History'!X:X, 1)</f>
        <v>0</v>
      </c>
      <c r="AC55" s="2">
        <f>COUNTIFS('BA History'!$B:$B,$A$55,'BA History'!Y:Y, 1)</f>
        <v>0</v>
      </c>
      <c r="AD55" s="2">
        <f>COUNTIFS('BA History'!$B:$B,$A$55,'BA History'!Z:Z, 1)</f>
        <v>0</v>
      </c>
      <c r="AE55" s="2">
        <f>COUNTIFS('BA History'!$B:$B,$A$55,'BA History'!AA:AA, 1)</f>
        <v>0</v>
      </c>
      <c r="AF55" s="2">
        <f>COUNTIFS('BA History'!$B:$B,$A$55,'BA History'!AB:AB, 1)</f>
        <v>0</v>
      </c>
      <c r="AG55" s="2">
        <f>COUNTIFS('BA History'!$B:$B,$A$55,'BA History'!AC:AC, 1)</f>
        <v>0</v>
      </c>
      <c r="AH55" s="2">
        <f>COUNTIFS('BA History'!$B:$B,$A$55,'BA History'!AD:AD, 1)</f>
        <v>0</v>
      </c>
      <c r="AI55" s="2">
        <f>COUNTIFS('BA History'!$B:$B,$A$55,'BA History'!AE:AE, 1)</f>
        <v>0</v>
      </c>
      <c r="AJ55" s="2">
        <f>COUNTIFS('BA History'!$B:$B,$A$55,'BA History'!AF:AF, 1)</f>
        <v>0</v>
      </c>
    </row>
  </sheetData>
  <autoFilter ref="A1:AJ55" xr:uid="{DA548192-1F03-46EA-8AB8-115EB9A7CE5D}">
    <sortState xmlns:xlrd2="http://schemas.microsoft.com/office/spreadsheetml/2017/richdata2" ref="A2:AJ55">
      <sortCondition ref="A1:A55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689"/>
  <sheetViews>
    <sheetView workbookViewId="0">
      <pane xSplit="2" ySplit="1" topLeftCell="C644" activePane="bottomRight" state="frozen"/>
      <selection pane="topRight" activeCell="C1" sqref="C1"/>
      <selection pane="bottomLeft" activeCell="A2" sqref="A2"/>
      <selection pane="bottomRight" activeCell="D693" sqref="D69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6" bestFit="1" customWidth="1"/>
    <col min="35" max="35" width="12" bestFit="1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AVERAGEIFS($I$2:J2, $B$2:C2, C2)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AVERAGEIFS($I$2:J3, $B$2:C3, C3)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AVERAGEIFS($I$2:J4, $B$2:C4, C4)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AVERAGEIFS($I$2:J5, $B$2:C5, C5)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AVERAGEIFS($I$2:J6, $B$2:C6, C6)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AVERAGEIFS($I$2:J7, $B$2:C7, C7)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AVERAGEIFS($I$2:J8, $B$2:C8, C8)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AVERAGEIFS($I$2:J9, $B$2:C9, C9)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AVERAGEIFS($I$2:J10, $B$2:C10, C10)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AVERAGEIFS($I$2:J11, $B$2:C11, C11)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AVERAGEIFS($I$2:J12, $B$2:C12, C12)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AVERAGEIFS($I$2:J13, $B$2:C13, C13)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AVERAGEIFS($I$2:J14, $B$2:C14, C14)</f>
        <v>0.48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AVERAGEIFS($I$2:J15, $B$2:C15, C15)</f>
        <v>0.48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AVERAGEIFS($I$2:J16, $B$2:C16, C16)</f>
        <v>0.57499999999999996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AVERAGEIFS($I$2:J17, $B$2:C17, C17)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AVERAGEIFS($I$2:J18, $B$2:C18, C18)</f>
        <v>0.48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AVERAGEIFS($I$2:J19, $B$2:C19, C19)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AVERAGEIFS($I$2:J20, $B$2:C20, C20)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AVERAGEIFS($I$2:J21, $B$2:C21, C21)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AVERAGEIFS($I$2:J22, $B$2:C22, C22)</f>
        <v>0.52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AVERAGEIFS($I$2:J23, $B$2:C23, C23)</f>
        <v>0.52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AVERAGEIFS($I$2:J24, $B$2:C24, C24)</f>
        <v>0.52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AVERAGEIFS($I$2:J25, $B$2:C25, C25)</f>
        <v>0.52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AVERAGEIFS($I$2:J26, $B$2:C26, C26)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AVERAGEIFS($I$2:J27, $B$2:C27, C27)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AVERAGEIFS($I$2:J28, $B$2:C28, C28)</f>
        <v>0.52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AVERAGEIFS($I$2:J29, $B$2:C29, C29)</f>
        <v>0.58333333333333337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AVERAGEIFS($I$2:J30, $B$2:C30, C30)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AVERAGEIFS($I$2:J31, $B$2:C31, C31)</f>
        <v>0.6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AVERAGEIFS($I$2:J32, $B$2:C32, C32)</f>
        <v>0.6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AVERAGEIFS($I$2:J33, $B$2:C33, C33)</f>
        <v>0.6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AVERAGEIFS($I$2:J34, $B$2:C34, C34)</f>
        <v>0.63500000000000001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AVERAGEIFS($I$2:J35, $B$2:C35, C35)</f>
        <v>0.4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AVERAGEIFS($I$2:J36, $B$2:C36, C36)</f>
        <v>0.53333333333333333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AVERAGEIFS($I$2:J37, $B$2:C37, C37)</f>
        <v>0.4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AVERAGEIFS($I$2:J38, $B$2:C38, C38)</f>
        <v>0.55666666666666664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AVERAGEIFS($I$2:J39, $B$2:C39, C39)</f>
        <v>0.36499999999999999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AVERAGEIFS($I$2:J40, $B$2:C40, C40)</f>
        <v>0.36499999999999999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AVERAGEIFS($I$2:J41, $B$2:C41, C41)</f>
        <v>0.61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AVERAGEIFS($I$2:J42, $B$2:C42, C42)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AVERAGEIFS($I$2:J43, $B$2:C43, C43)</f>
        <v>0.69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AVERAGEIFS($I$2:J44, $B$2:C44, C44)</f>
        <v>0.62666666666666659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AVERAGEIFS($I$2:J45, $B$2:C45, C45)</f>
        <v>0.47333333333333333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AVERAGEIFS($I$2:J46, $B$2:C46, C46)</f>
        <v>0.58499999999999996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AVERAGEIFS($I$2:J47, $B$2:C47, C47)</f>
        <v>0.55000000000000004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AVERAGEIFS($I$2:J48, $B$2:C48, C48)</f>
        <v>0.35499999999999998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AVERAGEIFS($I$2:J49, $B$2:C49, C49)</f>
        <v>0.38666666666666671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AVERAGEIFS($I$2:J50, $B$2:C50, C50)</f>
        <v>0.41500000000000004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AVERAGEIFS($I$2:J51, $B$2:C51, C51)</f>
        <v>0.32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AVERAGEIFS($I$2:J52, $B$2:C52, C52)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AVERAGEIFS($I$2:J53, $B$2:C53, C53)</f>
        <v>0.64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AVERAGEIFS($I$2:J54, $B$2:C54, C54)</f>
        <v>0.61599999999999999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AVERAGEIFS($I$2:J55, $B$2:C55, C55)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AVERAGEIFS($I$2:J56, $B$2:C56, C56)</f>
        <v>0.64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AVERAGEIFS($I$2:J57, $B$2:C57, C57)</f>
        <v>0.51500000000000001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AVERAGEIFS($I$2:J58, $B$2:C58, C58)</f>
        <v>0.42666666666666669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AVERAGEIFS($I$2:J59, $B$2:C59, C59)</f>
        <v>0.50250000000000006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AVERAGEIFS($I$2:J60, $B$2:C60, C60)</f>
        <v>0.35666666666666663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AVERAGEIFS($I$2:J61, $B$2:C61, C61)</f>
        <v>0.38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AVERAGEIFS($I$2:J62, $B$2:C62, C62)</f>
        <v>0.55999999999999994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AVERAGEIFS($I$2:J63, $B$2:C63, C63)</f>
        <v>0.42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AVERAGEIFS($I$2:J64, $B$2:C64, C64)</f>
        <v>0.51500000000000001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AVERAGEIFS($I$2:J65, $B$2:C65, C65)</f>
        <v>0.73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AVERAGEIFS($I$2:J66, $B$2:C66, C66)</f>
        <v>0.47249999999999992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AVERAGEIFS($I$2:J67, $B$2:C67, C67)</f>
        <v>0.62249999999999994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AVERAGEIFS($I$2:J68, $B$2:C68, C68)</f>
        <v>0.66199999999999992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AVERAGEIFS($I$2:J69, $B$2:C69, C69)</f>
        <v>0.6166666666666667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AVERAGEIFS($I$2:J70, $B$2:C70, C70)</f>
        <v>0.64999999999999991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AVERAGEIFS($I$2:J71, $B$2:C71, C71)</f>
        <v>0.35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AVERAGEIFS($I$2:J72, $B$2:C72, C72)</f>
        <v>0.33999999999999997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AVERAGEIFS($I$2:J73, $B$2:C73, C73)</f>
        <v>0.30333333333333329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AVERAGEIFS($I$2:J74, $B$2:C74, C74)</f>
        <v>0.49333333333333323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AVERAGEIFS($I$2:J75, $B$2:C75, C75)</f>
        <v>0.32999999999999996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AVERAGEIFS($I$2:J76, $B$2:C76, C76)</f>
        <v>0.245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AVERAGEIFS($I$2:J77, $B$2:C77, C77)</f>
        <v>0.53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AVERAGEIFS($I$2:J78, $B$2:C78, C78)</f>
        <v>0.60166666666666668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AVERAGEIFS($I$2:J79, $B$2:C79, C79)</f>
        <v>0.61499999999999999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AVERAGEIFS($I$2:J80, $B$2:C80, C80)</f>
        <v>0.66333333333333333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AVERAGEIFS($I$2:J81, $B$2:C81, C81)</f>
        <v>0.55399999999999994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AVERAGEIFS($I$2:J82, $B$2:C82, C82)</f>
        <v>0.45250000000000001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AVERAGEIFS($I$2:J83, $B$2:C83, C83)</f>
        <v>0.435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AVERAGEIFS($I$2:J84, $B$2:C84, C84)</f>
        <v>0.49600000000000011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AVERAGEIFS($I$2:J85, $B$2:C85, C85)</f>
        <v>0.61499999999999999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AVERAGEIFS($I$2:J86, $B$2:C86, C86)</f>
        <v>0.53999999999999992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AVERAGEIFS($I$2:J87, $B$2:C87, C87)</f>
        <v>0.53499999999999992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AVERAGEIFS($I$2:J88, $B$2:C88, C88)</f>
        <v>0.54666666666666663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AVERAGEIFS($I$2:J89, $B$2:C89, C89)</f>
        <v>0.61199999999999999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AVERAGEIFS($I$2:J90, $B$2:C90, C90)</f>
        <v>0.61199999999999999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AVERAGEIFS($I$2:J91, $B$2:C91, C91)</f>
        <v>0.49799999999999994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AVERAGEIFS($I$2:J92, $B$2:C92, C92)</f>
        <v>0.48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AVERAGEIFS($I$2:J93, $B$2:C93, C93)</f>
        <v>0.55666666666666664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AVERAGEIFS($I$2:J94, $B$2:C94, C94)</f>
        <v>0.48200000000000004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AVERAGEIFS($I$2:J95, $B$2:C95, C95)</f>
        <v>0.48000000000000004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AVERAGEIFS($I$2:J96, $B$2:C96, C96)</f>
        <v>0.54499999999999993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AVERAGEIFS($I$2:J97, $B$2:C97, C97)</f>
        <v>0.49666666666666659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AVERAGEIFS($I$2:J98, $B$2:C98, C98)</f>
        <v>0.44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AVERAGEIFS($I$2:J99, $B$2:C99, C99)</f>
        <v>0.49199999999999999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AVERAGEIFS($I$2:J100, $B$2:C100, C100)</f>
        <v>0.32750000000000001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AVERAGEIFS($I$2:J101, $B$2:C101, C101)</f>
        <v>0.59666666666666668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AVERAGEIFS($I$2:J102, $B$2:C102, C102)</f>
        <v>0.50249999999999995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AVERAGEIFS($I$2:J103, $B$2:C103, C103)</f>
        <v>0.54749999999999999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AVERAGEIFS($I$2:J104, $B$2:C104, C104)</f>
        <v>0.46666666666666662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AVERAGEIFS($I$2:J105, $B$2:C105, C105)</f>
        <v>0.49666666666666665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AVERAGEIFS($I$2:J106, $B$2:C106, C106)</f>
        <v>0.48000000000000004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AVERAGEIFS($I$2:J107, $B$2:C107, C107)</f>
        <v>0.39333333333333331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AVERAGEIFS($I$2:J108, $B$2:C108, C108)</f>
        <v>0.47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AVERAGEIFS($I$2:J109, $B$2:C109, C109)</f>
        <v>0.4366666666666667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AVERAGEIFS($I$2:J110, $B$2:C110, C110)</f>
        <v>0.35799999999999998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AVERAGEIFS($I$2:J111, $B$2:C111, C111)</f>
        <v>0.49125000000000002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AVERAGEIFS($I$2:J112, $B$2:C112, C112)</f>
        <v>0.37833333333333335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AVERAGEIFS($I$2:J113, $B$2:C113, C113)</f>
        <v>0.54428571428571415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AVERAGEIFS($I$2:J114, $B$2:C114, C114)</f>
        <v>0.48999999999999994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AVERAGEIFS($I$2:J115, $B$2:C115, C115)</f>
        <v>0.55249999999999999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AVERAGEIFS($I$2:J116, $B$2:C116, C116)</f>
        <v>0.48666666666666664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AVERAGEIFS($I$2:J117, $B$2:C117, C117)</f>
        <v>0.38571428571428573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AVERAGEIFS($I$2:J118, $B$2:C118, C118)</f>
        <v>0.46749999999999997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AVERAGEIFS($I$2:J119, $B$2:C119, C119)</f>
        <v>0.57000000000000006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AVERAGEIFS($I$2:J120, $B$2:C120, C120)</f>
        <v>0.54200000000000004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AVERAGEIFS($I$2:J121, $B$2:C121, C121)</f>
        <v>0.40500000000000003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AVERAGEIFS($I$2:J122, $B$2:C122, C122)</f>
        <v>0.42000000000000004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AVERAGEIFS($I$2:J123, $B$2:C123, C123)</f>
        <v>0.43500000000000005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AVERAGEIFS($I$2:J124, $B$2:C124, C124)</f>
        <v>0.47000000000000003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AVERAGEIFS($I$2:J125, $B$2:C125, C125)</f>
        <v>0.54600000000000004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AVERAGEIFS($I$2:J126, $B$2:C126, C126)</f>
        <v>0.51500000000000001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AVERAGEIFS($I$2:J127, $B$2:C127, C127)</f>
        <v>0.48285714285714282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AVERAGEIFS($I$2:J128, $B$2:C128, C128)</f>
        <v>0.48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AVERAGEIFS($I$2:J129, $B$2:C129, C129)</f>
        <v>0.48499999999999993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AVERAGEIFS($I$2:J130, $B$2:C130, C130)</f>
        <v>0.46750000000000003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AVERAGEIFS($I$2:J131, $B$2:C131, C131)</f>
        <v>0.51444444444444448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AVERAGEIFS($I$2:J132, $B$2:C132, C132)</f>
        <v>0.45700000000000002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AVERAGEIFS($I$2:J133, $B$2:C133, C133)</f>
        <v>0.52857142857142858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AVERAGEIFS($I$2:J134, $B$2:C134, C134)</f>
        <v>0.53857142857142859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AVERAGEIFS($I$2:J135, $B$2:C135, C135)</f>
        <v>0.52500000000000002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AVERAGEIFS($I$2:J136, $B$2:C136, C136)</f>
        <v>0.53333333333333333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AVERAGEIFS($I$2:J137, $B$2:C137, C137)</f>
        <v>0.48399999999999999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AVERAGEIFS($I$2:J138, $B$2:C138, C138)</f>
        <v>0.4975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AVERAGEIFS($I$2:J139, $B$2:C139, C139)</f>
        <v>0.58666666666666656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AVERAGEIFS($I$2:J140, $B$2:C140, C140)</f>
        <v>0.53285714285714281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AVERAGEIFS($I$2:J141, $B$2:C141, C141)</f>
        <v>0.28999999999999998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AVERAGEIFS($I$2:J142, $B$2:C142, C142)</f>
        <v>0.26999999999999996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AVERAGEIFS($I$2:J143, $B$2:C143, C143)</f>
        <v>0.58000000000000007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AVERAGEIFS($I$2:J144, $B$2:C144, C144)</f>
        <v>0.6166666666666667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AVERAGEIFS($I$2:J145, $B$2:C145, C145)</f>
        <v>0.45499999999999996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AVERAGEIFS($I$2:J146, $B$2:C146, C146)</f>
        <v>0.51333333333333331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AVERAGEIFS($I$2:J147, $B$2:C147, C147)</f>
        <v>0.52999999999999992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AVERAGEIFS($I$2:J148, $B$2:C148, C148)</f>
        <v>0.34399999999999997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AVERAGEIFS($I$2:J149, $B$2:C149, C149)</f>
        <v>0.42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AVERAGEIFS($I$2:J150, $B$2:C150, C150)</f>
        <v>0.47399999999999992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AVERAGEIFS($I$2:J151, $B$2:C151, C151)</f>
        <v>0.44818181818181824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AVERAGEIFS($I$2:J152, $B$2:C152, C152)</f>
        <v>0.51500000000000001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AVERAGEIFS($I$2:J153, $B$2:C153, C153)</f>
        <v>0.49800000000000005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AVERAGEIFS($I$2:J154, $B$2:C154, C154)</f>
        <v>0.28333333333333333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AVERAGEIFS($I$2:J155, $B$2:C155, C155)</f>
        <v>0.56000000000000005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AVERAGEIFS($I$2:J156, $B$2:C156, C156)</f>
        <v>0.61428571428571421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AVERAGEIFS($I$2:J157, $B$2:C157, C157)</f>
        <v>0.53200000000000003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AVERAGEIFS($I$2:J158, $B$2:C158, C158)</f>
        <v>0.49399999999999994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AVERAGEIFS($I$2:J159, $B$2:C159, C159)</f>
        <v>0.5116666666666666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AVERAGEIFS($I$2:J160, $B$2:C160, C160)</f>
        <v>0.54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AVERAGEIFS($I$2:J161, $B$2:C161, C161)</f>
        <v>0.56857142857142862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AVERAGEIFS($I$2:J162, $B$2:C162, C162)</f>
        <v>0.44416666666666677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AVERAGEIFS($I$2:J163, $B$2:C163, C163)</f>
        <v>0.52624999999999988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AVERAGEIFS($I$2:J164, $B$2:C164, C164)</f>
        <v>0.51222222222222213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AVERAGEIFS($I$2:J165, $B$2:C165, C165)</f>
        <v>0.51624999999999999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AVERAGEIFS($I$2:J166, $B$2:C166, C166)</f>
        <v>0.50333333333333341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AVERAGEIFS($I$2:J167, $B$2:C167, C167)</f>
        <v>0.47400000000000003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AVERAGEIFS($I$2:J168, $B$2:C168, C168)</f>
        <v>0.49222222222222217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AVERAGEIFS($I$2:J169, $B$2:C169, C169)</f>
        <v>0.52666666666666673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AVERAGEIFS($I$2:J170, $B$2:C170, C170)</f>
        <v>0.46399999999999997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AVERAGEIFS($I$2:J171, $B$2:C171, C171)</f>
        <v>0.51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AVERAGEIFS($I$2:J172, $B$2:C172, C172)</f>
        <v>0.52499999999999991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AVERAGEIFS($I$2:J173, $B$2:C173, C173)</f>
        <v>0.4466666666666666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AVERAGEIFS($I$2:J174, $B$2:C174, C174)</f>
        <v>0.47833333333333333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AVERAGEIFS($I$2:J175, $B$2:C175, C175)</f>
        <v>0.49299999999999999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AVERAGEIFS($I$2:J176, $B$2:C176, C176)</f>
        <v>0.47833333333333328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AVERAGEIFS($I$2:J177, $B$2:C177, C177)</f>
        <v>0.38166666666666665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AVERAGEIFS($I$2:J178, $B$2:C178, C178)</f>
        <v>0.52399999999999991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AVERAGEIFS($I$2:J179, $B$2:C179, C179)</f>
        <v>0.47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AVERAGEIFS($I$2:J180, $B$2:C180, C180)</f>
        <v>0.49090909090909085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AVERAGEIFS($I$2:J181, $B$2:C181, C181)</f>
        <v>0.47714285714285715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AVERAGEIFS($I$2:J182, $B$2:C182, C182)</f>
        <v>0.505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AVERAGEIFS($I$2:J183, $B$2:C183, C183)</f>
        <v>0.49545454545454548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AVERAGEIFS($I$2:J184, $B$2:C184, C184)</f>
        <v>0.53000000000000014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AVERAGEIFS($I$2:J185, $B$2:C185, C185)</f>
        <v>0.49416666666666664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AVERAGEIFS($I$2:J186, $B$2:C186, C186)</f>
        <v>0.59142857142857153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AVERAGEIFS($I$2:J187, $B$2:C187, C187)</f>
        <v>0.60375000000000001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AVERAGEIFS($I$2:J188, $B$2:C188, C188)</f>
        <v>0.51714285714285713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AVERAGEIFS($I$2:J189, $B$2:C189, C189)</f>
        <v>0.51400000000000001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AVERAGEIFS($I$2:J190, $B$2:C190, C190)</f>
        <v>0.53000000000000014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AVERAGEIFS($I$2:J191, $B$2:C191, C191)</f>
        <v>0.55000000000000004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AVERAGEIFS($I$2:J192, $B$2:C192, C192)</f>
        <v>0.55666666666666664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AVERAGEIFS($I$2:J193, $B$2:C193, C193)</f>
        <v>0.60000000000000009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AVERAGEIFS($I$2:J194, $B$2:C194, C194)</f>
        <v>0.52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AVERAGEIFS($I$2:J195, $B$2:C195, C195)</f>
        <v>0.48166666666666663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AVERAGEIFS($I$2:J196, $B$2:C196, C196)</f>
        <v>0.55999999999999994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AVERAGEIFS($I$2:J197, $B$2:C197, C197)</f>
        <v>0.40857142857142853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AVERAGEIFS($I$2:J198, $B$2:C198, C198)</f>
        <v>0.51857142857142857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AVERAGEIFS($I$2:J199, $B$2:C199, C199)</f>
        <v>0.45499999999999996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AVERAGEIFS($I$2:J200, $B$2:C200, C200)</f>
        <v>0.53500000000000003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AVERAGEIFS($I$2:J201, $B$2:C201, C201)</f>
        <v>0.44249999999999995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AVERAGEIFS($I$2:J202, $B$2:C202, C202)</f>
        <v>0.49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AVERAGEIFS($I$2:J203, $B$2:C203, C203)</f>
        <v>0.47125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AVERAGEIFS($I$2:J204, $B$2:C204, C204)</f>
        <v>0.46666666666666667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AVERAGEIFS($I$2:J205, $B$2:C205, C205)</f>
        <v>0.55166666666666664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AVERAGEIFS($I$2:J206, $B$2:C206, C206)</f>
        <v>0.53857142857142859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AVERAGEIFS($I$2:J207, $B$2:C207, C207)</f>
        <v>0.54749999999999999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AVERAGEIFS($I$2:J208, $B$2:C208, C208)</f>
        <v>0.53444444444444439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AVERAGEIFS($I$2:J209, $B$2:C209, C209)</f>
        <v>0.52272727272727271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AVERAGEIFS($I$2:J210, $B$2:C210, C210)</f>
        <v>0.45899999999999996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AVERAGEIFS($I$2:J211, $B$2:C211, C211)</f>
        <v>0.54625000000000001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AVERAGEIFS($I$2:J212, $B$2:C212, C212)</f>
        <v>0.52888888888888885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AVERAGEIFS($I$2:J213, $B$2:C213, C213)</f>
        <v>0.4527272727272727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AVERAGEIFS($I$2:J214, $B$2:C214, C214)</f>
        <v>0.31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AVERAGEIFS($I$2:J215, $B$2:C215, C215)</f>
        <v>0.56000000000000005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AVERAGEIFS($I$2:J216, $B$2:C216, C216)</f>
        <v>0.42500000000000004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AVERAGEIFS($I$2:J217, $B$2:C217, C217)</f>
        <v>0.49615384615384611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AVERAGEIFS($I$2:J218, $B$2:C218, C218)</f>
        <v>0.58250000000000002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AVERAGEIFS($I$2:J219, $B$2:C219, C219)</f>
        <v>0.52799999999999991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AVERAGEIFS($I$2:J220, $B$2:C220, C220)</f>
        <v>0.52727272727272723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AVERAGEIFS($I$2:J221, $B$2:C221, C221)</f>
        <v>0.45833333333333331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AVERAGEIFS($I$2:J222, $B$2:C222, C222)</f>
        <v>0.52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AVERAGEIFS($I$2:J223, $B$2:C223, C223)</f>
        <v>0.48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AVERAGEIFS($I$2:J224, $B$2:C224, C224)</f>
        <v>0.48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AVERAGEIFS($I$2:J225, $B$2:C225, C225)</f>
        <v>0.47857142857142859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AVERAGEIFS($I$2:J226, $B$2:C226, C226)</f>
        <v>0.51249999999999996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AVERAGEIFS($I$2:J227, $B$2:C227, C227)</f>
        <v>0.50888888888888895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AVERAGEIFS($I$2:J228, $B$2:C228, C228)</f>
        <v>0.501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AVERAGEIFS($I$2:J229, $B$2:C229, C229)</f>
        <v>0.54142857142857148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AVERAGEIFS($I$2:J230, $B$2:C230, C230)</f>
        <v>0.41749999999999998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AVERAGEIFS($I$2:J231, $B$2:C231, C231)</f>
        <v>0.48142857142857137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AVERAGEIFS($I$2:J232, $B$2:C232, C232)</f>
        <v>0.48124999999999996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AVERAGEIFS($I$2:J233, $B$2:C233, C233)</f>
        <v>0.52333333333333332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AVERAGEIFS($I$2:J234, $B$2:C234, C234)</f>
        <v>0.51916666666666667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AVERAGEIFS($I$2:J235, $B$2:C235, C235)</f>
        <v>0.52375000000000016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AVERAGEIFS($I$2:J236, $B$2:C236, C236)</f>
        <v>0.48555555555555546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AVERAGEIFS($I$2:J237, $B$2:C237, C237)</f>
        <v>0.54666666666666675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AVERAGEIFS($I$2:J238, $B$2:C238, C238)</f>
        <v>0.54600000000000004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AVERAGEIFS($I$2:J239, $B$2:C239, C239)</f>
        <v>0.57555555555555549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AVERAGEIFS($I$2:J240, $B$2:C240, C240)</f>
        <v>0.51923076923076927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AVERAGEIFS($I$2:J241, $B$2:C241, C241)</f>
        <v>0.56500000000000006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AVERAGEIFS($I$2:J242, $B$2:C242, C242)</f>
        <v>0.57999999999999996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AVERAGEIFS($I$2:J243, $B$2:C243, C243)</f>
        <v>0.56800000000000006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AVERAGEIFS($I$2:J244, $B$2:C244, C244)</f>
        <v>0.56399999999999995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AVERAGEIFS($I$2:J245, $B$2:C245, C245)</f>
        <v>0.57599999999999996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AVERAGEIFS($I$2:J246, $B$2:C246, C246)</f>
        <v>0.4546153846153847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AVERAGEIFS($I$2:J247, $B$2:C247, C247)</f>
        <v>0.53899999999999992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AVERAGEIFS($I$2:J248, $B$2:C248, C248)</f>
        <v>0.46769230769230768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AVERAGEIFS($I$2:J249, $B$2:C249, C249)</f>
        <v>0.42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AVERAGEIFS($I$2:J250, $B$2:C250, C250)</f>
        <v>0.43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AVERAGEIFS($I$2:J251, $B$2:C251, C251)</f>
        <v>0.42333333333333334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AVERAGEIFS($I$2:J252, $B$2:C252, C252)</f>
        <v>0.53333333333333333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AVERAGEIFS($I$2:J253, $B$2:C253, C253)</f>
        <v>0.5066666666666666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AVERAGEIFS($I$2:J254, $B$2:C254, C254)</f>
        <v>0.48461538461538461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AVERAGEIFS($I$2:J255, $B$2:C255, C255)</f>
        <v>0.5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AVERAGEIFS($I$2:J256, $B$2:C256, C256)</f>
        <v>0.56181818181818177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AVERAGEIFS($I$2:J257, $B$2:C257, C257)</f>
        <v>0.57999999999999996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AVERAGEIFS($I$2:J258, $B$2:C258, C258)</f>
        <v>0.54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AVERAGEIFS($I$2:J259, $B$2:C259, C259)</f>
        <v>0.51714285714285713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AVERAGEIFS($I$2:J260, $B$2:C260, C260)</f>
        <v>0.59800000000000009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AVERAGEIFS($I$2:J261, $B$2:C261, C261)</f>
        <v>0.43555555555555553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AVERAGEIFS($I$2:J262, $B$2:C262, C262)</f>
        <v>0.46250000000000002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AVERAGEIFS($I$2:J263, $B$2:C263, C263)</f>
        <v>0.47899999999999993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AVERAGEIFS($I$2:J264, $B$2:C264, C264)</f>
        <v>0.47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AVERAGEIFS($I$2:J265, $B$2:C265, C265)</f>
        <v>0.54999999999999993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AVERAGEIFS($I$2:J266, $B$2:C266, C266)</f>
        <v>0.53999999999999992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AVERAGEIFS($I$2:J267, $B$2:C267, C267)</f>
        <v>0.52500000000000002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AVERAGEIFS($I$2:J268, $B$2:C268, C268)</f>
        <v>0.53142857142857136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AVERAGEIFS($I$2:J269, $B$2:C269, C269)</f>
        <v>0.44785714285714295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AVERAGEIFS($I$2:J270, $B$2:C270, C270)</f>
        <v>0.4872727272727273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AVERAGEIFS($I$2:J271, $B$2:C271, C271)</f>
        <v>0.5078571428571429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AVERAGEIFS($I$2:J272, $B$2:C272, C272)</f>
        <v>0.52272727272727271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AVERAGEIFS($I$2:J273, $B$2:C273, C273)</f>
        <v>0.50142857142857145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AVERAGEIFS($I$2:J274, $B$2:C274, C274)</f>
        <v>0.49875000000000003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AVERAGEIFS($I$2:J275, $B$2:C275, C275)</f>
        <v>0.53249999999999997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AVERAGEIFS($I$2:J276, $B$2:C276, C276)</f>
        <v>0.49571428571428566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AVERAGEIFS($I$2:J277, $B$2:C277, C277)</f>
        <v>0.60181818181818181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AVERAGEIFS($I$2:J278, $B$2:C278, C278)</f>
        <v>0.53666666666666674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AVERAGEIFS($I$2:J279, $B$2:C279, C279)</f>
        <v>0.60499999999999998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AVERAGEIFS($I$2:J280, $B$2:C280, C280)</f>
        <v>0.55374999999999996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AVERAGEIFS($I$2:J281, $B$2:C281, C281)</f>
        <v>0.58846153846153837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AVERAGEIFS($I$2:J282, $B$2:C282, C282)</f>
        <v>0.52199999999999991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AVERAGEIFS($I$2:J283, $B$2:C283, C283)</f>
        <v>0.44800000000000006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AVERAGEIFS($I$2:J284, $B$2:C284, C284)</f>
        <v>0.47090909090909078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AVERAGEIFS($I$2:J285, $B$2:C285, C285)</f>
        <v>0.52153846153846151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AVERAGEIFS($I$2:J286, $B$2:C286, C286)</f>
        <v>0.51214285714285712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AVERAGEIFS($I$2:J287, $B$2:C287, C287)</f>
        <v>0.47499999999999998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AVERAGEIFS($I$2:J288, $B$2:C288, C288)</f>
        <v>0.52749999999999997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AVERAGEIFS($I$2:J289, $B$2:C289, C289)</f>
        <v>0.53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AVERAGEIFS($I$2:J290, $B$2:C290, C290)</f>
        <v>0.47785714285714287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AVERAGEIFS($I$2:J291, $B$2:C291, C291)</f>
        <v>0.54400000000000015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AVERAGEIFS($I$2:J292, $B$2:C292, C292)</f>
        <v>0.51090909090909087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AVERAGEIFS($I$2:J293, $B$2:C293, C293)</f>
        <v>0.48928571428571427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AVERAGEIFS($I$2:J294, $B$2:C294, C294)</f>
        <v>0.52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AVERAGEIFS($I$2:J295, $B$2:C295, C295)</f>
        <v>0.57499999999999996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AVERAGEIFS($I$2:J296, $B$2:C296, C296)</f>
        <v>0.5006666666666667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AVERAGEIFS($I$2:J297, $B$2:C297, C297)</f>
        <v>0.49437500000000006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AVERAGEIFS($I$2:J298, $B$2:C298, C298)</f>
        <v>0.4933333333333334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AVERAGEIFS($I$2:J299, $B$2:C299, C299)</f>
        <v>0.48874999999999996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AVERAGEIFS($I$2:J300, $B$2:C300, C300)</f>
        <v>0.52444444444444438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AVERAGEIFS($I$2:J301, $B$2:C301, C301)</f>
        <v>0.46533333333333338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AVERAGEIFS($I$2:J302, $B$2:C302, C302)</f>
        <v>0.55599999999999983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AVERAGEIFS($I$2:J303, $B$2:C303, C303)</f>
        <v>0.43733333333333341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AVERAGEIFS($I$2:J304, $B$2:C304, C304)</f>
        <v>0.49249999999999999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AVERAGEIFS($I$2:J305, $B$2:C305, C305)</f>
        <v>0.501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AVERAGEIFS($I$2:J306, $B$2:C306, C306)</f>
        <v>0.50705882352941178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AVERAGEIFS($I$2:J307, $B$2:C307, C307)</f>
        <v>0.48062500000000002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AVERAGEIFS($I$2:J308, $B$2:C308, C308)</f>
        <v>0.52533333333333332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AVERAGEIFS($I$2:J309, $B$2:C309, C309)</f>
        <v>0.49411764705882355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AVERAGEIFS($I$2:J310, $B$2:C310, C310)</f>
        <v>0.4916666666666667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AVERAGEIFS($I$2:J311, $B$2:C311, C311)</f>
        <v>0.55099999999999993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AVERAGEIFS($I$2:J312, $B$2:C312, C312)</f>
        <v>0.58272727272727276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AVERAGEIFS($I$2:J313, $B$2:C313, C313)</f>
        <v>0.52181818181818185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AVERAGEIFS($I$2:J314, $B$2:C314, C314)</f>
        <v>0.52384615384615385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AVERAGEIFS($I$2:J315, $B$2:C315, C315)</f>
        <v>0.53727272727272724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AVERAGEIFS($I$2:J316, $B$2:C316, C316)</f>
        <v>0.5675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AVERAGEIFS($I$2:J317, $B$2:C317, C317)</f>
        <v>0.59307692307692317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AVERAGEIFS($I$2:J318, $B$2:C318, C318)</f>
        <v>0.56499999999999995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AVERAGEIFS($I$2:J319, $B$2:C319, C319)</f>
        <v>0.45400000000000001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AVERAGEIFS($I$2:J320, $B$2:C320, C320)</f>
        <v>0.49874999999999992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AVERAGEIFS($I$2:J321, $B$2:C321, C321)</f>
        <v>0.55785714285714294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AVERAGEIFS($I$2:J322, $B$2:C322, C322)</f>
        <v>0.40199999999999997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AVERAGEIFS($I$2:J323, $B$2:C323, C323)</f>
        <v>0.44555555555555554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AVERAGEIFS($I$2:J324, $B$2:C324, C324)</f>
        <v>0.5133333333333332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AVERAGEIFS($I$2:J325, $B$2:C325, C325)</f>
        <v>0.31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AVERAGEIFS($I$2:J326, $B$2:C326, C326)</f>
        <v>0.58416666666666661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AVERAGEIFS($I$2:J327, $B$2:C327, C327)</f>
        <v>0.48166666666666652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AVERAGEIFS($I$2:J328, $B$2:C328, C328)</f>
        <v>0.52833333333333332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AVERAGEIFS($I$2:J329, $B$2:C329, C329)</f>
        <v>0.53384615384615386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AVERAGEIFS($I$2:J330, $B$2:C330, C330)</f>
        <v>0.5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AVERAGEIFS($I$2:J331, $B$2:C331, C331)</f>
        <v>0.44750000000000006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AVERAGEIFS($I$2:J332, $B$2:C332, C332)</f>
        <v>0.46875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AVERAGEIFS($I$2:J333, $B$2:C333, C333)</f>
        <v>0.44470588235294128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AVERAGEIFS($I$2:J334, $B$2:C334, C334)</f>
        <v>0.44222222222222229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AVERAGEIFS($I$2:J335, $B$2:C335, C335)</f>
        <v>0.50111111111111117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AVERAGEIFS($I$2:J336, $B$2:C336, C336)</f>
        <v>0.48000000000000004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AVERAGEIFS($I$2:J337, $B$2:C337, C337)</f>
        <v>0.51500000000000001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AVERAGEIFS($I$2:J338, $B$2:C338, C338)</f>
        <v>0.57999999999999996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AVERAGEIFS($I$2:J339, $B$2:C339, C339)</f>
        <v>0.55749999999999988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AVERAGEIFS($I$2:J340, $B$2:C340, C340)</f>
        <v>0.50421052631578944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AVERAGEIFS($I$2:J341, $B$2:C341, C341)</f>
        <v>0.50800000000000001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AVERAGEIFS($I$2:J342, $B$2:C342, C342)</f>
        <v>0.51142857142857145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AVERAGEIFS($I$2:J343, $B$2:C343, C343)</f>
        <v>0.46545454545454545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AVERAGEIFS($I$2:J344, $B$2:C344, C344)</f>
        <v>0.48142857142857143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AVERAGEIFS($I$2:J345, $B$2:C345, C345)</f>
        <v>0.48466666666666663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AVERAGEIFS($I$2:J346, $B$2:C346, C346)</f>
        <v>0.52214285714285713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AVERAGEIFS($I$2:J347, $B$2:C347, C347)</f>
        <v>0.57153846153846155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AVERAGEIFS($I$2:J348, $B$2:C348, C348)</f>
        <v>0.49684210526315797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AVERAGEIFS($I$2:J349, $B$2:C349, C349)</f>
        <v>0.50866666666666671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AVERAGEIFS($I$2:J350, $B$2:C350, C350)</f>
        <v>0.59250000000000003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AVERAGEIFS($I$2:J351, $B$2:C351, C351)</f>
        <v>0.58285714285714285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AVERAGEIFS($I$2:J352, $B$2:C352, C352)</f>
        <v>0.45736842105263165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AVERAGEIFS($I$2:J353, $B$2:C353, C353)</f>
        <v>0.47100000000000009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AVERAGEIFS($I$2:J354, $B$2:C354, C354)</f>
        <v>0.56933333333333336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AVERAGEIFS($I$2:J355, $B$2:C355, C355)</f>
        <v>0.5149999999999999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AVERAGEIFS($I$2:J356, $B$2:C356, C356)</f>
        <v>0.49866666666666659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AVERAGEIFS($I$2:J357, $B$2:C357, C357)</f>
        <v>0.46384615384615391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AVERAGEIFS($I$2:J358, $B$2:C358, C358)</f>
        <v>0.55062500000000003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AVERAGEIFS($I$2:J359, $B$2:C359, C359)</f>
        <v>0.42799999999999994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AVERAGEIFS($I$2:J360, $B$2:C360, C360)</f>
        <v>0.55333333333333334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AVERAGEIFS($I$2:J361, $B$2:C361, C361)</f>
        <v>0.48222222222222222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AVERAGEIFS($I$2:J362, $B$2:C362, C362)</f>
        <v>0.59199999999999997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AVERAGEIFS($I$2:J363, $B$2:C363, C363)</f>
        <v>0.55941176470588228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AVERAGEIFS($I$2:J364, $B$2:C364, C364)</f>
        <v>0.58333333333333337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AVERAGEIFS($I$2:J365, $B$2:C365, C365)</f>
        <v>0.48999999999999988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AVERAGEIFS($I$2:J366, $B$2:C366, C366)</f>
        <v>0.50437499999999991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AVERAGEIFS($I$2:J367, $B$2:C367, C367)</f>
        <v>0.50150000000000006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AVERAGEIFS($I$2:J368, $B$2:C368, C368)</f>
        <v>0.50750000000000006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AVERAGEIFS($I$2:J369, $B$2:C369, C369)</f>
        <v>0.54166666666666674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AVERAGEIFS($I$2:J370, $B$2:C370, C370)</f>
        <v>0.48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AVERAGEIFS($I$2:J371, $B$2:C371, C371)</f>
        <v>0.551111111111111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AVERAGEIFS($I$2:J372, $B$2:C372, C372)</f>
        <v>0.49882352941176461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AVERAGEIFS($I$2:J373, $B$2:C373, C373)</f>
        <v>0.50681818181818183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AVERAGEIFS($I$2:J374, $B$2:C374, C374)</f>
        <v>0.50260869565217392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AVERAGEIFS($I$2:J375, $B$2:C375, C375)</f>
        <v>0.49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AVERAGEIFS($I$2:J376, $B$2:C376, C376)</f>
        <v>0.46416666666666667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AVERAGEIFS($I$2:J377, $B$2:C377, C377)</f>
        <v>0.51611111111111108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AVERAGEIFS($I$2:J378, $B$2:C378, C378)</f>
        <v>0.496111111111111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AVERAGEIFS($I$2:J379, $B$2:C379, C379)</f>
        <v>0.46285714285714297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AVERAGEIFS($I$2:J380, $B$2:C380, C380)</f>
        <v>0.505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AVERAGEIFS($I$2:J381, $B$2:C381, C381)</f>
        <v>0.54470588235294115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AVERAGEIFS($I$2:J382, $B$2:C382, C382)</f>
        <v>0.49894736842105258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AVERAGEIFS($I$2:J383, $B$2:C383, C383)</f>
        <v>0.50458333333333338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AVERAGEIFS($I$2:J384, $B$2:C384, C384)</f>
        <v>0.52399999999999991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AVERAGEIFS($I$2:J385, $B$2:C385, C385)</f>
        <v>0.47076923076923077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AVERAGEIFS($I$2:J386, $B$2:C386, C386)</f>
        <v>0.50380952380952393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AVERAGEIFS($I$2:J387, $B$2:C387, C387)</f>
        <v>0.43909090909090903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AVERAGEIFS($I$2:J388, $B$2:C388, C388)</f>
        <v>0.58750000000000002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AVERAGEIFS($I$2:J389, $B$2:C389, C389)</f>
        <v>0.50750000000000006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AVERAGEIFS($I$2:J390, $B$2:C390, C390)</f>
        <v>0.50299999999999989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AVERAGEIFS($I$2:J391, $B$2:C391, C391)</f>
        <v>0.53437499999999993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AVERAGEIFS($I$2:J392, $B$2:C392, C392)</f>
        <v>0.54352941176470582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AVERAGEIFS($I$2:J393, $B$2:C393, C393)</f>
        <v>0.5099999999999999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AVERAGEIFS($I$2:J394, $B$2:C394, C394)</f>
        <v>0.40666666666666668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AVERAGEIFS($I$2:J395, $B$2:C395, C395)</f>
        <v>0.47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AVERAGEIFS($I$2:J396, $B$2:C396, C396)</f>
        <v>0.47714285714285698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AVERAGEIFS($I$2:J397, $B$2:C397, C397)</f>
        <v>0.49680000000000007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AVERAGEIFS($I$2:J398, $B$2:C398, C398)</f>
        <v>0.45928571428571424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AVERAGEIFS($I$2:J399, $B$2:C399, C399)</f>
        <v>0.49888888888888883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AVERAGEIFS($I$2:J400, $B$2:C400, C400)</f>
        <v>0.5149999999999999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AVERAGEIFS($I$2:J401, $B$2:C401, C401)</f>
        <v>0.53210526315789475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AVERAGEIFS($I$2:J402, $B$2:C402, C402)</f>
        <v>0.48761904761904773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AVERAGEIFS($I$2:J403, $B$2:C403, C403)</f>
        <v>0.5181818181818183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AVERAGEIFS($I$2:J404, $B$2:C404, C404)</f>
        <v>0.44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AVERAGEIFS($I$2:J405, $B$2:C405, C405)</f>
        <v>0.5344444444444445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AVERAGEIFS($I$2:J406, $B$2:C406, C406)</f>
        <v>0.52444444444444438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AVERAGEIFS($I$2:J407, $B$2:C407, C407)</f>
        <v>0.47363636363636369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AVERAGEIFS($I$2:J408, $B$2:C408, C408)</f>
        <v>0.48210526315789465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AVERAGEIFS($I$2:J409, $B$2:C409, C409)</f>
        <v>0.50631578947368416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AVERAGEIFS($I$2:J410, $B$2:C410, C410)</f>
        <v>0.3166666666666666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AVERAGEIFS($I$2:J411, $B$2:C411, C411)</f>
        <v>0.48999999999999994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AVERAGEIFS($I$2:J412, $B$2:C412, C412)</f>
        <v>0.42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AVERAGEIFS($I$2:J413, $B$2:C413, C413)</f>
        <v>0.5557894736842105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AVERAGEIFS($I$2:J414, $B$2:C414, C414)</f>
        <v>0.53749999999999998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AVERAGEIFS($I$2:J415, $B$2:C415, C415)</f>
        <v>0.45666666666666661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AVERAGEIFS($I$2:J416, $B$2:C416, C416)</f>
        <v>0.54500000000000004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AVERAGEIFS($I$2:J417, $B$2:C417, C417)</f>
        <v>0.47133333333333327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AVERAGEIFS($I$2:J418, $B$2:C418, C418)</f>
        <v>0.64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AVERAGEIFS($I$2:J419, $B$2:C419, C419)</f>
        <v>0.481875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AVERAGEIFS($I$2:J420, $B$2:C420, C420)</f>
        <v>0.46437499999999998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AVERAGEIFS($I$2:J421, $B$2:C421, C421)</f>
        <v>0.46869565217391307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AVERAGEIFS($I$2:J422, $B$2:C422, C422)</f>
        <v>0.44923076923076921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AVERAGEIFS($I$2:J423, $B$2:C423, C423)</f>
        <v>0.51130434782608702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AVERAGEIFS($I$2:J424, $B$2:C424, C424)</f>
        <v>0.32285714285714284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AVERAGEIFS($I$2:J425, $B$2:C425, C425)</f>
        <v>0.51454545454545453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AVERAGEIFS($I$2:J426, $B$2:C426, C426)</f>
        <v>0.52047619047619043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AVERAGEIFS($I$2:J427, $B$2:C427, C427)</f>
        <v>0.51235294117647068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AVERAGEIFS($I$2:J428, $B$2:C428, C428)</f>
        <v>0.50192307692307703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AVERAGEIFS($I$2:J429, $B$2:C429, C429)</f>
        <v>0.52499999999999991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AVERAGEIFS($I$2:J430, $B$2:C430, C430)</f>
        <v>0.53454545454545443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AVERAGEIFS($I$2:J431, $B$2:C431, C431)</f>
        <v>0.53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AVERAGEIFS($I$2:J432, $B$2:C432, C432)</f>
        <v>0.47699999999999998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AVERAGEIFS($I$2:J433, $B$2:C433, C433)</f>
        <v>0.43416666666666659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AVERAGEIFS($I$2:J434, $B$2:C434, C434)</f>
        <v>0.42999999999999994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AVERAGEIFS($I$2:J435, $B$2:C435, C435)</f>
        <v>0.48476190476190473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AVERAGEIFS($I$2:J436, $B$2:C436, C436)</f>
        <v>0.47066666666666651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AVERAGEIFS($I$2:J437, $B$2:C437, C437)</f>
        <v>0.49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AVERAGEIFS($I$2:J438, $B$2:C438, C438)</f>
        <v>0.53388888888888897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AVERAGEIFS($I$2:J439, $B$2:C439, C439)</f>
        <v>0.39499999999999996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AVERAGEIFS($I$2:J440, $B$2:C440, C440)</f>
        <v>0.49714285714285711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AVERAGEIFS($I$2:J441, $B$2:C441, C441)</f>
        <v>0.45111111111111107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AVERAGEIFS($I$2:J442, $B$2:C442, C442)</f>
        <v>0.46357142857142852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AVERAGEIFS($I$2:J443, $B$2:C443, C443)</f>
        <v>0.34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AVERAGEIFS($I$2:J444, $B$2:C444, C444)</f>
        <v>0.41599999999999993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AVERAGEIFS($I$2:J445, $B$2:C445, C445)</f>
        <v>0.50454545454545452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AVERAGEIFS($I$2:J446, $B$2:C446, C446)</f>
        <v>0.26800000000000002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AVERAGEIFS($I$2:J447, $B$2:C447, C447)</f>
        <v>0.49833333333333324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AVERAGEIFS($I$2:J448, $B$2:C448, C448)</f>
        <v>0.47083333333333327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AVERAGEIFS($I$2:J449, $B$2:C449, C449)</f>
        <v>0.56625000000000003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AVERAGEIFS($I$2:J450, $B$2:C450, C450)</f>
        <v>0.47681818181818181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AVERAGEIFS($I$2:J451, $B$2:C451, C451)</f>
        <v>0.45333333333333325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AVERAGEIFS($I$2:J452, $B$2:C452, C452)</f>
        <v>0.45846153846153836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AVERAGEIFS($I$2:J453, $B$2:C453, C453)</f>
        <v>0.43928571428571422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AVERAGEIFS($I$2:J454, $B$2:C454, C454)</f>
        <v>0.46062499999999984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AVERAGEIFS($I$2:J455, $B$2:C455, C455)</f>
        <v>0.49411764705882355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AVERAGEIFS($I$2:J456, $B$2:C456, C456)</f>
        <v>0.55166666666666653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AVERAGEIFS($I$2:J457, $B$2:C457, C457)</f>
        <v>0.45600000000000002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AVERAGEIFS($I$2:J458, $B$2:C458, C458)</f>
        <v>0.50111111111111106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AVERAGEIFS($I$2:J459, $B$2:C459, C459)</f>
        <v>0.505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AVERAGEIFS($I$2:J460, $B$2:C460, C460)</f>
        <v>0.51875000000000004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AVERAGEIFS($I$2:J461, $B$2:C461, C461)</f>
        <v>0.50962962962962965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AVERAGEIFS($I$2:J462, $B$2:C462, C462)</f>
        <v>0.44272727272727264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AVERAGEIFS($I$2:J463, $B$2:C463, C463)</f>
        <v>0.47187499999999999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AVERAGEIFS($I$2:J464, $B$2:C464, C464)</f>
        <v>0.47933333333333344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AVERAGEIFS($I$2:J465, $B$2:C465, C465)</f>
        <v>0.52639999999999998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AVERAGEIFS($I$2:J466, $B$2:C466, C466)</f>
        <v>0.27166666666666667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AVERAGEIFS($I$2:J467, $B$2:C467, C467)</f>
        <v>0.44312499999999994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AVERAGEIFS($I$2:J468, $B$2:C468, C468)</f>
        <v>0.52090909090909099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AVERAGEIFS($I$2:J469, $B$2:C469, C469)</f>
        <v>0.51730769230769225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AVERAGEIFS($I$2:J470, $B$2:C470, C470)</f>
        <v>0.50888888888888884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AVERAGEIFS($I$2:J471, $B$2:C471, C471)</f>
        <v>0.50157894736842101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AVERAGEIFS($I$2:J472, $B$2:C472, C472)</f>
        <v>0.56666666666666665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AVERAGEIFS($I$2:J473, $B$2:C473, C473)</f>
        <v>0.49454545454545451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AVERAGEIFS($I$2:J474, $B$2:C474, C474)</f>
        <v>0.50642857142857134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AVERAGEIFS($I$2:J475, $B$2:C475, C475)</f>
        <v>0.47000000000000003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AVERAGEIFS($I$2:J476, $B$2:C476, C476)</f>
        <v>0.36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AVERAGEIFS($I$2:J477, $B$2:C477, C477)</f>
        <v>0.55210526315789465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AVERAGEIFS($I$2:J478, $B$2:C478, C478)</f>
        <v>0.55249999999999999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AVERAGEIFS($I$2:J479, $B$2:C479, C479)</f>
        <v>0.50421052631578944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AVERAGEIFS($I$2:J480, $B$2:C480, C480)</f>
        <v>0.50700000000000001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AVERAGEIFS($I$2:J481, $B$2:C481, C481)</f>
        <v>0.49739130434782608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AVERAGEIFS($I$2:J482, $B$2:C482, C482)</f>
        <v>0.48043478260869571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AVERAGEIFS($I$2:J483, $B$2:C483, C483)</f>
        <v>0.53727272727272724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AVERAGEIFS($I$2:J484, $B$2:C484, C484)</f>
        <v>0.57352941176470584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AVERAGEIFS($I$2:J485, $B$2:C485, C485)</f>
        <v>0.51275862068965505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AVERAGEIFS($I$2:J486, $B$2:C486, C486)</f>
        <v>0.48916666666666669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AVERAGEIFS($I$2:J487, $B$2:C487, C487)</f>
        <v>0.48222222222222222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AVERAGEIFS($I$2:J488, $B$2:C488, C488)</f>
        <v>0.54095238095238096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AVERAGEIFS($I$2:J489, $B$2:C489, C489)</f>
        <v>0.51090909090909087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AVERAGEIFS($I$2:J490, $B$2:C490, C490)</f>
        <v>0.49761904761904768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AVERAGEIFS($I$2:J491, $B$2:C491, C491)</f>
        <v>0.50333333333333341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AVERAGEIFS($I$2:J492, $B$2:C492, C492)</f>
        <v>0.43166666666666659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AVERAGEIFS($I$2:J493, $B$2:C493, C493)</f>
        <v>0.52357142857142869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AVERAGEIFS($I$2:J494, $B$2:C494, C494)</f>
        <v>0.53655172413793106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AVERAGEIFS($I$2:J495, $B$2:C495, C495)</f>
        <v>0.51590909090909098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AVERAGEIFS($I$2:J496, $B$2:C496, C496)</f>
        <v>0.5056250000000001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AVERAGEIFS($I$2:J497, $B$2:C497, C497)</f>
        <v>0.50560000000000005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AVERAGEIFS($I$2:J498, $B$2:C498, C498)</f>
        <v>0.49899999999999989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AVERAGEIFS($I$2:J499, $B$2:C499, C499)</f>
        <v>0.49782608695652181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AVERAGEIFS($I$2:J500, $B$2:C500, C500)</f>
        <v>0.46210526315789469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AVERAGEIFS($I$2:J501, $B$2:C501, C501)</f>
        <v>0.42294117647058815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AVERAGEIFS($I$2:J502, $B$2:C502, C502)</f>
        <v>0.46769230769230757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AVERAGEIFS($I$2:J503, $B$2:C503, C503)</f>
        <v>0.46999999999999992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AVERAGEIFS($I$2:J504, $B$2:C504, C504)</f>
        <v>0.44999999999999996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AVERAGEIFS($I$2:J505, $B$2:C505, C505)</f>
        <v>0.51391304347826083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AVERAGEIFS($I$2:J506, $B$2:C506, C506)</f>
        <v>0.51666666666666672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AVERAGEIFS($I$2:J507, $B$2:C507, C507)</f>
        <v>0.50161290322580632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AVERAGEIFS($I$2:J508, $B$2:C508, C508)</f>
        <v>0.50846153846153852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AVERAGEIFS($I$2:J509, $B$2:C509, C509)</f>
        <v>0.46799999999999997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AVERAGEIFS($I$2:J510, $B$2:C510, C510)</f>
        <v>0.47571428571428559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AVERAGEIFS($I$2:J511, $B$2:C511, C511)</f>
        <v>0.5066666666666666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AVERAGEIFS($I$2:J512, $B$2:C512, C512)</f>
        <v>0.46722222222222221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AVERAGEIFS($I$2:J513, $B$2:C513, C513)</f>
        <v>0.53266666666666673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AVERAGEIFS($I$2:J514, $B$2:C514, C514)</f>
        <v>0.49906249999999991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AVERAGEIFS($I$2:J515, $B$2:C515, C515)</f>
        <v>0.49458333333333337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AVERAGEIFS($I$2:J516, $B$2:C516, C516)</f>
        <v>0.50058823529411778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AVERAGEIFS($I$2:J517, $B$2:C517, C517)</f>
        <v>0.49611111111111117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AVERAGEIFS($I$2:J518, $B$2:C518, C518)</f>
        <v>0.52789473684210531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AVERAGEIFS($I$2:J519, $B$2:C519, C519)</f>
        <v>0.5099999999999999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AVERAGEIFS($I$2:J520, $B$2:C520, C520)</f>
        <v>0.51800000000000002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AVERAGEIFS($I$2:J521, $B$2:C521, C521)</f>
        <v>0.5722222222222223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AVERAGEIFS($I$2:J522, $B$2:C522, C522)</f>
        <v>0.51923076923076927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AVERAGEIFS($I$2:J523, $B$2:C523, C523)</f>
        <v>0.53322580645161299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AVERAGEIFS($I$2:J524, $B$2:C524, C524)</f>
        <v>0.47208333333333341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AVERAGEIFS($I$2:J525, $B$2:C525, C525)</f>
        <v>0.55000000000000004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AVERAGEIFS($I$2:J526, $B$2:C526, C526)</f>
        <v>0.52857142857142869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AVERAGEIFS($I$2:J527, $B$2:C527, C527)</f>
        <v>0.52400000000000002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AVERAGEIFS($I$2:J528, $B$2:C528, C528)</f>
        <v>0.4975757575757575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AVERAGEIFS($I$2:J529, $B$2:C529, C529)</f>
        <v>0.54500000000000004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AVERAGEIFS($I$2:J530, $B$2:C530, C530)</f>
        <v>0.49617647058823522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AVERAGEIFS($I$2:J531, $B$2:C531, C531)</f>
        <v>0.52913043478260868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AVERAGEIFS($I$2:J532, $B$2:C532, C532)</f>
        <v>0.46105263157894738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AVERAGEIFS($I$2:J533, $B$2:C533, C533)</f>
        <v>0.56052631578947365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AVERAGEIFS($I$2:J534, $B$2:C534, C534)</f>
        <v>0.48880000000000001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AVERAGEIFS($I$2:J535, $B$2:C535, C535)</f>
        <v>0.49399999999999994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AVERAGEIFS($I$2:J536, $B$2:C536, C536)</f>
        <v>0.48842105263157903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AVERAGEIFS($I$2:J537, $B$2:C537, C537)</f>
        <v>0.56500000000000006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AVERAGEIFS($I$2:J538, $B$2:C538, C538)</f>
        <v>0.55999999999999994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AVERAGEIFS($I$2:J539, $B$2:C539, C539)</f>
        <v>0.5605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AVERAGEIFS($I$2:J540, $B$2:C540, C540)</f>
        <v>0.56476190476190469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AVERAGEIFS($I$2:J541, $B$2:C541, C541)</f>
        <v>0.47666666666666668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AVERAGEIFS($I$2:J542, $B$2:C542, C542)</f>
        <v>0.50057142857142845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AVERAGEIFS($I$2:J543, $B$2:C543, C543)</f>
        <v>0.53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AVERAGEIFS($I$2:J544, $B$2:C544, C544)</f>
        <v>0.54875000000000007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AVERAGEIFS($I$2:J545, $B$2:C545, C545)</f>
        <v>0.5636363636363636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AVERAGEIFS($I$2:J546, $B$2:C546, C546)</f>
        <v>0.52000000000000013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AVERAGEIFS($I$2:J547, $B$2:C547, C547)</f>
        <v>0.49099999999999999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AVERAGEIFS($I$2:J548, $B$2:C548, C548)</f>
        <v>0.52476190476190476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AVERAGEIFS($I$2:J549, $B$2:C549, C549)</f>
        <v>0.59000000000000008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AVERAGEIFS($I$2:J550, $B$2:C550, C550)</f>
        <v>0.54749999999999999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AVERAGEIFS($I$2:J551, $B$2:C551, C551)</f>
        <v>0.56000000000000005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AVERAGEIFS($I$2:J552, $B$2:C552, C552)</f>
        <v>0.55545454545454553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AVERAGEIFS($I$2:J553, $B$2:C553, C553)</f>
        <v>0.46058823529411752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AVERAGEIFS($I$2:J554, $B$2:C554, C554)</f>
        <v>0.49944444444444436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AVERAGEIFS($I$2:J555, $B$2:C555, C555)</f>
        <v>0.49238095238095236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AVERAGEIFS($I$2:J556, $B$2:C556, C556)</f>
        <v>0.52607142857142863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AVERAGEIFS($I$2:J557, $B$2:C557, C557)</f>
        <v>0.50459459459459455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AVERAGEIFS($I$2:J558, $B$2:C558, C558)</f>
        <v>0.5094736842105263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AVERAGEIFS($I$2:J559, $B$2:C559, C559)</f>
        <v>0.50047619047619052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AVERAGEIFS($I$2:J560, $B$2:C560, C560)</f>
        <v>0.50136363636363634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AVERAGEIFS($I$2:J561, $B$2:C561, C561)</f>
        <v>0.46560000000000007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AVERAGEIFS($I$2:J562, $B$2:C562, C562)</f>
        <v>0.4596153846153847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AVERAGEIFS($I$2:J563, $B$2:C563, C563)</f>
        <v>0.49304347826086958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AVERAGEIFS($I$2:J564, $B$2:C564, C564)</f>
        <v>0.50111111111111117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AVERAGEIFS($I$2:J565, $B$2:C565, C565)</f>
        <v>0.41666666666666657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AVERAGEIFS($I$2:J566, $B$2:C566, C566)</f>
        <v>0.48000000000000004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AVERAGEIFS($I$2:J567, $B$2:C567, C567)</f>
        <v>0.4522222222222223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AVERAGEIFS($I$2:J568, $B$2:C568, C568)</f>
        <v>0.48333333333333334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AVERAGEIFS($I$2:J569, $B$2:C569, C569)</f>
        <v>0.49250000000000005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AVERAGEIFS($I$2:J570, $B$2:C570, C570)</f>
        <v>0.48461538461538467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AVERAGEIFS($I$2:J571, $B$2:C571, C571)</f>
        <v>0.46857142857142858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AVERAGEIFS($I$2:J572, $B$2:C572, C572)</f>
        <v>0.47611111111111093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AVERAGEIFS($I$2:J573, $B$2:C573, C573)</f>
        <v>0.533448275862069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AVERAGEIFS($I$2:J574, $B$2:C574, C574)</f>
        <v>0.53791666666666671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AVERAGEIFS($I$2:J575, $B$2:C575, C575)</f>
        <v>0.49359999999999998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AVERAGEIFS($I$2:J576, $B$2:C576, C576)</f>
        <v>0.46250000000000008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AVERAGEIFS($I$2:J577, $B$2:C577, C577)</f>
        <v>0.48666666666666669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AVERAGEIFS($I$2:J578, $B$2:C578, C578)</f>
        <v>0.47241379310344839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AVERAGEIFS($I$2:J579, $B$2:C579, C579)</f>
        <v>0.49052631578947353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AVERAGEIFS($I$2:J580, $B$2:C580, C580)</f>
        <v>0.50137931034482763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AVERAGEIFS($I$2:J581, $B$2:C581, C581)</f>
        <v>0.54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AVERAGEIFS($I$2:J582, $B$2:C582, C582)</f>
        <v>0.43421052631578938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AVERAGEIFS($I$2:J583, $B$2:C583, C583)</f>
        <v>0.55045454545454542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AVERAGEIFS($I$2:J584, $B$2:C584, C584)</f>
        <v>0.51564102564102565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AVERAGEIFS($I$2:J585, $B$2:C585, C585)</f>
        <v>0.50791666666666668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AVERAGEIFS($I$2:J586, $B$2:C586, C586)</f>
        <v>0.46500000000000008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AVERAGEIFS($I$2:J587, $B$2:C587, C587)</f>
        <v>0.45806451612903237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AVERAGEIFS($I$2:J588, $B$2:C588, C588)</f>
        <v>0.48909090909090908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AVERAGEIFS($I$2:J589, $B$2:C589, C589)</f>
        <v>0.49759999999999999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AVERAGEIFS($I$2:J590, $B$2:C590, C590)</f>
        <v>0.45156250000000009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AVERAGEIFS($I$2:J591, $B$2:C591, C591)</f>
        <v>0.41769230769230759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AVERAGEIFS($I$2:J592, $B$2:C592, C592)</f>
        <v>0.51227272727272721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AVERAGEIFS($I$2:J593, $B$2:C593, C593)</f>
        <v>0.40571428571428564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AVERAGEIFS($I$2:J594, $B$2:C594, C594)</f>
        <v>0.45949999999999996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AVERAGEIFS($I$2:J595, $B$2:C595, C595)</f>
        <v>0.4920000000000001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AVERAGEIFS($I$2:J596, $B$2:C596, C596)</f>
        <v>0.45090909090909098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AVERAGEIFS($I$2:J597, $B$2:C597, C597)</f>
        <v>0.499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AVERAGEIFS($I$2:J598, $B$2:C598, C598)</f>
        <v>0.29428571428571432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AVERAGEIFS($I$2:J599, $B$2:C599, C599)</f>
        <v>0.49115384615384616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AVERAGEIFS($I$2:J600, $B$2:C600, C600)</f>
        <v>0.50869565217391299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AVERAGEIFS($I$2:J601, $B$2:C601, C601)</f>
        <v>0.54090909090909101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AVERAGEIFS($I$2:J602, $B$2:C602, C602)</f>
        <v>0.53920000000000001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AVERAGEIFS($I$2:J603, $B$2:C603, C603)</f>
        <v>0.45441176470588246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AVERAGEIFS($I$2:J604, $B$2:C604, C604)</f>
        <v>0.49449999999999983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AVERAGEIFS($I$2:J605, $B$2:C605, C605)</f>
        <v>0.49260869565217391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AVERAGEIFS($I$2:J606, $B$2:C606, C606)</f>
        <v>0.50038461538461543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AVERAGEIFS($I$2:J607, $B$2:C607, C607)</f>
        <v>0.55000000000000004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AVERAGEIFS($I$2:J608, $B$2:C608, C608)</f>
        <v>0.5344444444444445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AVERAGEIFS($I$2:J609, $B$2:C609, C609)</f>
        <v>0.51428571428571423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AVERAGEIFS($I$2:J610, $B$2:C610, C610)</f>
        <v>0.49192307692307696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AVERAGEIFS($I$2:J611, $B$2:C611, C611)</f>
        <v>0.50296296296296295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AVERAGEIFS($I$2:J612, $B$2:C612, C612)</f>
        <v>0.44099999999999995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AVERAGEIFS($I$2:J613, $B$2:C613, C613)</f>
        <v>0.43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AVERAGEIFS($I$2:J614, $B$2:C614, C614)</f>
        <v>0.53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AVERAGEIFS($I$2:J615, $B$2:C615, C615)</f>
        <v>0.51349999999999996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AVERAGEIFS($I$2:J616, $B$2:C616, C616)</f>
        <v>0.49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AVERAGEIFS($I$2:J617, $B$2:C617, C617)</f>
        <v>0.48888888888888887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AVERAGEIFS($I$2:J618, $B$2:C618, C618)</f>
        <v>0.40733333333333321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AVERAGEIFS($I$2:J619, $B$2:C619, C619)</f>
        <v>0.51380952380952372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AVERAGEIFS($I$2:J620, $B$2:C620, C620)</f>
        <v>0.54193548387096779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AVERAGEIFS($I$2:J621, $B$2:C621, C621)</f>
        <v>0.51714285714285713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AVERAGEIFS($I$2:J622, $B$2:C622, C622)</f>
        <v>0.50703703703703706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AVERAGEIFS($I$2:J623, $B$2:C623, C623)</f>
        <v>0.52500000000000002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AVERAGEIFS($I$2:J624, $B$2:C624, C624)</f>
        <v>0.52292682926829259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AVERAGEIFS($I$2:J625, $B$2:C625, C625)</f>
        <v>0.54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AVERAGEIFS($I$2:J626, $B$2:C626, C626)</f>
        <v>0.51285714285714279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AVERAGEIFS($I$2:J627, $B$2:C627, C627)</f>
        <v>0.47499999999999998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AVERAGEIFS($I$2:J628, $B$2:C628, C628)</f>
        <v>0.47439999999999999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AVERAGEIFS($I$2:J629, $B$2:C629, C629)</f>
        <v>0.45066666666666655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AVERAGEIFS($I$2:J630, $B$2:C630, C630)</f>
        <v>0.46250000000000002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AVERAGEIFS($I$2:J631, $B$2:C631, C631)</f>
        <v>0.52307692307692311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AVERAGEIFS($I$2:J632, $B$2:C632, C632)</f>
        <v>0.5032558139534884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AVERAGEIFS($I$2:J633, $B$2:C633, C633)</f>
        <v>0.49227272727272725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AVERAGEIFS($I$2:J634, $B$2:C634, C634)</f>
        <v>0.52399999999999991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AVERAGEIFS($I$2:J635, $B$2:C635, C635)</f>
        <v>0.55062500000000003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AVERAGEIFS($I$2:J636, $B$2:C636, C636)</f>
        <v>0.4876923076923077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AVERAGEIFS($I$2:J637, $B$2:C637, C637)</f>
        <v>0.55000000000000004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AVERAGEIFS($I$2:J638, $B$2:C638, C638)</f>
        <v>0.55878787878787883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AVERAGEIFS($I$2:J639, $B$2:C639, C639)</f>
        <v>0.53407407407407403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AVERAGEIFS($I$2:J640, $B$2:C640, C640)</f>
        <v>0.50935483870967746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AVERAGEIFS($I$2:J641, $B$2:C641, C641)</f>
        <v>0.50777777777777777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AVERAGEIFS($I$2:J642, $B$2:C642, C642)</f>
        <v>0.42857142857142849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AVERAGEIFS($I$2:J643, $B$2:C643, C643)</f>
        <v>0.54764705882352949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AVERAGEIFS($I$2:J644, $B$2:C644, C644)</f>
        <v>0.46482758620689651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AVERAGEIFS($I$2:J645, $B$2:C645, C645)</f>
        <v>0.50551724137931031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AVERAGEIFS($I$2:J646, $B$2:C646, C646)</f>
        <v>0.52142857142857146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AVERAGEIFS($I$2:J647, $B$2:C647, C647)</f>
        <v>0.5391304347826088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AVERAGEIFS($I$2:J648, $B$2:C648, C648)</f>
        <v>0.49535714285714288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AVERAGEIFS($I$2:J649, $B$2:C649, C649)</f>
        <v>0.56600000000000006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AVERAGEIFS($I$2:J650, $B$2:C650, C650)</f>
        <v>0.47166666666666662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AVERAGEIFS($I$2:J651, $B$2:C651, C651)</f>
        <v>0.54739130434782612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AVERAGEIFS($I$2:J652, $B$2:C652, C652)</f>
        <v>0.45514285714285724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AVERAGEIFS($I$2:J653, $B$2:C653, C653)</f>
        <v>0.4948275862068966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AVERAGEIFS($I$2:J654, $B$2:C654, C654)</f>
        <v>0.43090909090909085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AVERAGEIFS($I$2:J655, $B$2:C655, C655)</f>
        <v>0.46238095238095234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AVERAGEIFS($I$2:J656, $B$2:C656, C656)</f>
        <v>0.48399999999999999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AVERAGEIFS($I$2:J657, $B$2:C657, C657)</f>
        <v>0.46499999999999991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AVERAGEIFS($I$2:J658, $B$2:C658, C658)</f>
        <v>0.54625000000000001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AVERAGEIFS($I$2:J659, $B$2:C659, C659)</f>
        <v>0.45694444444444454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AVERAGEIFS($I$2:J660, $B$2:C660, C660)</f>
        <v>0.50600000000000001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AVERAGEIFS($I$2:J661, $B$2:C661, C661)</f>
        <v>0.53400000000000003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AVERAGEIFS($I$2:J662, $B$2:C662, C662)</f>
        <v>0.52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AVERAGEIFS($I$2:J663, $B$2:C663, C663)</f>
        <v>0.50599999999999989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AVERAGEIFS($I$2:J664, $B$2:C664, C664)</f>
        <v>0.54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AVERAGEIFS($I$2:J665, $B$2:C665, C665)</f>
        <v>0.53291666666666682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AVERAGEIFS($I$2:J666, $B$2:C666, C666)</f>
        <v>0.50818181818181807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AVERAGEIFS($I$2:J667, $B$2:C667, C667)</f>
        <v>0.50304347826086948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AVERAGEIFS($I$2:J668, $B$2:C668, C668)</f>
        <v>0.50225806451612909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AVERAGEIFS($I$2:J669, $B$2:C669, C669)</f>
        <v>0.50562499999999999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AVERAGEIFS($I$2:J670, $B$2:C670, C670)</f>
        <v>0.49142857142857138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AVERAGEIFS($I$2:J671, $B$2:C671, C671)</f>
        <v>0.54090909090909089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AVERAGEIFS($I$2:J672, $B$2:C672, C672)</f>
        <v>0.4986666666666667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AVERAGEIFS($I$2:J673, $B$2:C673, C673)</f>
        <v>0.53600000000000003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AVERAGEIFS($I$2:J674, $B$2:C674, C674)</f>
        <v>0.61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AVERAGEIFS($I$2:J675, $B$2:C675, C675)</f>
        <v>0.5244827586206896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AVERAGEIFS($I$2:J676, $B$2:C676, C676)</f>
        <v>0.50749999999999995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AVERAGEIFS($I$2:J677, $B$2:C677, C677)</f>
        <v>0.50568181818181823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AVERAGEIFS($I$2:J678, $B$2:C678, C678)</f>
        <v>0.52100000000000002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AVERAGEIFS($I$2:J679, $B$2:C679, C679)</f>
        <v>0.47260869565217389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AVERAGEIFS($I$2:J680, $B$2:C680, C680)</f>
        <v>0.54382352941176482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AVERAGEIFS($I$2:J681, $B$2:C681, C681)</f>
        <v>0.50322580645161297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AVERAGEIFS($I$2:J682, $B$2:C682, C682)</f>
        <v>0.47066666666666662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AVERAGEIFS($I$2:J683, $B$2:C683, C683)</f>
        <v>0.47294117647058831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AVERAGEIFS($I$2:J684, $B$2:C684, C684)</f>
        <v>0.50159999999999993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AVERAGEIFS($I$2:J685, $B$2:C685, C685)</f>
        <v>0.49615384615384606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AVERAGEIFS($I$2:J686, $B$2:C686, C686)</f>
        <v>0.50121212121212122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AVERAGEIFS($I$2:J687, $B$2:C687, C687)</f>
        <v>0.50468750000000007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155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15</v>
      </c>
      <c r="AH688" s="86">
        <f>AVERAGEIFS($I$2:I688, $B$2:B688, B688)</f>
        <v>0</v>
      </c>
      <c r="AI688" s="86">
        <f>AVERAGEIFS($I$2:J688, $B$2:C688, C688)</f>
        <v>0.49875000000000003</v>
      </c>
      <c r="AJ688" s="86">
        <f>AVERAGEIFS($D$2:D688, $B$2:B688, B688)</f>
        <v>0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AVERAGEIFS($I$2:J689, $B$2:C689, C689)</f>
        <v>0.491111111111111</v>
      </c>
      <c r="AJ689" s="86">
        <f>AVERAGEIFS($D$2:D689, $B$2:B689, B689)</f>
        <v>0.36363636363636365</v>
      </c>
    </row>
  </sheetData>
  <autoFilter ref="A1:AJ648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2026-03-29T14:32:32Z</dcterms:modified>
</cp:coreProperties>
</file>